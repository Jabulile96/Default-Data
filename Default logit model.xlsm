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-pc\Documents\Database\Excel\"/>
    </mc:Choice>
  </mc:AlternateContent>
  <xr:revisionPtr revIDLastSave="0" documentId="13_ncr:1_{1B733141-7289-48AE-AE09-85AEA370F6F0}" xr6:coauthVersionLast="47" xr6:coauthVersionMax="47" xr10:uidLastSave="{00000000-0000-0000-0000-000000000000}"/>
  <bookViews>
    <workbookView xWindow="-120" yWindow="-120" windowWidth="38640" windowHeight="21240" xr2:uid="{00000000-000D-0000-FFFF-FFFF00000000}"/>
  </bookViews>
  <sheets>
    <sheet name="Data" sheetId="1" r:id="rId1"/>
  </sheets>
  <functionGroups builtInGroupCount="19"/>
  <definedNames>
    <definedName name="_xlnm._FilterDatabase" localSheetId="0" hidden="1">Data!$A$1:$H$4000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" i="1" l="1" a="1"/>
  <c r="K2" i="1" a="1"/>
  <c r="K2" i="1" l="1"/>
  <c r="O7" i="1"/>
  <c r="L8" i="1"/>
  <c r="O5" i="1"/>
  <c r="M6" i="1"/>
  <c r="M7" i="1"/>
  <c r="K7" i="1"/>
  <c r="L6" i="1"/>
  <c r="L4" i="1"/>
  <c r="P6" i="1"/>
  <c r="P5" i="1"/>
  <c r="M3" i="1"/>
  <c r="N7" i="1"/>
  <c r="K6" i="1"/>
  <c r="K3" i="1"/>
  <c r="M8" i="1"/>
  <c r="P2" i="1"/>
  <c r="K8" i="1"/>
  <c r="O8" i="1"/>
  <c r="N6" i="1"/>
  <c r="M2" i="1"/>
  <c r="K5" i="1"/>
  <c r="N3" i="1"/>
  <c r="P4" i="1"/>
  <c r="N4" i="1"/>
  <c r="N2" i="1"/>
  <c r="O3" i="1"/>
  <c r="L7" i="1"/>
  <c r="O4" i="1"/>
  <c r="K4" i="1"/>
  <c r="M5" i="1"/>
  <c r="P3" i="1"/>
  <c r="O6" i="1"/>
  <c r="M4" i="1"/>
  <c r="L2" i="1"/>
  <c r="L5" i="1"/>
  <c r="L3" i="1"/>
  <c r="N5" i="1"/>
  <c r="N8" i="1"/>
  <c r="P7" i="1"/>
  <c r="P8" i="1"/>
  <c r="O2" i="1"/>
  <c r="U7" i="1"/>
  <c r="W8" i="1"/>
  <c r="U8" i="1"/>
  <c r="X6" i="1"/>
  <c r="V4" i="1"/>
  <c r="V3" i="1"/>
  <c r="W7" i="1"/>
  <c r="W4" i="1"/>
  <c r="U4" i="1"/>
  <c r="W3" i="1"/>
  <c r="V6" i="1"/>
  <c r="U2" i="1"/>
  <c r="V7" i="1"/>
  <c r="V8" i="1"/>
  <c r="X5" i="1"/>
  <c r="W2" i="1"/>
  <c r="W5" i="1"/>
  <c r="X8" i="1"/>
  <c r="U6" i="1"/>
  <c r="U3" i="1"/>
  <c r="U5" i="1"/>
  <c r="V5" i="1"/>
  <c r="X4" i="1"/>
  <c r="X2" i="1"/>
  <c r="W6" i="1"/>
  <c r="X7" i="1"/>
  <c r="X3" i="1"/>
  <c r="V2" i="1"/>
  <c r="Z166" i="1" l="1"/>
  <c r="Z214" i="1"/>
  <c r="Z262" i="1"/>
  <c r="Z310" i="1"/>
  <c r="Z342" i="1"/>
  <c r="Z366" i="1"/>
  <c r="Z390" i="1"/>
  <c r="Z414" i="1"/>
  <c r="Z438" i="1"/>
  <c r="Z462" i="1"/>
  <c r="Z486" i="1"/>
  <c r="Z510" i="1"/>
  <c r="Z534" i="1"/>
  <c r="Z210" i="1"/>
  <c r="Z274" i="1"/>
  <c r="Z335" i="1"/>
  <c r="Z157" i="1"/>
  <c r="Z221" i="1"/>
  <c r="Z285" i="1"/>
  <c r="Z365" i="1"/>
  <c r="Z180" i="1"/>
  <c r="Z244" i="1"/>
  <c r="Z308" i="1"/>
  <c r="Z395" i="1"/>
  <c r="Z491" i="1"/>
  <c r="Z551" i="1"/>
  <c r="Z575" i="1"/>
  <c r="Z599" i="1"/>
  <c r="Z623" i="1"/>
  <c r="Z647" i="1"/>
  <c r="Z671" i="1"/>
  <c r="Z695" i="1"/>
  <c r="Z174" i="1"/>
  <c r="Z222" i="1"/>
  <c r="Z270" i="1"/>
  <c r="Z318" i="1"/>
  <c r="Z346" i="1"/>
  <c r="Z370" i="1"/>
  <c r="Z394" i="1"/>
  <c r="Z418" i="1"/>
  <c r="Z442" i="1"/>
  <c r="Z466" i="1"/>
  <c r="Z490" i="1"/>
  <c r="Z514" i="1"/>
  <c r="Z538" i="1"/>
  <c r="Z217" i="1"/>
  <c r="Z281" i="1"/>
  <c r="Z351" i="1"/>
  <c r="Z168" i="1"/>
  <c r="Z232" i="1"/>
  <c r="Z296" i="1"/>
  <c r="Z381" i="1"/>
  <c r="Z194" i="1"/>
  <c r="Z258" i="1"/>
  <c r="Z322" i="1"/>
  <c r="Z411" i="1"/>
  <c r="Z507" i="1"/>
  <c r="Z555" i="1"/>
  <c r="Z579" i="1"/>
  <c r="Z603" i="1"/>
  <c r="Z627" i="1"/>
  <c r="Z651" i="1"/>
  <c r="Z675" i="1"/>
  <c r="Z182" i="1"/>
  <c r="Z238" i="1"/>
  <c r="Z294" i="1"/>
  <c r="Z338" i="1"/>
  <c r="Z368" i="1"/>
  <c r="Z398" i="1"/>
  <c r="Z426" i="1"/>
  <c r="Z454" i="1"/>
  <c r="Z482" i="1"/>
  <c r="Z512" i="1"/>
  <c r="Z164" i="1"/>
  <c r="Z242" i="1"/>
  <c r="Z313" i="1"/>
  <c r="Z415" i="1"/>
  <c r="Z225" i="1"/>
  <c r="Z303" i="1"/>
  <c r="Z413" i="1"/>
  <c r="Z226" i="1"/>
  <c r="Z297" i="1"/>
  <c r="Z403" i="1"/>
  <c r="Z523" i="1"/>
  <c r="Z563" i="1"/>
  <c r="Z591" i="1"/>
  <c r="Z619" i="1"/>
  <c r="Z649" i="1"/>
  <c r="Z679" i="1"/>
  <c r="Z705" i="1"/>
  <c r="Z729" i="1"/>
  <c r="Z753" i="1"/>
  <c r="Z777" i="1"/>
  <c r="Z159" i="1"/>
  <c r="Z425" i="1"/>
  <c r="Z552" i="1"/>
  <c r="Z648" i="1"/>
  <c r="Z744" i="1"/>
  <c r="Z810" i="1"/>
  <c r="Z385" i="1"/>
  <c r="Z529" i="1"/>
  <c r="Z630" i="1"/>
  <c r="Z726" i="1"/>
  <c r="Z237" i="1"/>
  <c r="Z487" i="1"/>
  <c r="Z588" i="1"/>
  <c r="Z684" i="1"/>
  <c r="Z780" i="1"/>
  <c r="Z819" i="1"/>
  <c r="Z843" i="1"/>
  <c r="Z867" i="1"/>
  <c r="Z891" i="1"/>
  <c r="Z915" i="1"/>
  <c r="Z939" i="1"/>
  <c r="Z963" i="1"/>
  <c r="Z987" i="1"/>
  <c r="Z1011" i="1"/>
  <c r="Z1035" i="1"/>
  <c r="Z1059" i="1"/>
  <c r="Z1083" i="1"/>
  <c r="Z1107" i="1"/>
  <c r="Z1131" i="1"/>
  <c r="Z1155" i="1"/>
  <c r="Z1179" i="1"/>
  <c r="Z730" i="1"/>
  <c r="Z898" i="1"/>
  <c r="Z994" i="1"/>
  <c r="Z1090" i="1"/>
  <c r="Z298" i="1"/>
  <c r="Z824" i="1"/>
  <c r="Z255" i="1"/>
  <c r="Z778" i="1"/>
  <c r="Z910" i="1"/>
  <c r="Z1006" i="1"/>
  <c r="Z1102" i="1"/>
  <c r="Z706" i="1"/>
  <c r="Z1040" i="1"/>
  <c r="Z1194" i="1"/>
  <c r="Z1242" i="1"/>
  <c r="Z1290" i="1"/>
  <c r="Z1329" i="1"/>
  <c r="Z1353" i="1"/>
  <c r="Z1377" i="1"/>
  <c r="Z1401" i="1"/>
  <c r="Z844" i="1"/>
  <c r="Z1068" i="1"/>
  <c r="Z1197" i="1"/>
  <c r="Z187" i="1"/>
  <c r="Z243" i="1"/>
  <c r="Z299" i="1"/>
  <c r="Z340" i="1"/>
  <c r="Z372" i="1"/>
  <c r="Z400" i="1"/>
  <c r="Z428" i="1"/>
  <c r="Z456" i="1"/>
  <c r="Z484" i="1"/>
  <c r="Z516" i="1"/>
  <c r="Z167" i="1"/>
  <c r="Z245" i="1"/>
  <c r="Z320" i="1"/>
  <c r="Z423" i="1"/>
  <c r="Z236" i="1"/>
  <c r="Z314" i="1"/>
  <c r="Z421" i="1"/>
  <c r="Z229" i="1"/>
  <c r="Z304" i="1"/>
  <c r="Z419" i="1"/>
  <c r="Z531" i="1"/>
  <c r="Z565" i="1"/>
  <c r="Z593" i="1"/>
  <c r="Z621" i="1"/>
  <c r="Z653" i="1"/>
  <c r="Z681" i="1"/>
  <c r="Z707" i="1"/>
  <c r="Z731" i="1"/>
  <c r="Z755" i="1"/>
  <c r="Z779" i="1"/>
  <c r="Z173" i="1"/>
  <c r="Z439" i="1"/>
  <c r="Z560" i="1"/>
  <c r="Z656" i="1"/>
  <c r="Z752" i="1"/>
  <c r="Z812" i="1"/>
  <c r="Z417" i="1"/>
  <c r="Z542" i="1"/>
  <c r="Z638" i="1"/>
  <c r="Z734" i="1"/>
  <c r="Z252" i="1"/>
  <c r="Z501" i="1"/>
  <c r="Z596" i="1"/>
  <c r="Z692" i="1"/>
  <c r="Z788" i="1"/>
  <c r="Z821" i="1"/>
  <c r="Z845" i="1"/>
  <c r="Z869" i="1"/>
  <c r="Z893" i="1"/>
  <c r="Z917" i="1"/>
  <c r="Z941" i="1"/>
  <c r="Z965" i="1"/>
  <c r="Z989" i="1"/>
  <c r="Z1013" i="1"/>
  <c r="Z1037" i="1"/>
  <c r="Z1061" i="1"/>
  <c r="Z1085" i="1"/>
  <c r="Z1109" i="1"/>
  <c r="Z1133" i="1"/>
  <c r="Z1157" i="1"/>
  <c r="Z170" i="1"/>
  <c r="Z762" i="1"/>
  <c r="Z906" i="1"/>
  <c r="Z1002" i="1"/>
  <c r="Z1098" i="1"/>
  <c r="Z513" i="1"/>
  <c r="Z832" i="1"/>
  <c r="Z312" i="1"/>
  <c r="Z822" i="1"/>
  <c r="Z918" i="1"/>
  <c r="Z1014" i="1"/>
  <c r="Z190" i="1"/>
  <c r="Z246" i="1"/>
  <c r="Z302" i="1"/>
  <c r="Z344" i="1"/>
  <c r="Z374" i="1"/>
  <c r="Z402" i="1"/>
  <c r="Z430" i="1"/>
  <c r="Z458" i="1"/>
  <c r="Z488" i="1"/>
  <c r="Z518" i="1"/>
  <c r="Z178" i="1"/>
  <c r="Z249" i="1"/>
  <c r="Z324" i="1"/>
  <c r="Z161" i="1"/>
  <c r="Z239" i="1"/>
  <c r="Z317" i="1"/>
  <c r="Z162" i="1"/>
  <c r="Z233" i="1"/>
  <c r="Z311" i="1"/>
  <c r="Z427" i="1"/>
  <c r="Z539" i="1"/>
  <c r="Z567" i="1"/>
  <c r="Z595" i="1"/>
  <c r="Z625" i="1"/>
  <c r="Z655" i="1"/>
  <c r="Z683" i="1"/>
  <c r="Z709" i="1"/>
  <c r="Z733" i="1"/>
  <c r="Z757" i="1"/>
  <c r="Z781" i="1"/>
  <c r="Z188" i="1"/>
  <c r="Z453" i="1"/>
  <c r="Z568" i="1"/>
  <c r="Z664" i="1"/>
  <c r="Z760" i="1"/>
  <c r="Z814" i="1"/>
  <c r="Z429" i="1"/>
  <c r="Z550" i="1"/>
  <c r="Z646" i="1"/>
  <c r="Z742" i="1"/>
  <c r="Z266" i="1"/>
  <c r="Z505" i="1"/>
  <c r="Z604" i="1"/>
  <c r="Z700" i="1"/>
  <c r="Z796" i="1"/>
  <c r="Z823" i="1"/>
  <c r="Z847" i="1"/>
  <c r="Z871" i="1"/>
  <c r="Z895" i="1"/>
  <c r="Z919" i="1"/>
  <c r="Z943" i="1"/>
  <c r="Z195" i="1"/>
  <c r="Z251" i="1"/>
  <c r="Z307" i="1"/>
  <c r="Z348" i="1"/>
  <c r="Z376" i="1"/>
  <c r="Z404" i="1"/>
  <c r="Z432" i="1"/>
  <c r="Z460" i="1"/>
  <c r="Z492" i="1"/>
  <c r="Z520" i="1"/>
  <c r="Z181" i="1"/>
  <c r="Z256" i="1"/>
  <c r="Z327" i="1"/>
  <c r="Z172" i="1"/>
  <c r="Z250" i="1"/>
  <c r="Z321" i="1"/>
  <c r="Z165" i="1"/>
  <c r="Z240" i="1"/>
  <c r="Z325" i="1"/>
  <c r="Z435" i="1"/>
  <c r="Z541" i="1"/>
  <c r="Z569" i="1"/>
  <c r="Z597" i="1"/>
  <c r="Z629" i="1"/>
  <c r="Z657" i="1"/>
  <c r="Z685" i="1"/>
  <c r="Z711" i="1"/>
  <c r="Z735" i="1"/>
  <c r="Z759" i="1"/>
  <c r="Z783" i="1"/>
  <c r="Z202" i="1"/>
  <c r="Z457" i="1"/>
  <c r="Z576" i="1"/>
  <c r="Z672" i="1"/>
  <c r="Z768" i="1"/>
  <c r="Z177" i="1"/>
  <c r="Z433" i="1"/>
  <c r="Z558" i="1"/>
  <c r="Z654" i="1"/>
  <c r="Z750" i="1"/>
  <c r="Z280" i="1"/>
  <c r="Z519" i="1"/>
  <c r="Z612" i="1"/>
  <c r="Z708" i="1"/>
  <c r="Z801" i="1"/>
  <c r="Z825" i="1"/>
  <c r="Z849" i="1"/>
  <c r="Z873" i="1"/>
  <c r="Z897" i="1"/>
  <c r="Z921" i="1"/>
  <c r="Z945" i="1"/>
  <c r="Z969" i="1"/>
  <c r="Z198" i="1"/>
  <c r="Z254" i="1"/>
  <c r="Z315" i="1"/>
  <c r="Z350" i="1"/>
  <c r="Z378" i="1"/>
  <c r="Z406" i="1"/>
  <c r="Z434" i="1"/>
  <c r="Z464" i="1"/>
  <c r="Z494" i="1"/>
  <c r="Z522" i="1"/>
  <c r="Z185" i="1"/>
  <c r="Z260" i="1"/>
  <c r="Z343" i="1"/>
  <c r="Z175" i="1"/>
  <c r="Z253" i="1"/>
  <c r="Z333" i="1"/>
  <c r="Z169" i="1"/>
  <c r="Z247" i="1"/>
  <c r="Z331" i="1"/>
  <c r="Z443" i="1"/>
  <c r="Z543" i="1"/>
  <c r="Z571" i="1"/>
  <c r="Z601" i="1"/>
  <c r="Z631" i="1"/>
  <c r="Z659" i="1"/>
  <c r="Z687" i="1"/>
  <c r="Z713" i="1"/>
  <c r="Z737" i="1"/>
  <c r="Z761" i="1"/>
  <c r="Z785" i="1"/>
  <c r="Z216" i="1"/>
  <c r="Z471" i="1"/>
  <c r="Z584" i="1"/>
  <c r="Z680" i="1"/>
  <c r="Z776" i="1"/>
  <c r="Z191" i="1"/>
  <c r="Z447" i="1"/>
  <c r="Z566" i="1"/>
  <c r="Z662" i="1"/>
  <c r="Z758" i="1"/>
  <c r="Z345" i="1"/>
  <c r="Z533" i="1"/>
  <c r="Z620" i="1"/>
  <c r="Z716" i="1"/>
  <c r="Z803" i="1"/>
  <c r="Z827" i="1"/>
  <c r="Z851" i="1"/>
  <c r="Z875" i="1"/>
  <c r="Z899" i="1"/>
  <c r="Z923" i="1"/>
  <c r="Z947" i="1"/>
  <c r="Z971" i="1"/>
  <c r="Z203" i="1"/>
  <c r="Z259" i="1"/>
  <c r="Z323" i="1"/>
  <c r="Z352" i="1"/>
  <c r="Z380" i="1"/>
  <c r="Z408" i="1"/>
  <c r="Z436" i="1"/>
  <c r="Z468" i="1"/>
  <c r="Z496" i="1"/>
  <c r="Z524" i="1"/>
  <c r="Z192" i="1"/>
  <c r="Z263" i="1"/>
  <c r="Z359" i="1"/>
  <c r="Z186" i="1"/>
  <c r="Z257" i="1"/>
  <c r="Z341" i="1"/>
  <c r="Z176" i="1"/>
  <c r="Z261" i="1"/>
  <c r="Z339" i="1"/>
  <c r="Z451" i="1"/>
  <c r="Z545" i="1"/>
  <c r="Z573" i="1"/>
  <c r="Z605" i="1"/>
  <c r="Z633" i="1"/>
  <c r="Z661" i="1"/>
  <c r="Z689" i="1"/>
  <c r="Z715" i="1"/>
  <c r="Z739" i="1"/>
  <c r="Z763" i="1"/>
  <c r="Z787" i="1"/>
  <c r="Z273" i="1"/>
  <c r="Z485" i="1"/>
  <c r="Z592" i="1"/>
  <c r="Z688" i="1"/>
  <c r="Z784" i="1"/>
  <c r="Z205" i="1"/>
  <c r="Z461" i="1"/>
  <c r="Z574" i="1"/>
  <c r="Z670" i="1"/>
  <c r="Z766" i="1"/>
  <c r="Z377" i="1"/>
  <c r="Z537" i="1"/>
  <c r="Z628" i="1"/>
  <c r="Z724" i="1"/>
  <c r="Z805" i="1"/>
  <c r="Z829" i="1"/>
  <c r="Z853" i="1"/>
  <c r="Z877" i="1"/>
  <c r="Z901" i="1"/>
  <c r="Z925" i="1"/>
  <c r="Z949" i="1"/>
  <c r="Z973" i="1"/>
  <c r="Z997" i="1"/>
  <c r="Z1021" i="1"/>
  <c r="Z1045" i="1"/>
  <c r="Z1069" i="1"/>
  <c r="Z1093" i="1"/>
  <c r="Z1117" i="1"/>
  <c r="Z1141" i="1"/>
  <c r="Z1165" i="1"/>
  <c r="Z495" i="1"/>
  <c r="Z842" i="1"/>
  <c r="Z938" i="1"/>
  <c r="Z1034" i="1"/>
  <c r="Z1130" i="1"/>
  <c r="Z626" i="1"/>
  <c r="Z864" i="1"/>
  <c r="Z554" i="1"/>
  <c r="Z854" i="1"/>
  <c r="Z950" i="1"/>
  <c r="Z1046" i="1"/>
  <c r="Z1142" i="1"/>
  <c r="Z928" i="1"/>
  <c r="Z1120" i="1"/>
  <c r="Z1215" i="1"/>
  <c r="Z1263" i="1"/>
  <c r="Z1311" i="1"/>
  <c r="Z1339" i="1"/>
  <c r="Z1363" i="1"/>
  <c r="Z1387" i="1"/>
  <c r="Z1411" i="1"/>
  <c r="Z956" i="1"/>
  <c r="Z1148" i="1"/>
  <c r="Z206" i="1"/>
  <c r="Z267" i="1"/>
  <c r="Z326" i="1"/>
  <c r="Z354" i="1"/>
  <c r="Z382" i="1"/>
  <c r="Z410" i="1"/>
  <c r="Z440" i="1"/>
  <c r="Z470" i="1"/>
  <c r="Z498" i="1"/>
  <c r="Z526" i="1"/>
  <c r="Z196" i="1"/>
  <c r="Z277" i="1"/>
  <c r="Z367" i="1"/>
  <c r="Z189" i="1"/>
  <c r="Z264" i="1"/>
  <c r="Z349" i="1"/>
  <c r="Z183" i="1"/>
  <c r="Z265" i="1"/>
  <c r="Z347" i="1"/>
  <c r="Z459" i="1"/>
  <c r="Z547" i="1"/>
  <c r="Z577" i="1"/>
  <c r="Z607" i="1"/>
  <c r="Z635" i="1"/>
  <c r="Z663" i="1"/>
  <c r="Z691" i="1"/>
  <c r="Z717" i="1"/>
  <c r="Z741" i="1"/>
  <c r="Z765" i="1"/>
  <c r="Z789" i="1"/>
  <c r="Z287" i="1"/>
  <c r="Z489" i="1"/>
  <c r="Z600" i="1"/>
  <c r="Z696" i="1"/>
  <c r="Z792" i="1"/>
  <c r="Z220" i="1"/>
  <c r="Z465" i="1"/>
  <c r="Z582" i="1"/>
  <c r="Z678" i="1"/>
  <c r="Z774" i="1"/>
  <c r="Z409" i="1"/>
  <c r="Z540" i="1"/>
  <c r="Z636" i="1"/>
  <c r="Z732" i="1"/>
  <c r="Z807" i="1"/>
  <c r="Z831" i="1"/>
  <c r="Z855" i="1"/>
  <c r="Z879" i="1"/>
  <c r="Z903" i="1"/>
  <c r="Z927" i="1"/>
  <c r="Z951" i="1"/>
  <c r="Z975" i="1"/>
  <c r="Z999" i="1"/>
  <c r="Z1023" i="1"/>
  <c r="Z1047" i="1"/>
  <c r="Z1071" i="1"/>
  <c r="Z1095" i="1"/>
  <c r="Z1119" i="1"/>
  <c r="Z1143" i="1"/>
  <c r="Z1167" i="1"/>
  <c r="Z509" i="1"/>
  <c r="Z850" i="1"/>
  <c r="Z946" i="1"/>
  <c r="Z1042" i="1"/>
  <c r="Z1138" i="1"/>
  <c r="Z658" i="1"/>
  <c r="Z872" i="1"/>
  <c r="Z586" i="1"/>
  <c r="Z862" i="1"/>
  <c r="Z958" i="1"/>
  <c r="Z1054" i="1"/>
  <c r="Z1150" i="1"/>
  <c r="Z944" i="1"/>
  <c r="Z1136" i="1"/>
  <c r="Z1218" i="1"/>
  <c r="Z1266" i="1"/>
  <c r="Z1314" i="1"/>
  <c r="Z1341" i="1"/>
  <c r="Z1365" i="1"/>
  <c r="Z1389" i="1"/>
  <c r="Z1413" i="1"/>
  <c r="Z972" i="1"/>
  <c r="Z1164" i="1"/>
  <c r="Z158" i="1"/>
  <c r="Z219" i="1"/>
  <c r="Z278" i="1"/>
  <c r="Z330" i="1"/>
  <c r="Z358" i="1"/>
  <c r="Z386" i="1"/>
  <c r="Z416" i="1"/>
  <c r="Z446" i="1"/>
  <c r="Z474" i="1"/>
  <c r="Z502" i="1"/>
  <c r="Z530" i="1"/>
  <c r="Z213" i="1"/>
  <c r="Z292" i="1"/>
  <c r="Z383" i="1"/>
  <c r="Z200" i="1"/>
  <c r="Z271" i="1"/>
  <c r="Z373" i="1"/>
  <c r="Z201" i="1"/>
  <c r="Z276" i="1"/>
  <c r="Z363" i="1"/>
  <c r="Z475" i="1"/>
  <c r="Z553" i="1"/>
  <c r="Z583" i="1"/>
  <c r="Z611" i="1"/>
  <c r="Z639" i="1"/>
  <c r="Z667" i="1"/>
  <c r="Z697" i="1"/>
  <c r="Z721" i="1"/>
  <c r="Z745" i="1"/>
  <c r="Z769" i="1"/>
  <c r="Z793" i="1"/>
  <c r="Z316" i="1"/>
  <c r="Z517" i="1"/>
  <c r="Z616" i="1"/>
  <c r="Z712" i="1"/>
  <c r="Z802" i="1"/>
  <c r="Z248" i="1"/>
  <c r="Z493" i="1"/>
  <c r="Z598" i="1"/>
  <c r="Z694" i="1"/>
  <c r="Z790" i="1"/>
  <c r="Z441" i="1"/>
  <c r="Z556" i="1"/>
  <c r="Z652" i="1"/>
  <c r="Z748" i="1"/>
  <c r="Z811" i="1"/>
  <c r="Z835" i="1"/>
  <c r="Z859" i="1"/>
  <c r="Z883" i="1"/>
  <c r="Z907" i="1"/>
  <c r="Z931" i="1"/>
  <c r="Z179" i="1"/>
  <c r="Z336" i="1"/>
  <c r="Z424" i="1"/>
  <c r="Z508" i="1"/>
  <c r="Z309" i="1"/>
  <c r="Z300" i="1"/>
  <c r="Z293" i="1"/>
  <c r="Z561" i="1"/>
  <c r="Z645" i="1"/>
  <c r="Z727" i="1"/>
  <c r="Z799" i="1"/>
  <c r="Z640" i="1"/>
  <c r="Z353" i="1"/>
  <c r="Z718" i="1"/>
  <c r="Z580" i="1"/>
  <c r="Z817" i="1"/>
  <c r="Z889" i="1"/>
  <c r="Z959" i="1"/>
  <c r="Z1003" i="1"/>
  <c r="Z1039" i="1"/>
  <c r="Z1075" i="1"/>
  <c r="Z1111" i="1"/>
  <c r="Z1147" i="1"/>
  <c r="Z284" i="1"/>
  <c r="Z866" i="1"/>
  <c r="Z1010" i="1"/>
  <c r="Z1154" i="1"/>
  <c r="Z840" i="1"/>
  <c r="Z650" i="1"/>
  <c r="Z926" i="1"/>
  <c r="Z1070" i="1"/>
  <c r="Z578" i="1"/>
  <c r="Z1088" i="1"/>
  <c r="Z1226" i="1"/>
  <c r="Z1287" i="1"/>
  <c r="Z1335" i="1"/>
  <c r="Z1369" i="1"/>
  <c r="Z1399" i="1"/>
  <c r="Z924" i="1"/>
  <c r="Z1181" i="1"/>
  <c r="Z1232" i="1"/>
  <c r="Z1280" i="1"/>
  <c r="Z770" i="1"/>
  <c r="Z1048" i="1"/>
  <c r="Z1190" i="1"/>
  <c r="Z1238" i="1"/>
  <c r="Z1286" i="1"/>
  <c r="Z1326" i="1"/>
  <c r="Z1350" i="1"/>
  <c r="Z1374" i="1"/>
  <c r="Z1398" i="1"/>
  <c r="Z1422" i="1"/>
  <c r="Z1446" i="1"/>
  <c r="Z1470" i="1"/>
  <c r="Z1494" i="1"/>
  <c r="Z1518" i="1"/>
  <c r="Z1542" i="1"/>
  <c r="Z1566" i="1"/>
  <c r="Z1590" i="1"/>
  <c r="Z1614" i="1"/>
  <c r="Z369" i="1"/>
  <c r="Z1252" i="1"/>
  <c r="Z1479" i="1"/>
  <c r="Z1575" i="1"/>
  <c r="Z996" i="1"/>
  <c r="Z1421" i="1"/>
  <c r="Z1517" i="1"/>
  <c r="Z1613" i="1"/>
  <c r="Z1655" i="1"/>
  <c r="Z1679" i="1"/>
  <c r="Z1703" i="1"/>
  <c r="Z1727" i="1"/>
  <c r="Z1751" i="1"/>
  <c r="Z1775" i="1"/>
  <c r="Z1799" i="1"/>
  <c r="Z1823" i="1"/>
  <c r="Z1847" i="1"/>
  <c r="Z1871" i="1"/>
  <c r="Z1895" i="1"/>
  <c r="Z1919" i="1"/>
  <c r="Z1943" i="1"/>
  <c r="Z1967" i="1"/>
  <c r="Z1193" i="1"/>
  <c r="Z1451" i="1"/>
  <c r="Z1547" i="1"/>
  <c r="Z1092" i="1"/>
  <c r="Z1660" i="1"/>
  <c r="Z1756" i="1"/>
  <c r="Z1852" i="1"/>
  <c r="Z1948" i="1"/>
  <c r="Z2013" i="1"/>
  <c r="Z2061" i="1"/>
  <c r="Z2111" i="1"/>
  <c r="Z2159" i="1"/>
  <c r="Z211" i="1"/>
  <c r="Z356" i="1"/>
  <c r="Z444" i="1"/>
  <c r="Z528" i="1"/>
  <c r="Z375" i="1"/>
  <c r="Z357" i="1"/>
  <c r="Z355" i="1"/>
  <c r="Z581" i="1"/>
  <c r="Z665" i="1"/>
  <c r="Z743" i="1"/>
  <c r="Z301" i="1"/>
  <c r="Z704" i="1"/>
  <c r="Z479" i="1"/>
  <c r="Z782" i="1"/>
  <c r="Z644" i="1"/>
  <c r="Z833" i="1"/>
  <c r="Z905" i="1"/>
  <c r="Z961" i="1"/>
  <c r="Z1005" i="1"/>
  <c r="Z1041" i="1"/>
  <c r="Z1077" i="1"/>
  <c r="Z1113" i="1"/>
  <c r="Z1149" i="1"/>
  <c r="Z337" i="1"/>
  <c r="Z874" i="1"/>
  <c r="Z1018" i="1"/>
  <c r="Z1162" i="1"/>
  <c r="Z848" i="1"/>
  <c r="Z682" i="1"/>
  <c r="Z934" i="1"/>
  <c r="Z1078" i="1"/>
  <c r="Z820" i="1"/>
  <c r="Z1104" i="1"/>
  <c r="Z1231" i="1"/>
  <c r="Z1295" i="1"/>
  <c r="Z1337" i="1"/>
  <c r="Z1371" i="1"/>
  <c r="Z1403" i="1"/>
  <c r="Z940" i="1"/>
  <c r="Z1184" i="1"/>
  <c r="Z1237" i="1"/>
  <c r="Z1285" i="1"/>
  <c r="Z836" i="1"/>
  <c r="Z1064" i="1"/>
  <c r="Z1195" i="1"/>
  <c r="Z1243" i="1"/>
  <c r="Z1291" i="1"/>
  <c r="Z1328" i="1"/>
  <c r="Z1352" i="1"/>
  <c r="Z1376" i="1"/>
  <c r="Z1400" i="1"/>
  <c r="Z1424" i="1"/>
  <c r="Z1448" i="1"/>
  <c r="Z1472" i="1"/>
  <c r="Z1496" i="1"/>
  <c r="Z1520" i="1"/>
  <c r="Z1544" i="1"/>
  <c r="Z1568" i="1"/>
  <c r="Z1592" i="1"/>
  <c r="Z1616" i="1"/>
  <c r="Z610" i="1"/>
  <c r="Z1273" i="1"/>
  <c r="Z1487" i="1"/>
  <c r="Z1583" i="1"/>
  <c r="Z1060" i="1"/>
  <c r="Z1429" i="1"/>
  <c r="Z1525" i="1"/>
  <c r="Z1621" i="1"/>
  <c r="Z1657" i="1"/>
  <c r="Z1681" i="1"/>
  <c r="Z1705" i="1"/>
  <c r="Z1729" i="1"/>
  <c r="Z1753" i="1"/>
  <c r="Z1777" i="1"/>
  <c r="Z1801" i="1"/>
  <c r="Z1825" i="1"/>
  <c r="Z1849" i="1"/>
  <c r="Z1873" i="1"/>
  <c r="Z1897" i="1"/>
  <c r="Z1921" i="1"/>
  <c r="Z1945" i="1"/>
  <c r="Z1969" i="1"/>
  <c r="Z1204" i="1"/>
  <c r="Z1459" i="1"/>
  <c r="Z1555" i="1"/>
  <c r="Z1217" i="1"/>
  <c r="Z1668" i="1"/>
  <c r="Z1764" i="1"/>
  <c r="Z1860" i="1"/>
  <c r="Z1956" i="1"/>
  <c r="Z2017" i="1"/>
  <c r="Z2065" i="1"/>
  <c r="Z2114" i="1"/>
  <c r="Z2162" i="1"/>
  <c r="Z2210" i="1"/>
  <c r="Z2258" i="1"/>
  <c r="Z1521" i="1"/>
  <c r="Z1702" i="1"/>
  <c r="Z1798" i="1"/>
  <c r="Z1894" i="1"/>
  <c r="Z1986" i="1"/>
  <c r="Z2034" i="1"/>
  <c r="Z2080" i="1"/>
  <c r="Z2128" i="1"/>
  <c r="Z2176" i="1"/>
  <c r="Z2224" i="1"/>
  <c r="Z2272" i="1"/>
  <c r="Z2320" i="1"/>
  <c r="Z2368" i="1"/>
  <c r="Z2416" i="1"/>
  <c r="Z2464" i="1"/>
  <c r="Z2512" i="1"/>
  <c r="Z2536" i="1"/>
  <c r="Z2560" i="1"/>
  <c r="Z2584" i="1"/>
  <c r="Z2608" i="1"/>
  <c r="Z2632" i="1"/>
  <c r="Z2656" i="1"/>
  <c r="Z1513" i="1"/>
  <c r="Z1704" i="1"/>
  <c r="Z1800" i="1"/>
  <c r="Z1896" i="1"/>
  <c r="Z1987" i="1"/>
  <c r="Z2035" i="1"/>
  <c r="Z2083" i="1"/>
  <c r="Z2131" i="1"/>
  <c r="Z2179" i="1"/>
  <c r="Z2227" i="1"/>
  <c r="Z2275" i="1"/>
  <c r="Z2323" i="1"/>
  <c r="Z2371" i="1"/>
  <c r="Z2419" i="1"/>
  <c r="Z2467" i="1"/>
  <c r="Z1441" i="1"/>
  <c r="Z1970" i="1"/>
  <c r="Z2177" i="1"/>
  <c r="Z2321" i="1"/>
  <c r="Z2417" i="1"/>
  <c r="Z2513" i="1"/>
  <c r="Z2561" i="1"/>
  <c r="Z2609" i="1"/>
  <c r="Z2657" i="1"/>
  <c r="Z2706" i="1"/>
  <c r="Z2754" i="1"/>
  <c r="Z2802" i="1"/>
  <c r="Z1722" i="1"/>
  <c r="Z2044" i="1"/>
  <c r="Z2233" i="1"/>
  <c r="Z2343" i="1"/>
  <c r="Z2439" i="1"/>
  <c r="Z2683" i="1"/>
  <c r="Z2731" i="1"/>
  <c r="Z2779" i="1"/>
  <c r="Z2827" i="1"/>
  <c r="Z2854" i="1"/>
  <c r="Z2878" i="1"/>
  <c r="Z2902" i="1"/>
  <c r="Z2926" i="1"/>
  <c r="Z2950" i="1"/>
  <c r="Z2974" i="1"/>
  <c r="Z2998" i="1"/>
  <c r="Z227" i="1"/>
  <c r="Z360" i="1"/>
  <c r="Z448" i="1"/>
  <c r="Z532" i="1"/>
  <c r="Z391" i="1"/>
  <c r="Z389" i="1"/>
  <c r="Z371" i="1"/>
  <c r="Z585" i="1"/>
  <c r="Z669" i="1"/>
  <c r="Z747" i="1"/>
  <c r="Z329" i="1"/>
  <c r="Z720" i="1"/>
  <c r="Z497" i="1"/>
  <c r="Z798" i="1"/>
  <c r="Z660" i="1"/>
  <c r="Z837" i="1"/>
  <c r="Z909" i="1"/>
  <c r="Z967" i="1"/>
  <c r="Z1007" i="1"/>
  <c r="Z1043" i="1"/>
  <c r="Z1079" i="1"/>
  <c r="Z1115" i="1"/>
  <c r="Z1151" i="1"/>
  <c r="Z481" i="1"/>
  <c r="Z882" i="1"/>
  <c r="Z1026" i="1"/>
  <c r="Z184" i="1"/>
  <c r="Z856" i="1"/>
  <c r="Z714" i="1"/>
  <c r="Z942" i="1"/>
  <c r="Z1086" i="1"/>
  <c r="Z852" i="1"/>
  <c r="Z1152" i="1"/>
  <c r="Z1234" i="1"/>
  <c r="Z1298" i="1"/>
  <c r="Z1343" i="1"/>
  <c r="Z1373" i="1"/>
  <c r="Z1405" i="1"/>
  <c r="Z988" i="1"/>
  <c r="Z1189" i="1"/>
  <c r="Z1240" i="1"/>
  <c r="Z1288" i="1"/>
  <c r="Z868" i="1"/>
  <c r="Z1080" i="1"/>
  <c r="Z1198" i="1"/>
  <c r="Z1246" i="1"/>
  <c r="Z1294" i="1"/>
  <c r="Z1330" i="1"/>
  <c r="Z1354" i="1"/>
  <c r="Z1378" i="1"/>
  <c r="Z1402" i="1"/>
  <c r="Z1426" i="1"/>
  <c r="Z1450" i="1"/>
  <c r="Z1474" i="1"/>
  <c r="Z1498" i="1"/>
  <c r="Z1522" i="1"/>
  <c r="Z1546" i="1"/>
  <c r="Z1570" i="1"/>
  <c r="Z1594" i="1"/>
  <c r="Z1618" i="1"/>
  <c r="Z892" i="1"/>
  <c r="Z1284" i="1"/>
  <c r="Z1495" i="1"/>
  <c r="Z1591" i="1"/>
  <c r="Z1124" i="1"/>
  <c r="Z1437" i="1"/>
  <c r="Z1533" i="1"/>
  <c r="Z1629" i="1"/>
  <c r="Z1659" i="1"/>
  <c r="Z1683" i="1"/>
  <c r="Z1707" i="1"/>
  <c r="Z1731" i="1"/>
  <c r="Z1755" i="1"/>
  <c r="Z1779" i="1"/>
  <c r="Z1803" i="1"/>
  <c r="Z1827" i="1"/>
  <c r="Z1851" i="1"/>
  <c r="Z1875" i="1"/>
  <c r="Z1899" i="1"/>
  <c r="Z1923" i="1"/>
  <c r="Z1947" i="1"/>
  <c r="Z1971" i="1"/>
  <c r="Z1225" i="1"/>
  <c r="Z1467" i="1"/>
  <c r="Z1563" i="1"/>
  <c r="Z1260" i="1"/>
  <c r="Z1676" i="1"/>
  <c r="Z1772" i="1"/>
  <c r="Z1868" i="1"/>
  <c r="Z1964" i="1"/>
  <c r="Z2021" i="1"/>
  <c r="Z2071" i="1"/>
  <c r="Z2119" i="1"/>
  <c r="Z2167" i="1"/>
  <c r="Z2215" i="1"/>
  <c r="Z2263" i="1"/>
  <c r="Z1553" i="1"/>
  <c r="Z1710" i="1"/>
  <c r="Z1806" i="1"/>
  <c r="Z1902" i="1"/>
  <c r="Z1990" i="1"/>
  <c r="Z2038" i="1"/>
  <c r="Z2085" i="1"/>
  <c r="Z2133" i="1"/>
  <c r="Z2181" i="1"/>
  <c r="Z2229" i="1"/>
  <c r="Z2277" i="1"/>
  <c r="Z2325" i="1"/>
  <c r="Z2373" i="1"/>
  <c r="Z2421" i="1"/>
  <c r="Z2469" i="1"/>
  <c r="Z2514" i="1"/>
  <c r="Z2538" i="1"/>
  <c r="Z2562" i="1"/>
  <c r="Z2586" i="1"/>
  <c r="Z2610" i="1"/>
  <c r="Z2634" i="1"/>
  <c r="Z2658" i="1"/>
  <c r="Z1545" i="1"/>
  <c r="Z1712" i="1"/>
  <c r="Z1808" i="1"/>
  <c r="Z1904" i="1"/>
  <c r="Z1991" i="1"/>
  <c r="Z2039" i="1"/>
  <c r="Z2086" i="1"/>
  <c r="Z2134" i="1"/>
  <c r="Z2182" i="1"/>
  <c r="Z2230" i="1"/>
  <c r="Z2278" i="1"/>
  <c r="Z2326" i="1"/>
  <c r="Z2374" i="1"/>
  <c r="Z2422" i="1"/>
  <c r="Z2470" i="1"/>
  <c r="Z1569" i="1"/>
  <c r="Z1992" i="1"/>
  <c r="Z2188" i="1"/>
  <c r="Z2332" i="1"/>
  <c r="Z2428" i="1"/>
  <c r="Z2517" i="1"/>
  <c r="Z2565" i="1"/>
  <c r="Z2613" i="1"/>
  <c r="Z2661" i="1"/>
  <c r="Z2709" i="1"/>
  <c r="Z2757" i="1"/>
  <c r="Z2805" i="1"/>
  <c r="Z1754" i="1"/>
  <c r="Z2060" i="1"/>
  <c r="Z2244" i="1"/>
  <c r="Z2354" i="1"/>
  <c r="Z2450" i="1"/>
  <c r="Z2688" i="1"/>
  <c r="Z2736" i="1"/>
  <c r="Z2784" i="1"/>
  <c r="Z2832" i="1"/>
  <c r="Z2856" i="1"/>
  <c r="Z2880" i="1"/>
  <c r="Z2904" i="1"/>
  <c r="Z2928" i="1"/>
  <c r="Z2952" i="1"/>
  <c r="Z2976" i="1"/>
  <c r="Z3000" i="1"/>
  <c r="Z230" i="1"/>
  <c r="Z362" i="1"/>
  <c r="Z450" i="1"/>
  <c r="Z536" i="1"/>
  <c r="Z399" i="1"/>
  <c r="Z397" i="1"/>
  <c r="Z379" i="1"/>
  <c r="Z587" i="1"/>
  <c r="Z673" i="1"/>
  <c r="Z749" i="1"/>
  <c r="Z361" i="1"/>
  <c r="Z728" i="1"/>
  <c r="Z511" i="1"/>
  <c r="Z209" i="1"/>
  <c r="Z668" i="1"/>
  <c r="Z839" i="1"/>
  <c r="Z911" i="1"/>
  <c r="Z977" i="1"/>
  <c r="Z1009" i="1"/>
  <c r="Z1049" i="1"/>
  <c r="Z1081" i="1"/>
  <c r="Z1121" i="1"/>
  <c r="Z1153" i="1"/>
  <c r="Z570" i="1"/>
  <c r="Z890" i="1"/>
  <c r="Z1050" i="1"/>
  <c r="Z241" i="1"/>
  <c r="Z880" i="1"/>
  <c r="Z746" i="1"/>
  <c r="Z966" i="1"/>
  <c r="Z1094" i="1"/>
  <c r="Z884" i="1"/>
  <c r="Z1170" i="1"/>
  <c r="Z1239" i="1"/>
  <c r="Z1303" i="1"/>
  <c r="Z1345" i="1"/>
  <c r="Z1375" i="1"/>
  <c r="Z1407" i="1"/>
  <c r="Z1004" i="1"/>
  <c r="Z1192" i="1"/>
  <c r="Z1245" i="1"/>
  <c r="Z1293" i="1"/>
  <c r="Z900" i="1"/>
  <c r="Z1096" i="1"/>
  <c r="Z1203" i="1"/>
  <c r="Z1251" i="1"/>
  <c r="Z1299" i="1"/>
  <c r="Z1332" i="1"/>
  <c r="Z1356" i="1"/>
  <c r="Z1380" i="1"/>
  <c r="Z1404" i="1"/>
  <c r="Z1428" i="1"/>
  <c r="Z1452" i="1"/>
  <c r="Z1476" i="1"/>
  <c r="Z1500" i="1"/>
  <c r="Z1524" i="1"/>
  <c r="Z1548" i="1"/>
  <c r="Z1572" i="1"/>
  <c r="Z1596" i="1"/>
  <c r="Z1620" i="1"/>
  <c r="Z948" i="1"/>
  <c r="Z1305" i="1"/>
  <c r="Z1503" i="1"/>
  <c r="Z1599" i="1"/>
  <c r="Z1180" i="1"/>
  <c r="Z1445" i="1"/>
  <c r="Z1541" i="1"/>
  <c r="Z1637" i="1"/>
  <c r="Z1661" i="1"/>
  <c r="Z1685" i="1"/>
  <c r="Z1709" i="1"/>
  <c r="Z1733" i="1"/>
  <c r="Z1757" i="1"/>
  <c r="Z1781" i="1"/>
  <c r="Z1805" i="1"/>
  <c r="Z1829" i="1"/>
  <c r="Z1853" i="1"/>
  <c r="Z1877" i="1"/>
  <c r="Z1901" i="1"/>
  <c r="Z1925" i="1"/>
  <c r="Z1949" i="1"/>
  <c r="Z1973" i="1"/>
  <c r="Z1236" i="1"/>
  <c r="Z1475" i="1"/>
  <c r="Z1571" i="1"/>
  <c r="Z1433" i="1"/>
  <c r="Z1684" i="1"/>
  <c r="Z1780" i="1"/>
  <c r="Z1876" i="1"/>
  <c r="Z1972" i="1"/>
  <c r="Z2025" i="1"/>
  <c r="Z2074" i="1"/>
  <c r="Z2122" i="1"/>
  <c r="Z2170" i="1"/>
  <c r="Z235" i="1"/>
  <c r="Z364" i="1"/>
  <c r="Z452" i="1"/>
  <c r="Z160" i="1"/>
  <c r="Z407" i="1"/>
  <c r="Z405" i="1"/>
  <c r="Z387" i="1"/>
  <c r="Z589" i="1"/>
  <c r="Z677" i="1"/>
  <c r="Z751" i="1"/>
  <c r="Z393" i="1"/>
  <c r="Z736" i="1"/>
  <c r="Z525" i="1"/>
  <c r="Z223" i="1"/>
  <c r="Z676" i="1"/>
  <c r="Z841" i="1"/>
  <c r="Z913" i="1"/>
  <c r="Z979" i="1"/>
  <c r="Z1015" i="1"/>
  <c r="Z1051" i="1"/>
  <c r="Z1087" i="1"/>
  <c r="Z1123" i="1"/>
  <c r="Z1159" i="1"/>
  <c r="Z602" i="1"/>
  <c r="Z914" i="1"/>
  <c r="Z1058" i="1"/>
  <c r="Z527" i="1"/>
  <c r="Z888" i="1"/>
  <c r="Z830" i="1"/>
  <c r="Z974" i="1"/>
  <c r="Z1110" i="1"/>
  <c r="Z916" i="1"/>
  <c r="Z1183" i="1"/>
  <c r="Z1247" i="1"/>
  <c r="Z1306" i="1"/>
  <c r="Z1347" i="1"/>
  <c r="Z1379" i="1"/>
  <c r="Z1409" i="1"/>
  <c r="Z1020" i="1"/>
  <c r="Z1200" i="1"/>
  <c r="Z1248" i="1"/>
  <c r="Z1296" i="1"/>
  <c r="Z920" i="1"/>
  <c r="Z1112" i="1"/>
  <c r="Z1206" i="1"/>
  <c r="Z1254" i="1"/>
  <c r="Z1302" i="1"/>
  <c r="Z1334" i="1"/>
  <c r="Z1358" i="1"/>
  <c r="Z1382" i="1"/>
  <c r="Z1406" i="1"/>
  <c r="Z1430" i="1"/>
  <c r="Z1454" i="1"/>
  <c r="Z1478" i="1"/>
  <c r="Z1502" i="1"/>
  <c r="Z1526" i="1"/>
  <c r="Z1550" i="1"/>
  <c r="Z1574" i="1"/>
  <c r="Z1598" i="1"/>
  <c r="Z1622" i="1"/>
  <c r="Z1012" i="1"/>
  <c r="Z1316" i="1"/>
  <c r="Z1511" i="1"/>
  <c r="Z1607" i="1"/>
  <c r="Z1201" i="1"/>
  <c r="Z1453" i="1"/>
  <c r="Z1549" i="1"/>
  <c r="Z1639" i="1"/>
  <c r="Z1663" i="1"/>
  <c r="Z1687" i="1"/>
  <c r="Z1711" i="1"/>
  <c r="Z1735" i="1"/>
  <c r="Z1759" i="1"/>
  <c r="Z1783" i="1"/>
  <c r="Z1807" i="1"/>
  <c r="Z1831" i="1"/>
  <c r="Z1855" i="1"/>
  <c r="Z1879" i="1"/>
  <c r="Z1903" i="1"/>
  <c r="Z1927" i="1"/>
  <c r="Z1951" i="1"/>
  <c r="Z1975" i="1"/>
  <c r="Z1257" i="1"/>
  <c r="Z1483" i="1"/>
  <c r="Z1579" i="1"/>
  <c r="Z1465" i="1"/>
  <c r="Z1692" i="1"/>
  <c r="Z1788" i="1"/>
  <c r="Z1884" i="1"/>
  <c r="Z1980" i="1"/>
  <c r="Z2029" i="1"/>
  <c r="Z2079" i="1"/>
  <c r="Z2127" i="1"/>
  <c r="Z2175" i="1"/>
  <c r="Z275" i="1"/>
  <c r="Z384" i="1"/>
  <c r="Z472" i="1"/>
  <c r="Z199" i="1"/>
  <c r="Z193" i="1"/>
  <c r="Z197" i="1"/>
  <c r="Z467" i="1"/>
  <c r="Z609" i="1"/>
  <c r="Z693" i="1"/>
  <c r="Z767" i="1"/>
  <c r="Z503" i="1"/>
  <c r="Z800" i="1"/>
  <c r="Z590" i="1"/>
  <c r="Z437" i="1"/>
  <c r="Z740" i="1"/>
  <c r="Z857" i="1"/>
  <c r="Z929" i="1"/>
  <c r="Z981" i="1"/>
  <c r="Z1017" i="1"/>
  <c r="Z1053" i="1"/>
  <c r="Z1089" i="1"/>
  <c r="Z1125" i="1"/>
  <c r="Z1161" i="1"/>
  <c r="Z634" i="1"/>
  <c r="Z922" i="1"/>
  <c r="Z1066" i="1"/>
  <c r="Z562" i="1"/>
  <c r="Z896" i="1"/>
  <c r="Z838" i="1"/>
  <c r="Z982" i="1"/>
  <c r="Z1118" i="1"/>
  <c r="Z960" i="1"/>
  <c r="Z1186" i="1"/>
  <c r="Z1250" i="1"/>
  <c r="Z1319" i="1"/>
  <c r="Z1349" i="1"/>
  <c r="Z1381" i="1"/>
  <c r="Z1415" i="1"/>
  <c r="Z1036" i="1"/>
  <c r="Z1205" i="1"/>
  <c r="Z1253" i="1"/>
  <c r="Z1301" i="1"/>
  <c r="Z936" i="1"/>
  <c r="Z1128" i="1"/>
  <c r="Z1211" i="1"/>
  <c r="Z1259" i="1"/>
  <c r="Z1307" i="1"/>
  <c r="Z1336" i="1"/>
  <c r="Z1360" i="1"/>
  <c r="Z1384" i="1"/>
  <c r="Z1408" i="1"/>
  <c r="Z1432" i="1"/>
  <c r="Z1456" i="1"/>
  <c r="Z1480" i="1"/>
  <c r="Z1504" i="1"/>
  <c r="Z1528" i="1"/>
  <c r="Z1552" i="1"/>
  <c r="Z1576" i="1"/>
  <c r="Z1600" i="1"/>
  <c r="Z1624" i="1"/>
  <c r="Z1076" i="1"/>
  <c r="Z1423" i="1"/>
  <c r="Z1519" i="1"/>
  <c r="Z1615" i="1"/>
  <c r="Z1212" i="1"/>
  <c r="Z1461" i="1"/>
  <c r="Z1557" i="1"/>
  <c r="Z1641" i="1"/>
  <c r="Z1665" i="1"/>
  <c r="Z1689" i="1"/>
  <c r="Z1713" i="1"/>
  <c r="Z1737" i="1"/>
  <c r="Z1761" i="1"/>
  <c r="Z1785" i="1"/>
  <c r="Z1809" i="1"/>
  <c r="Z1833" i="1"/>
  <c r="Z1857" i="1"/>
  <c r="Z1881" i="1"/>
  <c r="Z1905" i="1"/>
  <c r="Z1929" i="1"/>
  <c r="Z1953" i="1"/>
  <c r="Z1977" i="1"/>
  <c r="Z1268" i="1"/>
  <c r="Z1491" i="1"/>
  <c r="Z1587" i="1"/>
  <c r="Z1497" i="1"/>
  <c r="Z1700" i="1"/>
  <c r="Z1796" i="1"/>
  <c r="Z1892" i="1"/>
  <c r="Z1985" i="1"/>
  <c r="Z2033" i="1"/>
  <c r="Z2082" i="1"/>
  <c r="Z2130" i="1"/>
  <c r="Z2178" i="1"/>
  <c r="Z283" i="1"/>
  <c r="Z388" i="1"/>
  <c r="Z476" i="1"/>
  <c r="Z224" i="1"/>
  <c r="Z204" i="1"/>
  <c r="Z208" i="1"/>
  <c r="Z483" i="1"/>
  <c r="Z613" i="1"/>
  <c r="Z699" i="1"/>
  <c r="Z771" i="1"/>
  <c r="Z521" i="1"/>
  <c r="Z804" i="1"/>
  <c r="Z606" i="1"/>
  <c r="Z455" i="1"/>
  <c r="Z756" i="1"/>
  <c r="Z861" i="1"/>
  <c r="Z933" i="1"/>
  <c r="Z983" i="1"/>
  <c r="Z1019" i="1"/>
  <c r="Z1055" i="1"/>
  <c r="Z1091" i="1"/>
  <c r="Z1127" i="1"/>
  <c r="Z1163" i="1"/>
  <c r="Z666" i="1"/>
  <c r="Z930" i="1"/>
  <c r="Z1074" i="1"/>
  <c r="Z594" i="1"/>
  <c r="Z904" i="1"/>
  <c r="Z846" i="1"/>
  <c r="Z990" i="1"/>
  <c r="Z1126" i="1"/>
  <c r="Z976" i="1"/>
  <c r="Z1191" i="1"/>
  <c r="Z1255" i="1"/>
  <c r="Z1321" i="1"/>
  <c r="Z1351" i="1"/>
  <c r="Z1383" i="1"/>
  <c r="Z1417" i="1"/>
  <c r="Z1052" i="1"/>
  <c r="Z1208" i="1"/>
  <c r="Z1256" i="1"/>
  <c r="Z1304" i="1"/>
  <c r="Z952" i="1"/>
  <c r="Z1144" i="1"/>
  <c r="Z1214" i="1"/>
  <c r="Z1262" i="1"/>
  <c r="Z1310" i="1"/>
  <c r="Z1338" i="1"/>
  <c r="Z1362" i="1"/>
  <c r="Z1386" i="1"/>
  <c r="Z1410" i="1"/>
  <c r="Z1434" i="1"/>
  <c r="Z1458" i="1"/>
  <c r="Z1482" i="1"/>
  <c r="Z1506" i="1"/>
  <c r="Z1530" i="1"/>
  <c r="Z1554" i="1"/>
  <c r="Z1578" i="1"/>
  <c r="Z1602" i="1"/>
  <c r="Z1626" i="1"/>
  <c r="Z1140" i="1"/>
  <c r="Z1431" i="1"/>
  <c r="Z1527" i="1"/>
  <c r="Z1623" i="1"/>
  <c r="Z1233" i="1"/>
  <c r="Z1469" i="1"/>
  <c r="Z1565" i="1"/>
  <c r="Z1643" i="1"/>
  <c r="Z1667" i="1"/>
  <c r="Z1691" i="1"/>
  <c r="Z1715" i="1"/>
  <c r="Z1739" i="1"/>
  <c r="Z1763" i="1"/>
  <c r="Z1787" i="1"/>
  <c r="Z1811" i="1"/>
  <c r="Z1835" i="1"/>
  <c r="Z1859" i="1"/>
  <c r="Z1883" i="1"/>
  <c r="Z1907" i="1"/>
  <c r="Z1931" i="1"/>
  <c r="Z1955" i="1"/>
  <c r="Z1979" i="1"/>
  <c r="Z1289" i="1"/>
  <c r="Z1499" i="1"/>
  <c r="Z1595" i="1"/>
  <c r="Z1529" i="1"/>
  <c r="Z1708" i="1"/>
  <c r="Z1804" i="1"/>
  <c r="Z1900" i="1"/>
  <c r="Z1989" i="1"/>
  <c r="Z2037" i="1"/>
  <c r="Z2087" i="1"/>
  <c r="Z2135" i="1"/>
  <c r="Z2183" i="1"/>
  <c r="Z2231" i="1"/>
  <c r="Z1028" i="1"/>
  <c r="Z1646" i="1"/>
  <c r="Z1742" i="1"/>
  <c r="Z1838" i="1"/>
  <c r="Z1934" i="1"/>
  <c r="Z2006" i="1"/>
  <c r="Z2054" i="1"/>
  <c r="Z2101" i="1"/>
  <c r="Z2149" i="1"/>
  <c r="Z2197" i="1"/>
  <c r="Z2245" i="1"/>
  <c r="Z2293" i="1"/>
  <c r="Z2341" i="1"/>
  <c r="Z2389" i="1"/>
  <c r="Z2437" i="1"/>
  <c r="Z2485" i="1"/>
  <c r="Z2522" i="1"/>
  <c r="Z2546" i="1"/>
  <c r="Z2570" i="1"/>
  <c r="Z2594" i="1"/>
  <c r="Z2618" i="1"/>
  <c r="Z2642" i="1"/>
  <c r="Z2666" i="1"/>
  <c r="Z1648" i="1"/>
  <c r="Z1744" i="1"/>
  <c r="Z1840" i="1"/>
  <c r="Z1936" i="1"/>
  <c r="Z2007" i="1"/>
  <c r="Z2055" i="1"/>
  <c r="Z2102" i="1"/>
  <c r="Z2150" i="1"/>
  <c r="Z2198" i="1"/>
  <c r="Z2246" i="1"/>
  <c r="Z2294" i="1"/>
  <c r="Z2342" i="1"/>
  <c r="Z2390" i="1"/>
  <c r="Z2438" i="1"/>
  <c r="Z2486" i="1"/>
  <c r="Z1746" i="1"/>
  <c r="Z2056" i="1"/>
  <c r="Z2252" i="1"/>
  <c r="Z2364" i="1"/>
  <c r="Z2460" i="1"/>
  <c r="Z2533" i="1"/>
  <c r="Z2581" i="1"/>
  <c r="Z2629" i="1"/>
  <c r="Z2677" i="1"/>
  <c r="Z2725" i="1"/>
  <c r="Z2773" i="1"/>
  <c r="Z2821" i="1"/>
  <c r="Z1882" i="1"/>
  <c r="Z286" i="1"/>
  <c r="Z392" i="1"/>
  <c r="Z478" i="1"/>
  <c r="Z228" i="1"/>
  <c r="Z207" i="1"/>
  <c r="Z212" i="1"/>
  <c r="Z499" i="1"/>
  <c r="Z615" i="1"/>
  <c r="Z701" i="1"/>
  <c r="Z773" i="1"/>
  <c r="Z535" i="1"/>
  <c r="Z806" i="1"/>
  <c r="Z614" i="1"/>
  <c r="Z469" i="1"/>
  <c r="Z764" i="1"/>
  <c r="Z863" i="1"/>
  <c r="Z935" i="1"/>
  <c r="Z985" i="1"/>
  <c r="Z1025" i="1"/>
  <c r="Z1057" i="1"/>
  <c r="Z1097" i="1"/>
  <c r="Z1129" i="1"/>
  <c r="Z1169" i="1"/>
  <c r="Z698" i="1"/>
  <c r="Z954" i="1"/>
  <c r="Z1082" i="1"/>
  <c r="Z690" i="1"/>
  <c r="Z912" i="1"/>
  <c r="Z870" i="1"/>
  <c r="Z998" i="1"/>
  <c r="Z1134" i="1"/>
  <c r="Z992" i="1"/>
  <c r="Z1199" i="1"/>
  <c r="Z1258" i="1"/>
  <c r="Z1323" i="1"/>
  <c r="Z1355" i="1"/>
  <c r="Z1385" i="1"/>
  <c r="Z269" i="1"/>
  <c r="Z1084" i="1"/>
  <c r="Z1213" i="1"/>
  <c r="Z1261" i="1"/>
  <c r="Z1309" i="1"/>
  <c r="Z968" i="1"/>
  <c r="Z1160" i="1"/>
  <c r="Z1219" i="1"/>
  <c r="Z1267" i="1"/>
  <c r="Z1315" i="1"/>
  <c r="Z1340" i="1"/>
  <c r="Z1364" i="1"/>
  <c r="Z1388" i="1"/>
  <c r="Z1412" i="1"/>
  <c r="Z1436" i="1"/>
  <c r="Z1460" i="1"/>
  <c r="Z1484" i="1"/>
  <c r="Z1508" i="1"/>
  <c r="Z1532" i="1"/>
  <c r="Z1556" i="1"/>
  <c r="Z1580" i="1"/>
  <c r="Z1604" i="1"/>
  <c r="Z1628" i="1"/>
  <c r="Z1176" i="1"/>
  <c r="Z1439" i="1"/>
  <c r="Z1535" i="1"/>
  <c r="Z1631" i="1"/>
  <c r="Z1244" i="1"/>
  <c r="Z1477" i="1"/>
  <c r="Z1573" i="1"/>
  <c r="Z1645" i="1"/>
  <c r="Z1669" i="1"/>
  <c r="Z1693" i="1"/>
  <c r="Z1717" i="1"/>
  <c r="Z1741" i="1"/>
  <c r="Z1765" i="1"/>
  <c r="Z1789" i="1"/>
  <c r="Z1813" i="1"/>
  <c r="Z1837" i="1"/>
  <c r="Z1861" i="1"/>
  <c r="Z1885" i="1"/>
  <c r="Z1909" i="1"/>
  <c r="Z1933" i="1"/>
  <c r="Z1957" i="1"/>
  <c r="Z1981" i="1"/>
  <c r="Z1300" i="1"/>
  <c r="Z1507" i="1"/>
  <c r="Z1603" i="1"/>
  <c r="Z1561" i="1"/>
  <c r="Z1716" i="1"/>
  <c r="Z1812" i="1"/>
  <c r="Z1908" i="1"/>
  <c r="Z1993" i="1"/>
  <c r="Z2041" i="1"/>
  <c r="Z2090" i="1"/>
  <c r="Z2138" i="1"/>
  <c r="Z2186" i="1"/>
  <c r="Z2234" i="1"/>
  <c r="Z1185" i="1"/>
  <c r="Z1654" i="1"/>
  <c r="Z1750" i="1"/>
  <c r="Z1846" i="1"/>
  <c r="Z1942" i="1"/>
  <c r="Z2010" i="1"/>
  <c r="Z2058" i="1"/>
  <c r="Z2104" i="1"/>
  <c r="Z2152" i="1"/>
  <c r="Z2200" i="1"/>
  <c r="Z2248" i="1"/>
  <c r="Z2296" i="1"/>
  <c r="Z2344" i="1"/>
  <c r="Z2392" i="1"/>
  <c r="Z2440" i="1"/>
  <c r="Z2488" i="1"/>
  <c r="Z2524" i="1"/>
  <c r="Z2548" i="1"/>
  <c r="Z2572" i="1"/>
  <c r="Z2596" i="1"/>
  <c r="Z2620" i="1"/>
  <c r="Z2644" i="1"/>
  <c r="Z2668" i="1"/>
  <c r="Z1656" i="1"/>
  <c r="Z1752" i="1"/>
  <c r="Z1848" i="1"/>
  <c r="Z1944" i="1"/>
  <c r="Z2011" i="1"/>
  <c r="Z2059" i="1"/>
  <c r="Z2107" i="1"/>
  <c r="Z2155" i="1"/>
  <c r="Z2203" i="1"/>
  <c r="Z2251" i="1"/>
  <c r="Z2299" i="1"/>
  <c r="Z2347" i="1"/>
  <c r="Z2395" i="1"/>
  <c r="Z2443" i="1"/>
  <c r="Z2491" i="1"/>
  <c r="Z1778" i="1"/>
  <c r="Z2081" i="1"/>
  <c r="Z2273" i="1"/>
  <c r="Z2369" i="1"/>
  <c r="Z2465" i="1"/>
  <c r="Z2537" i="1"/>
  <c r="Z2585" i="1"/>
  <c r="Z2633" i="1"/>
  <c r="Z2682" i="1"/>
  <c r="Z2730" i="1"/>
  <c r="Z2778" i="1"/>
  <c r="Z2826" i="1"/>
  <c r="Z1914" i="1"/>
  <c r="Z2137" i="1"/>
  <c r="Z2295" i="1"/>
  <c r="Z2391" i="1"/>
  <c r="Z2487" i="1"/>
  <c r="Z2707" i="1"/>
  <c r="Z2755" i="1"/>
  <c r="Z2803" i="1"/>
  <c r="Z2842" i="1"/>
  <c r="Z2866" i="1"/>
  <c r="Z2890" i="1"/>
  <c r="Z2914" i="1"/>
  <c r="Z2938" i="1"/>
  <c r="Z2962" i="1"/>
  <c r="Z2986" i="1"/>
  <c r="Z3010" i="1"/>
  <c r="Z291" i="1"/>
  <c r="Z396" i="1"/>
  <c r="Z480" i="1"/>
  <c r="Z231" i="1"/>
  <c r="Z218" i="1"/>
  <c r="Z215" i="1"/>
  <c r="Z515" i="1"/>
  <c r="Z617" i="1"/>
  <c r="Z703" i="1"/>
  <c r="Z775" i="1"/>
  <c r="Z544" i="1"/>
  <c r="Z808" i="1"/>
  <c r="Z622" i="1"/>
  <c r="Z473" i="1"/>
  <c r="Z772" i="1"/>
  <c r="Z865" i="1"/>
  <c r="Z937" i="1"/>
  <c r="Z991" i="1"/>
  <c r="Z1027" i="1"/>
  <c r="Z1063" i="1"/>
  <c r="Z1099" i="1"/>
  <c r="Z1135" i="1"/>
  <c r="Z1171" i="1"/>
  <c r="Z794" i="1"/>
  <c r="Z962" i="1"/>
  <c r="Z1106" i="1"/>
  <c r="Z722" i="1"/>
  <c r="Z401" i="1"/>
  <c r="Z878" i="1"/>
  <c r="Z1022" i="1"/>
  <c r="Z1158" i="1"/>
  <c r="Z1008" i="1"/>
  <c r="Z1202" i="1"/>
  <c r="Z1271" i="1"/>
  <c r="Z1325" i="1"/>
  <c r="Z1357" i="1"/>
  <c r="Z1391" i="1"/>
  <c r="Z546" i="1"/>
  <c r="Z1100" i="1"/>
  <c r="Z1216" i="1"/>
  <c r="Z1264" i="1"/>
  <c r="Z1312" i="1"/>
  <c r="Z984" i="1"/>
  <c r="Z1168" i="1"/>
  <c r="Z1222" i="1"/>
  <c r="Z1270" i="1"/>
  <c r="Z1318" i="1"/>
  <c r="Z1342" i="1"/>
  <c r="Z1366" i="1"/>
  <c r="Z1390" i="1"/>
  <c r="Z1414" i="1"/>
  <c r="Z1438" i="1"/>
  <c r="Z1462" i="1"/>
  <c r="Z1486" i="1"/>
  <c r="Z1510" i="1"/>
  <c r="Z1534" i="1"/>
  <c r="Z1558" i="1"/>
  <c r="Z1582" i="1"/>
  <c r="Z1606" i="1"/>
  <c r="Z1630" i="1"/>
  <c r="Z1188" i="1"/>
  <c r="Z1447" i="1"/>
  <c r="Z1543" i="1"/>
  <c r="Z463" i="1"/>
  <c r="Z1265" i="1"/>
  <c r="Z1485" i="1"/>
  <c r="Z1581" i="1"/>
  <c r="Z1647" i="1"/>
  <c r="Z1671" i="1"/>
  <c r="Z1695" i="1"/>
  <c r="Z1719" i="1"/>
  <c r="Z1743" i="1"/>
  <c r="Z1767" i="1"/>
  <c r="Z1791" i="1"/>
  <c r="Z1815" i="1"/>
  <c r="Z1839" i="1"/>
  <c r="Z1863" i="1"/>
  <c r="Z1887" i="1"/>
  <c r="Z1911" i="1"/>
  <c r="Z1935" i="1"/>
  <c r="Z1959" i="1"/>
  <c r="Z828" i="1"/>
  <c r="Z1419" i="1"/>
  <c r="Z1515" i="1"/>
  <c r="Z1611" i="1"/>
  <c r="Z1593" i="1"/>
  <c r="Z1724" i="1"/>
  <c r="Z1820" i="1"/>
  <c r="Z1916" i="1"/>
  <c r="Z1997" i="1"/>
  <c r="Z2045" i="1"/>
  <c r="Z2095" i="1"/>
  <c r="Z2143" i="1"/>
  <c r="Z2191" i="1"/>
  <c r="Z2239" i="1"/>
  <c r="Z1228" i="1"/>
  <c r="Z1662" i="1"/>
  <c r="Z1758" i="1"/>
  <c r="Z1854" i="1"/>
  <c r="Z1950" i="1"/>
  <c r="Z2014" i="1"/>
  <c r="Z2062" i="1"/>
  <c r="Z2109" i="1"/>
  <c r="Z2157" i="1"/>
  <c r="Z2205" i="1"/>
  <c r="Z2253" i="1"/>
  <c r="Z2301" i="1"/>
  <c r="Z2349" i="1"/>
  <c r="Z2397" i="1"/>
  <c r="Z2445" i="1"/>
  <c r="Z2493" i="1"/>
  <c r="Z2526" i="1"/>
  <c r="Z2550" i="1"/>
  <c r="Z2574" i="1"/>
  <c r="Z2598" i="1"/>
  <c r="Z2622" i="1"/>
  <c r="Z2646" i="1"/>
  <c r="Z964" i="1"/>
  <c r="Z1664" i="1"/>
  <c r="Z1760" i="1"/>
  <c r="Z1856" i="1"/>
  <c r="Z1952" i="1"/>
  <c r="Z2015" i="1"/>
  <c r="Z2063" i="1"/>
  <c r="Z2110" i="1"/>
  <c r="Z2158" i="1"/>
  <c r="Z2206" i="1"/>
  <c r="Z2254" i="1"/>
  <c r="Z2302" i="1"/>
  <c r="Z2350" i="1"/>
  <c r="Z2398" i="1"/>
  <c r="Z2446" i="1"/>
  <c r="Z2494" i="1"/>
  <c r="Z1810" i="1"/>
  <c r="Z2092" i="1"/>
  <c r="Z2284" i="1"/>
  <c r="Z2380" i="1"/>
  <c r="Z2476" i="1"/>
  <c r="Z2541" i="1"/>
  <c r="Z2589" i="1"/>
  <c r="Z2637" i="1"/>
  <c r="Z2685" i="1"/>
  <c r="Z2733" i="1"/>
  <c r="Z2781" i="1"/>
  <c r="Z2829" i="1"/>
  <c r="Z1946" i="1"/>
  <c r="Z2148" i="1"/>
  <c r="Z2306" i="1"/>
  <c r="Z2402" i="1"/>
  <c r="Z2498" i="1"/>
  <c r="Z2712" i="1"/>
  <c r="Z2760" i="1"/>
  <c r="Z2808" i="1"/>
  <c r="Z2844" i="1"/>
  <c r="Z2868" i="1"/>
  <c r="Z2892" i="1"/>
  <c r="Z2916" i="1"/>
  <c r="Z2940" i="1"/>
  <c r="Z2964" i="1"/>
  <c r="Z2988" i="1"/>
  <c r="Z3012" i="1"/>
  <c r="Z288" i="1"/>
  <c r="Z637" i="1"/>
  <c r="Z234" i="1"/>
  <c r="Z881" i="1"/>
  <c r="Z1065" i="1"/>
  <c r="Z826" i="1"/>
  <c r="Z431" i="1"/>
  <c r="Z1024" i="1"/>
  <c r="Z1359" i="1"/>
  <c r="Z1221" i="1"/>
  <c r="Z1172" i="1"/>
  <c r="Z1344" i="1"/>
  <c r="Z1440" i="1"/>
  <c r="Z1536" i="1"/>
  <c r="Z1632" i="1"/>
  <c r="Z816" i="1"/>
  <c r="Z1649" i="1"/>
  <c r="Z1745" i="1"/>
  <c r="Z1841" i="1"/>
  <c r="Z1937" i="1"/>
  <c r="Z1523" i="1"/>
  <c r="Z1828" i="1"/>
  <c r="Z2098" i="1"/>
  <c r="Z2226" i="1"/>
  <c r="Z1585" i="1"/>
  <c r="Z1782" i="1"/>
  <c r="Z1958" i="1"/>
  <c r="Z2046" i="1"/>
  <c r="Z2125" i="1"/>
  <c r="Z2213" i="1"/>
  <c r="Z2288" i="1"/>
  <c r="Z2376" i="1"/>
  <c r="Z2456" i="1"/>
  <c r="Z2528" i="1"/>
  <c r="Z2566" i="1"/>
  <c r="Z2606" i="1"/>
  <c r="Z2650" i="1"/>
  <c r="Z163" i="1"/>
  <c r="Z295" i="1"/>
  <c r="Z641" i="1"/>
  <c r="Z305" i="1"/>
  <c r="Z885" i="1"/>
  <c r="Z1067" i="1"/>
  <c r="Z834" i="1"/>
  <c r="Z445" i="1"/>
  <c r="Z1056" i="1"/>
  <c r="Z1361" i="1"/>
  <c r="Z1224" i="1"/>
  <c r="Z1182" i="1"/>
  <c r="Z1346" i="1"/>
  <c r="Z1442" i="1"/>
  <c r="Z1538" i="1"/>
  <c r="Z1634" i="1"/>
  <c r="Z860" i="1"/>
  <c r="Z1651" i="1"/>
  <c r="Z1747" i="1"/>
  <c r="Z1843" i="1"/>
  <c r="Z1939" i="1"/>
  <c r="Z1531" i="1"/>
  <c r="Z1836" i="1"/>
  <c r="Z2103" i="1"/>
  <c r="Z2242" i="1"/>
  <c r="Z1617" i="1"/>
  <c r="Z1790" i="1"/>
  <c r="Z1966" i="1"/>
  <c r="Z2050" i="1"/>
  <c r="Z2136" i="1"/>
  <c r="Z2216" i="1"/>
  <c r="Z2304" i="1"/>
  <c r="Z2381" i="1"/>
  <c r="Z2461" i="1"/>
  <c r="Z2530" i="1"/>
  <c r="Z2568" i="1"/>
  <c r="Z2612" i="1"/>
  <c r="Z2652" i="1"/>
  <c r="Z1672" i="1"/>
  <c r="Z1824" i="1"/>
  <c r="Z1983" i="1"/>
  <c r="Z2070" i="1"/>
  <c r="Z2147" i="1"/>
  <c r="Z2235" i="1"/>
  <c r="Z2315" i="1"/>
  <c r="Z2403" i="1"/>
  <c r="Z2478" i="1"/>
  <c r="Z1938" i="1"/>
  <c r="Z2300" i="1"/>
  <c r="Z2449" i="1"/>
  <c r="Z2569" i="1"/>
  <c r="Z2649" i="1"/>
  <c r="Z2738" i="1"/>
  <c r="Z2813" i="1"/>
  <c r="Z2028" i="1"/>
  <c r="Z2290" i="1"/>
  <c r="Z2434" i="1"/>
  <c r="Z2704" i="1"/>
  <c r="Z2776" i="1"/>
  <c r="Z2840" i="1"/>
  <c r="Z2876" i="1"/>
  <c r="Z2912" i="1"/>
  <c r="Z2948" i="1"/>
  <c r="Z2984" i="1"/>
  <c r="Z3020" i="1"/>
  <c r="Z3044" i="1"/>
  <c r="Z3068" i="1"/>
  <c r="Z3092" i="1"/>
  <c r="Z3116" i="1"/>
  <c r="Z3140" i="1"/>
  <c r="Z3164" i="1"/>
  <c r="Z3188" i="1"/>
  <c r="Z3212" i="1"/>
  <c r="Z3236" i="1"/>
  <c r="Z3260" i="1"/>
  <c r="Z3284" i="1"/>
  <c r="Z3308" i="1"/>
  <c r="Z3332" i="1"/>
  <c r="Z3356" i="1"/>
  <c r="Z3380" i="1"/>
  <c r="Z3404" i="1"/>
  <c r="Z3428" i="1"/>
  <c r="Z3452" i="1"/>
  <c r="Z3476" i="1"/>
  <c r="Z3500" i="1"/>
  <c r="Z3524" i="1"/>
  <c r="Z3548" i="1"/>
  <c r="Z3572" i="1"/>
  <c r="Z3596" i="1"/>
  <c r="Z3620" i="1"/>
  <c r="Z3644" i="1"/>
  <c r="Z3668" i="1"/>
  <c r="Z3692" i="1"/>
  <c r="Z3716" i="1"/>
  <c r="Z3740" i="1"/>
  <c r="Z3764" i="1"/>
  <c r="Z3788" i="1"/>
  <c r="Z3812" i="1"/>
  <c r="Z1826" i="1"/>
  <c r="Z2097" i="1"/>
  <c r="Z2276" i="1"/>
  <c r="Z2372" i="1"/>
  <c r="Z2468" i="1"/>
  <c r="Z2539" i="1"/>
  <c r="Z2587" i="1"/>
  <c r="Z2635" i="1"/>
  <c r="Z2681" i="1"/>
  <c r="Z2729" i="1"/>
  <c r="Z2777" i="1"/>
  <c r="Z2825" i="1"/>
  <c r="Z2346" i="1"/>
  <c r="Z2780" i="1"/>
  <c r="Z2897" i="1"/>
  <c r="Z2993" i="1"/>
  <c r="Z3089" i="1"/>
  <c r="Z3185" i="1"/>
  <c r="Z3281" i="1"/>
  <c r="Z3377" i="1"/>
  <c r="Z3473" i="1"/>
  <c r="Z3569" i="1"/>
  <c r="Z3665" i="1"/>
  <c r="Z3761" i="1"/>
  <c r="Z3828" i="1"/>
  <c r="Z3852" i="1"/>
  <c r="Z3876" i="1"/>
  <c r="Z3900" i="1"/>
  <c r="Z3924" i="1"/>
  <c r="Z3948" i="1"/>
  <c r="Z3978" i="1"/>
  <c r="Z2260" i="1"/>
  <c r="Z2740" i="1"/>
  <c r="Z2883" i="1"/>
  <c r="Z2979" i="1"/>
  <c r="Z3075" i="1"/>
  <c r="Z3171" i="1"/>
  <c r="Z3267" i="1"/>
  <c r="Z3363" i="1"/>
  <c r="Z3459" i="1"/>
  <c r="Z3555" i="1"/>
  <c r="Z3651" i="1"/>
  <c r="Z3747" i="1"/>
  <c r="Z1988" i="1"/>
  <c r="Z2679" i="1"/>
  <c r="Z2853" i="1"/>
  <c r="Z2949" i="1"/>
  <c r="Z3045" i="1"/>
  <c r="Z3141" i="1"/>
  <c r="Z3237" i="1"/>
  <c r="Z3333" i="1"/>
  <c r="Z3429" i="1"/>
  <c r="Z3525" i="1"/>
  <c r="Z3621" i="1"/>
  <c r="Z3717" i="1"/>
  <c r="Z3813" i="1"/>
  <c r="Z3841" i="1"/>
  <c r="Z3865" i="1"/>
  <c r="Z3889" i="1"/>
  <c r="Z3913" i="1"/>
  <c r="Z3937" i="1"/>
  <c r="Z3961" i="1"/>
  <c r="Z3985" i="1"/>
  <c r="Z1898" i="1"/>
  <c r="Z2511" i="1"/>
  <c r="Z2839" i="1"/>
  <c r="Z2935" i="1"/>
  <c r="Z3031" i="1"/>
  <c r="Z3127" i="1"/>
  <c r="Z3223" i="1"/>
  <c r="Z3319" i="1"/>
  <c r="Z171" i="1"/>
  <c r="Z306" i="1"/>
  <c r="Z643" i="1"/>
  <c r="Z319" i="1"/>
  <c r="Z887" i="1"/>
  <c r="Z1073" i="1"/>
  <c r="Z858" i="1"/>
  <c r="Z618" i="1"/>
  <c r="Z1072" i="1"/>
  <c r="Z1367" i="1"/>
  <c r="Z1229" i="1"/>
  <c r="Z1187" i="1"/>
  <c r="Z1348" i="1"/>
  <c r="Z1444" i="1"/>
  <c r="Z1540" i="1"/>
  <c r="Z1636" i="1"/>
  <c r="Z932" i="1"/>
  <c r="Z1653" i="1"/>
  <c r="Z1749" i="1"/>
  <c r="Z1845" i="1"/>
  <c r="Z1941" i="1"/>
  <c r="Z1539" i="1"/>
  <c r="Z1844" i="1"/>
  <c r="Z2106" i="1"/>
  <c r="Z2247" i="1"/>
  <c r="Z1638" i="1"/>
  <c r="Z1814" i="1"/>
  <c r="Z1974" i="1"/>
  <c r="Z2066" i="1"/>
  <c r="Z2141" i="1"/>
  <c r="Z2221" i="1"/>
  <c r="Z2309" i="1"/>
  <c r="Z2384" i="1"/>
  <c r="Z2472" i="1"/>
  <c r="Z2532" i="1"/>
  <c r="Z2576" i="1"/>
  <c r="Z2614" i="1"/>
  <c r="Z2654" i="1"/>
  <c r="Z1680" i="1"/>
  <c r="Z1832" i="1"/>
  <c r="Z1995" i="1"/>
  <c r="Z2075" i="1"/>
  <c r="Z2163" i="1"/>
  <c r="Z2238" i="1"/>
  <c r="Z2318" i="1"/>
  <c r="Z2406" i="1"/>
  <c r="Z2483" i="1"/>
  <c r="Z2008" i="1"/>
  <c r="Z2305" i="1"/>
  <c r="Z2481" i="1"/>
  <c r="Z2573" i="1"/>
  <c r="Z2653" i="1"/>
  <c r="Z2741" i="1"/>
  <c r="Z2818" i="1"/>
  <c r="Z2073" i="1"/>
  <c r="Z2311" i="1"/>
  <c r="Z2455" i="1"/>
  <c r="Z2715" i="1"/>
  <c r="Z2787" i="1"/>
  <c r="Z2846" i="1"/>
  <c r="Z2882" i="1"/>
  <c r="Z2918" i="1"/>
  <c r="Z2954" i="1"/>
  <c r="Z2990" i="1"/>
  <c r="Z3022" i="1"/>
  <c r="Z3046" i="1"/>
  <c r="Z3070" i="1"/>
  <c r="Z3094" i="1"/>
  <c r="Z3118" i="1"/>
  <c r="Z3142" i="1"/>
  <c r="Z3166" i="1"/>
  <c r="Z3190" i="1"/>
  <c r="Z3214" i="1"/>
  <c r="Z3238" i="1"/>
  <c r="Z3262" i="1"/>
  <c r="Z3286" i="1"/>
  <c r="Z3310" i="1"/>
  <c r="Z3334" i="1"/>
  <c r="Z3358" i="1"/>
  <c r="Z3382" i="1"/>
  <c r="Z3406" i="1"/>
  <c r="Z3430" i="1"/>
  <c r="Z3454" i="1"/>
  <c r="Z3478" i="1"/>
  <c r="Z3502" i="1"/>
  <c r="Z3526" i="1"/>
  <c r="Z3550" i="1"/>
  <c r="Z3574" i="1"/>
  <c r="Z3598" i="1"/>
  <c r="Z3622" i="1"/>
  <c r="Z3646" i="1"/>
  <c r="Z3670" i="1"/>
  <c r="Z3694" i="1"/>
  <c r="Z3718" i="1"/>
  <c r="Z3742" i="1"/>
  <c r="Z3766" i="1"/>
  <c r="Z3790" i="1"/>
  <c r="Z3814" i="1"/>
  <c r="Z1858" i="1"/>
  <c r="Z2108" i="1"/>
  <c r="Z2281" i="1"/>
  <c r="Z2377" i="1"/>
  <c r="Z2473" i="1"/>
  <c r="Z2543" i="1"/>
  <c r="Z2591" i="1"/>
  <c r="Z2639" i="1"/>
  <c r="Z2686" i="1"/>
  <c r="Z2734" i="1"/>
  <c r="Z2782" i="1"/>
  <c r="Z2830" i="1"/>
  <c r="Z2367" i="1"/>
  <c r="Z2791" i="1"/>
  <c r="Z2905" i="1"/>
  <c r="Z3001" i="1"/>
  <c r="Z3097" i="1"/>
  <c r="Z3193" i="1"/>
  <c r="Z3289" i="1"/>
  <c r="Z3385" i="1"/>
  <c r="Z3481" i="1"/>
  <c r="Z3577" i="1"/>
  <c r="Z3673" i="1"/>
  <c r="Z3769" i="1"/>
  <c r="Z3830" i="1"/>
  <c r="Z3854" i="1"/>
  <c r="Z3878" i="1"/>
  <c r="Z3902" i="1"/>
  <c r="Z3926" i="1"/>
  <c r="Z3950" i="1"/>
  <c r="Z3984" i="1"/>
  <c r="Z2287" i="1"/>
  <c r="Z2751" i="1"/>
  <c r="Z2891" i="1"/>
  <c r="Z2987" i="1"/>
  <c r="Z3083" i="1"/>
  <c r="Z3179" i="1"/>
  <c r="Z3275" i="1"/>
  <c r="Z3371" i="1"/>
  <c r="Z3467" i="1"/>
  <c r="Z3563" i="1"/>
  <c r="Z3659" i="1"/>
  <c r="Z3755" i="1"/>
  <c r="Z2052" i="1"/>
  <c r="Z2700" i="1"/>
  <c r="Z2861" i="1"/>
  <c r="Z2957" i="1"/>
  <c r="Z3053" i="1"/>
  <c r="Z3149" i="1"/>
  <c r="Z3245" i="1"/>
  <c r="Z3341" i="1"/>
  <c r="Z3437" i="1"/>
  <c r="Z3533" i="1"/>
  <c r="Z3629" i="1"/>
  <c r="Z3725" i="1"/>
  <c r="Z3819" i="1"/>
  <c r="Z3843" i="1"/>
  <c r="Z3867" i="1"/>
  <c r="Z3891" i="1"/>
  <c r="Z3915" i="1"/>
  <c r="Z3939" i="1"/>
  <c r="Z3963" i="1"/>
  <c r="Z3987" i="1"/>
  <c r="Z2004" i="1"/>
  <c r="Z2671" i="1"/>
  <c r="Z2847" i="1"/>
  <c r="Z2943" i="1"/>
  <c r="Z3039" i="1"/>
  <c r="Z3135" i="1"/>
  <c r="Z3231" i="1"/>
  <c r="Z3327" i="1"/>
  <c r="Z328" i="1"/>
  <c r="Z268" i="1"/>
  <c r="Z719" i="1"/>
  <c r="Z686" i="1"/>
  <c r="Z953" i="1"/>
  <c r="Z1101" i="1"/>
  <c r="Z970" i="1"/>
  <c r="Z886" i="1"/>
  <c r="Z1207" i="1"/>
  <c r="Z1393" i="1"/>
  <c r="Z1269" i="1"/>
  <c r="Z1227" i="1"/>
  <c r="Z1368" i="1"/>
  <c r="Z1464" i="1"/>
  <c r="Z1560" i="1"/>
  <c r="Z1209" i="1"/>
  <c r="Z1276" i="1"/>
  <c r="Z1673" i="1"/>
  <c r="Z1769" i="1"/>
  <c r="Z1865" i="1"/>
  <c r="Z1961" i="1"/>
  <c r="Z1619" i="1"/>
  <c r="Z1924" i="1"/>
  <c r="Z2146" i="1"/>
  <c r="Z2250" i="1"/>
  <c r="Z1670" i="1"/>
  <c r="Z1822" i="1"/>
  <c r="Z1982" i="1"/>
  <c r="Z2069" i="1"/>
  <c r="Z2144" i="1"/>
  <c r="Z2232" i="1"/>
  <c r="Z2312" i="1"/>
  <c r="Z2400" i="1"/>
  <c r="Z2477" i="1"/>
  <c r="Z2534" i="1"/>
  <c r="Z2578" i="1"/>
  <c r="Z2616" i="1"/>
  <c r="Z2660" i="1"/>
  <c r="Z1688" i="1"/>
  <c r="Z1864" i="1"/>
  <c r="Z1999" i="1"/>
  <c r="Z2078" i="1"/>
  <c r="Z2166" i="1"/>
  <c r="Z2243" i="1"/>
  <c r="Z2331" i="1"/>
  <c r="Z2411" i="1"/>
  <c r="Z2499" i="1"/>
  <c r="Z2024" i="1"/>
  <c r="Z2316" i="1"/>
  <c r="Z2492" i="1"/>
  <c r="Z2577" i="1"/>
  <c r="Z2665" i="1"/>
  <c r="Z2746" i="1"/>
  <c r="Z1249" i="1"/>
  <c r="Z2084" i="1"/>
  <c r="Z2322" i="1"/>
  <c r="Z2466" i="1"/>
  <c r="Z2720" i="1"/>
  <c r="Z2792" i="1"/>
  <c r="Z2848" i="1"/>
  <c r="Z2884" i="1"/>
  <c r="Z2920" i="1"/>
  <c r="Z2956" i="1"/>
  <c r="Z2992" i="1"/>
  <c r="Z3024" i="1"/>
  <c r="Z3048" i="1"/>
  <c r="Z3072" i="1"/>
  <c r="Z3096" i="1"/>
  <c r="Z3120" i="1"/>
  <c r="Z3144" i="1"/>
  <c r="Z3168" i="1"/>
  <c r="Z3192" i="1"/>
  <c r="Z3216" i="1"/>
  <c r="Z3240" i="1"/>
  <c r="Z3264" i="1"/>
  <c r="Z3288" i="1"/>
  <c r="Z3312" i="1"/>
  <c r="Z3336" i="1"/>
  <c r="Z3360" i="1"/>
  <c r="Z3384" i="1"/>
  <c r="Z3408" i="1"/>
  <c r="Z3432" i="1"/>
  <c r="Z3456" i="1"/>
  <c r="Z3480" i="1"/>
  <c r="Z3504" i="1"/>
  <c r="Z3528" i="1"/>
  <c r="Z3552" i="1"/>
  <c r="Z3576" i="1"/>
  <c r="Z3600" i="1"/>
  <c r="Z3624" i="1"/>
  <c r="Z3648" i="1"/>
  <c r="Z3672" i="1"/>
  <c r="Z3696" i="1"/>
  <c r="Z3720" i="1"/>
  <c r="Z3744" i="1"/>
  <c r="Z3768" i="1"/>
  <c r="Z3792" i="1"/>
  <c r="Z3816" i="1"/>
  <c r="Z1890" i="1"/>
  <c r="Z2129" i="1"/>
  <c r="Z2292" i="1"/>
  <c r="Z2388" i="1"/>
  <c r="Z2484" i="1"/>
  <c r="Z2547" i="1"/>
  <c r="Z2595" i="1"/>
  <c r="Z2643" i="1"/>
  <c r="Z2689" i="1"/>
  <c r="Z2737" i="1"/>
  <c r="Z2785" i="1"/>
  <c r="Z1156" i="1"/>
  <c r="Z2410" i="1"/>
  <c r="Z2812" i="1"/>
  <c r="Z2913" i="1"/>
  <c r="Z3009" i="1"/>
  <c r="Z3105" i="1"/>
  <c r="Z3201" i="1"/>
  <c r="Z3297" i="1"/>
  <c r="Z3393" i="1"/>
  <c r="Z3489" i="1"/>
  <c r="Z3585" i="1"/>
  <c r="Z3681" i="1"/>
  <c r="Z3777" i="1"/>
  <c r="Z3832" i="1"/>
  <c r="Z3856" i="1"/>
  <c r="Z3880" i="1"/>
  <c r="Z3904" i="1"/>
  <c r="Z3928" i="1"/>
  <c r="Z3952" i="1"/>
  <c r="Z3990" i="1"/>
  <c r="Z332" i="1"/>
  <c r="Z282" i="1"/>
  <c r="Z723" i="1"/>
  <c r="Z702" i="1"/>
  <c r="Z955" i="1"/>
  <c r="Z1103" i="1"/>
  <c r="Z978" i="1"/>
  <c r="Z894" i="1"/>
  <c r="Z1210" i="1"/>
  <c r="Z1395" i="1"/>
  <c r="Z1272" i="1"/>
  <c r="Z1230" i="1"/>
  <c r="Z1370" i="1"/>
  <c r="Z1466" i="1"/>
  <c r="Z1562" i="1"/>
  <c r="Z1220" i="1"/>
  <c r="Z1297" i="1"/>
  <c r="Z1675" i="1"/>
  <c r="Z1771" i="1"/>
  <c r="Z1867" i="1"/>
  <c r="Z1963" i="1"/>
  <c r="Z1627" i="1"/>
  <c r="Z1932" i="1"/>
  <c r="Z2151" i="1"/>
  <c r="Z2255" i="1"/>
  <c r="Z1678" i="1"/>
  <c r="Z1830" i="1"/>
  <c r="Z1994" i="1"/>
  <c r="Z2072" i="1"/>
  <c r="Z2160" i="1"/>
  <c r="Z2237" i="1"/>
  <c r="Z2317" i="1"/>
  <c r="Z2405" i="1"/>
  <c r="Z2480" i="1"/>
  <c r="Z2540" i="1"/>
  <c r="Z2580" i="1"/>
  <c r="Z2624" i="1"/>
  <c r="Z2662" i="1"/>
  <c r="Z1696" i="1"/>
  <c r="Z1872" i="1"/>
  <c r="Z2003" i="1"/>
  <c r="Z2091" i="1"/>
  <c r="Z2171" i="1"/>
  <c r="Z2259" i="1"/>
  <c r="Z2334" i="1"/>
  <c r="Z2414" i="1"/>
  <c r="Z2502" i="1"/>
  <c r="Z2040" i="1"/>
  <c r="Z2337" i="1"/>
  <c r="Z2497" i="1"/>
  <c r="Z2593" i="1"/>
  <c r="Z2669" i="1"/>
  <c r="Z2749" i="1"/>
  <c r="Z1537" i="1"/>
  <c r="Z2105" i="1"/>
  <c r="Z2327" i="1"/>
  <c r="Z2471" i="1"/>
  <c r="Z2723" i="1"/>
  <c r="Z2795" i="1"/>
  <c r="Z2850" i="1"/>
  <c r="Z2886" i="1"/>
  <c r="Z2922" i="1"/>
  <c r="Z2958" i="1"/>
  <c r="Z2994" i="1"/>
  <c r="Z3026" i="1"/>
  <c r="Z3050" i="1"/>
  <c r="Z3074" i="1"/>
  <c r="Z3098" i="1"/>
  <c r="Z3122" i="1"/>
  <c r="Z3146" i="1"/>
  <c r="Z3170" i="1"/>
  <c r="Z3194" i="1"/>
  <c r="Z3218" i="1"/>
  <c r="Z3242" i="1"/>
  <c r="Z3266" i="1"/>
  <c r="Z3290" i="1"/>
  <c r="Z3314" i="1"/>
  <c r="Z3338" i="1"/>
  <c r="Z3362" i="1"/>
  <c r="Z3386" i="1"/>
  <c r="Z3410" i="1"/>
  <c r="Z3434" i="1"/>
  <c r="Z3458" i="1"/>
  <c r="Z3482" i="1"/>
  <c r="Z3506" i="1"/>
  <c r="Z3530" i="1"/>
  <c r="Z3554" i="1"/>
  <c r="Z3578" i="1"/>
  <c r="Z3602" i="1"/>
  <c r="Z3626" i="1"/>
  <c r="Z3650" i="1"/>
  <c r="Z3674" i="1"/>
  <c r="Z3698" i="1"/>
  <c r="Z3722" i="1"/>
  <c r="Z3746" i="1"/>
  <c r="Z3770" i="1"/>
  <c r="Z3794" i="1"/>
  <c r="Z3818" i="1"/>
  <c r="Z1922" i="1"/>
  <c r="Z2140" i="1"/>
  <c r="Z2297" i="1"/>
  <c r="Z2393" i="1"/>
  <c r="Z2489" i="1"/>
  <c r="Z2551" i="1"/>
  <c r="Z2599" i="1"/>
  <c r="Z2647" i="1"/>
  <c r="Z2694" i="1"/>
  <c r="Z2742" i="1"/>
  <c r="Z2790" i="1"/>
  <c r="Z1674" i="1"/>
  <c r="Z2431" i="1"/>
  <c r="Z2823" i="1"/>
  <c r="Z2921" i="1"/>
  <c r="Z3017" i="1"/>
  <c r="Z3113" i="1"/>
  <c r="Z3209" i="1"/>
  <c r="Z3305" i="1"/>
  <c r="Z3401" i="1"/>
  <c r="Z3497" i="1"/>
  <c r="Z3593" i="1"/>
  <c r="Z3689" i="1"/>
  <c r="Z3785" i="1"/>
  <c r="Z3834" i="1"/>
  <c r="Z3858" i="1"/>
  <c r="Z3882" i="1"/>
  <c r="Z3906" i="1"/>
  <c r="Z3930" i="1"/>
  <c r="Z3954" i="1"/>
  <c r="Z3994" i="1"/>
  <c r="Z334" i="1"/>
  <c r="Z289" i="1"/>
  <c r="Z725" i="1"/>
  <c r="Z710" i="1"/>
  <c r="Z957" i="1"/>
  <c r="Z1105" i="1"/>
  <c r="Z986" i="1"/>
  <c r="Z902" i="1"/>
  <c r="Z1223" i="1"/>
  <c r="Z1397" i="1"/>
  <c r="Z1277" i="1"/>
  <c r="Z1235" i="1"/>
  <c r="Z1372" i="1"/>
  <c r="Z1468" i="1"/>
  <c r="Z1564" i="1"/>
  <c r="Z1241" i="1"/>
  <c r="Z1308" i="1"/>
  <c r="Z1677" i="1"/>
  <c r="Z1773" i="1"/>
  <c r="Z1869" i="1"/>
  <c r="Z1965" i="1"/>
  <c r="Z1635" i="1"/>
  <c r="Z1940" i="1"/>
  <c r="Z2154" i="1"/>
  <c r="Z2266" i="1"/>
  <c r="Z1686" i="1"/>
  <c r="Z1862" i="1"/>
  <c r="Z1998" i="1"/>
  <c r="Z2077" i="1"/>
  <c r="Z2165" i="1"/>
  <c r="Z2240" i="1"/>
  <c r="Z2328" i="1"/>
  <c r="Z2408" i="1"/>
  <c r="Z2496" i="1"/>
  <c r="Z2542" i="1"/>
  <c r="Z2582" i="1"/>
  <c r="Z2626" i="1"/>
  <c r="Z2664" i="1"/>
  <c r="Z1720" i="1"/>
  <c r="Z1880" i="1"/>
  <c r="Z2019" i="1"/>
  <c r="Z2094" i="1"/>
  <c r="Z2174" i="1"/>
  <c r="Z2262" i="1"/>
  <c r="Z2339" i="1"/>
  <c r="Z2427" i="1"/>
  <c r="Z2507" i="1"/>
  <c r="Z2113" i="1"/>
  <c r="Z2348" i="1"/>
  <c r="Z2508" i="1"/>
  <c r="Z2597" i="1"/>
  <c r="Z2674" i="1"/>
  <c r="Z2762" i="1"/>
  <c r="Z1658" i="1"/>
  <c r="Z2116" i="1"/>
  <c r="Z2338" i="1"/>
  <c r="Z2482" i="1"/>
  <c r="Z2728" i="1"/>
  <c r="Z2800" i="1"/>
  <c r="Z2852" i="1"/>
  <c r="Z2888" i="1"/>
  <c r="Z2924" i="1"/>
  <c r="Z2960" i="1"/>
  <c r="Z2996" i="1"/>
  <c r="Z3028" i="1"/>
  <c r="Z3052" i="1"/>
  <c r="Z3076" i="1"/>
  <c r="Z3100" i="1"/>
  <c r="Z3124" i="1"/>
  <c r="Z3148" i="1"/>
  <c r="Z3172" i="1"/>
  <c r="Z3196" i="1"/>
  <c r="Z3220" i="1"/>
  <c r="Z3244" i="1"/>
  <c r="Z3268" i="1"/>
  <c r="Z3292" i="1"/>
  <c r="Z3316" i="1"/>
  <c r="Z3340" i="1"/>
  <c r="Z3364" i="1"/>
  <c r="Z3388" i="1"/>
  <c r="Z3412" i="1"/>
  <c r="Z3436" i="1"/>
  <c r="Z3460" i="1"/>
  <c r="Z3484" i="1"/>
  <c r="Z3508" i="1"/>
  <c r="Z3532" i="1"/>
  <c r="Z3556" i="1"/>
  <c r="Z3580" i="1"/>
  <c r="Z3604" i="1"/>
  <c r="Z3628" i="1"/>
  <c r="Z3652" i="1"/>
  <c r="Z3676" i="1"/>
  <c r="Z3700" i="1"/>
  <c r="Z3724" i="1"/>
  <c r="Z3748" i="1"/>
  <c r="Z3772" i="1"/>
  <c r="Z3796" i="1"/>
  <c r="Z1292" i="1"/>
  <c r="Z1954" i="1"/>
  <c r="Z2161" i="1"/>
  <c r="Z2308" i="1"/>
  <c r="Z2404" i="1"/>
  <c r="Z2500" i="1"/>
  <c r="Z2555" i="1"/>
  <c r="Z2603" i="1"/>
  <c r="Z2651" i="1"/>
  <c r="Z2697" i="1"/>
  <c r="Z2745" i="1"/>
  <c r="Z2793" i="1"/>
  <c r="Z1802" i="1"/>
  <c r="Z2474" i="1"/>
  <c r="Z2833" i="1"/>
  <c r="Z2929" i="1"/>
  <c r="Z3025" i="1"/>
  <c r="Z3121" i="1"/>
  <c r="Z3217" i="1"/>
  <c r="Z3313" i="1"/>
  <c r="Z3409" i="1"/>
  <c r="Z3505" i="1"/>
  <c r="Z3601" i="1"/>
  <c r="Z3697" i="1"/>
  <c r="Z3793" i="1"/>
  <c r="Z3836" i="1"/>
  <c r="Z3860" i="1"/>
  <c r="Z3884" i="1"/>
  <c r="Z3908" i="1"/>
  <c r="Z3932" i="1"/>
  <c r="Z3956" i="1"/>
  <c r="Z412" i="1"/>
  <c r="Z272" i="1"/>
  <c r="Z791" i="1"/>
  <c r="Z548" i="1"/>
  <c r="Z993" i="1"/>
  <c r="Z1137" i="1"/>
  <c r="Z1114" i="1"/>
  <c r="Z1030" i="1"/>
  <c r="Z1274" i="1"/>
  <c r="Z674" i="1"/>
  <c r="Z1317" i="1"/>
  <c r="Z1275" i="1"/>
  <c r="Z1392" i="1"/>
  <c r="Z1488" i="1"/>
  <c r="Z1584" i="1"/>
  <c r="Z1455" i="1"/>
  <c r="Z1493" i="1"/>
  <c r="Z1697" i="1"/>
  <c r="Z1793" i="1"/>
  <c r="Z1889" i="1"/>
  <c r="Z980" i="1"/>
  <c r="Z1625" i="1"/>
  <c r="Z2001" i="1"/>
  <c r="Z2194" i="1"/>
  <c r="Z2271" i="1"/>
  <c r="Z1694" i="1"/>
  <c r="Z1870" i="1"/>
  <c r="Z2002" i="1"/>
  <c r="Z2088" i="1"/>
  <c r="Z2168" i="1"/>
  <c r="Z2256" i="1"/>
  <c r="Z2333" i="1"/>
  <c r="Z2413" i="1"/>
  <c r="Z2501" i="1"/>
  <c r="Z2544" i="1"/>
  <c r="Z2588" i="1"/>
  <c r="Z2628" i="1"/>
  <c r="Z1196" i="1"/>
  <c r="Z1728" i="1"/>
  <c r="Z1888" i="1"/>
  <c r="Z2023" i="1"/>
  <c r="Z2099" i="1"/>
  <c r="Z2187" i="1"/>
  <c r="Z2267" i="1"/>
  <c r="Z2355" i="1"/>
  <c r="Z2430" i="1"/>
  <c r="Z2510" i="1"/>
  <c r="Z2124" i="1"/>
  <c r="Z2353" i="1"/>
  <c r="Z2521" i="1"/>
  <c r="Z2601" i="1"/>
  <c r="Z2690" i="1"/>
  <c r="Z2765" i="1"/>
  <c r="Z1690" i="1"/>
  <c r="Z2169" i="1"/>
  <c r="Z2359" i="1"/>
  <c r="Z2503" i="1"/>
  <c r="Z2739" i="1"/>
  <c r="Z2811" i="1"/>
  <c r="Z2858" i="1"/>
  <c r="Z2894" i="1"/>
  <c r="Z2930" i="1"/>
  <c r="Z2966" i="1"/>
  <c r="Z3002" i="1"/>
  <c r="Z3030" i="1"/>
  <c r="Z3054" i="1"/>
  <c r="Z3078" i="1"/>
  <c r="Z3102" i="1"/>
  <c r="Z3126" i="1"/>
  <c r="Z3150" i="1"/>
  <c r="Z3174" i="1"/>
  <c r="Z3198" i="1"/>
  <c r="Z3222" i="1"/>
  <c r="Z3246" i="1"/>
  <c r="Z3270" i="1"/>
  <c r="Z3294" i="1"/>
  <c r="Z3318" i="1"/>
  <c r="Z3342" i="1"/>
  <c r="Z3366" i="1"/>
  <c r="Z3390" i="1"/>
  <c r="Z3414" i="1"/>
  <c r="Z3438" i="1"/>
  <c r="Z3462" i="1"/>
  <c r="Z3486" i="1"/>
  <c r="Z3510" i="1"/>
  <c r="Z3534" i="1"/>
  <c r="Z3558" i="1"/>
  <c r="Z3582" i="1"/>
  <c r="Z3606" i="1"/>
  <c r="Z3630" i="1"/>
  <c r="Z3654" i="1"/>
  <c r="Z3678" i="1"/>
  <c r="Z3702" i="1"/>
  <c r="Z3726" i="1"/>
  <c r="Z3750" i="1"/>
  <c r="Z3774" i="1"/>
  <c r="Z3798" i="1"/>
  <c r="Z1505" i="1"/>
  <c r="Z1984" i="1"/>
  <c r="Z2172" i="1"/>
  <c r="Z2313" i="1"/>
  <c r="Z2409" i="1"/>
  <c r="Z2505" i="1"/>
  <c r="Z2559" i="1"/>
  <c r="Z2607" i="1"/>
  <c r="Z2655" i="1"/>
  <c r="Z2702" i="1"/>
  <c r="Z2750" i="1"/>
  <c r="Z2798" i="1"/>
  <c r="Z1930" i="1"/>
  <c r="Z2495" i="1"/>
  <c r="Z2841" i="1"/>
  <c r="Z2937" i="1"/>
  <c r="Z3033" i="1"/>
  <c r="Z3129" i="1"/>
  <c r="Z3225" i="1"/>
  <c r="Z3321" i="1"/>
  <c r="Z3417" i="1"/>
  <c r="Z3513" i="1"/>
  <c r="Z3609" i="1"/>
  <c r="Z3705" i="1"/>
  <c r="Z3801" i="1"/>
  <c r="Z3838" i="1"/>
  <c r="Z3862" i="1"/>
  <c r="Z3886" i="1"/>
  <c r="Z3910" i="1"/>
  <c r="Z3934" i="1"/>
  <c r="Z3958" i="1"/>
  <c r="Z1706" i="1"/>
  <c r="Z2415" i="1"/>
  <c r="Z2815" i="1"/>
  <c r="Z2923" i="1"/>
  <c r="Z3019" i="1"/>
  <c r="Z3115" i="1"/>
  <c r="Z3211" i="1"/>
  <c r="Z3307" i="1"/>
  <c r="Z3403" i="1"/>
  <c r="Z3499" i="1"/>
  <c r="Z3595" i="1"/>
  <c r="Z3691" i="1"/>
  <c r="Z3787" i="1"/>
  <c r="Z2314" i="1"/>
  <c r="Z2764" i="1"/>
  <c r="Z2893" i="1"/>
  <c r="Z2989" i="1"/>
  <c r="Z3085" i="1"/>
  <c r="Z3181" i="1"/>
  <c r="Z3277" i="1"/>
  <c r="Z3373" i="1"/>
  <c r="Z3469" i="1"/>
  <c r="Z3565" i="1"/>
  <c r="Z3661" i="1"/>
  <c r="Z3757" i="1"/>
  <c r="Z3827" i="1"/>
  <c r="Z3851" i="1"/>
  <c r="Z3875" i="1"/>
  <c r="Z3899" i="1"/>
  <c r="Z3923" i="1"/>
  <c r="Z3947" i="1"/>
  <c r="Z3971" i="1"/>
  <c r="Z3995" i="1"/>
  <c r="Z2298" i="1"/>
  <c r="Z2735" i="1"/>
  <c r="Z2879" i="1"/>
  <c r="Z2975" i="1"/>
  <c r="Z3071" i="1"/>
  <c r="Z3167" i="1"/>
  <c r="Z3263" i="1"/>
  <c r="Z420" i="1"/>
  <c r="Z279" i="1"/>
  <c r="Z795" i="1"/>
  <c r="Z564" i="1"/>
  <c r="Z995" i="1"/>
  <c r="Z1139" i="1"/>
  <c r="Z1122" i="1"/>
  <c r="Z1038" i="1"/>
  <c r="Z1279" i="1"/>
  <c r="Z876" i="1"/>
  <c r="Z449" i="1"/>
  <c r="Z1278" i="1"/>
  <c r="Z1394" i="1"/>
  <c r="Z1490" i="1"/>
  <c r="Z1586" i="1"/>
  <c r="Z1463" i="1"/>
  <c r="Z1501" i="1"/>
  <c r="Z1699" i="1"/>
  <c r="Z1795" i="1"/>
  <c r="Z1891" i="1"/>
  <c r="Z1044" i="1"/>
  <c r="Z1644" i="1"/>
  <c r="Z2005" i="1"/>
  <c r="Z2199" i="1"/>
  <c r="Z738" i="1"/>
  <c r="Z1718" i="1"/>
  <c r="Z1878" i="1"/>
  <c r="Z2018" i="1"/>
  <c r="Z2093" i="1"/>
  <c r="Z2173" i="1"/>
  <c r="Z2261" i="1"/>
  <c r="Z2336" i="1"/>
  <c r="Z2424" i="1"/>
  <c r="Z2504" i="1"/>
  <c r="Z2552" i="1"/>
  <c r="Z2590" i="1"/>
  <c r="Z2630" i="1"/>
  <c r="Z1281" i="1"/>
  <c r="Z1736" i="1"/>
  <c r="Z1912" i="1"/>
  <c r="Z2027" i="1"/>
  <c r="Z2115" i="1"/>
  <c r="Z2190" i="1"/>
  <c r="Z2270" i="1"/>
  <c r="Z2358" i="1"/>
  <c r="Z2435" i="1"/>
  <c r="Z1650" i="1"/>
  <c r="Z2145" i="1"/>
  <c r="Z2385" i="1"/>
  <c r="Z2525" i="1"/>
  <c r="Z2605" i="1"/>
  <c r="Z2693" i="1"/>
  <c r="Z2770" i="1"/>
  <c r="Z1786" i="1"/>
  <c r="Z2180" i="1"/>
  <c r="Z2370" i="1"/>
  <c r="Z2672" i="1"/>
  <c r="Z2744" i="1"/>
  <c r="Z2816" i="1"/>
  <c r="Z2860" i="1"/>
  <c r="Z2896" i="1"/>
  <c r="Z2932" i="1"/>
  <c r="Z2968" i="1"/>
  <c r="Z3004" i="1"/>
  <c r="Z3032" i="1"/>
  <c r="Z3056" i="1"/>
  <c r="Z3080" i="1"/>
  <c r="Z3104" i="1"/>
  <c r="Z3128" i="1"/>
  <c r="Z3152" i="1"/>
  <c r="Z3176" i="1"/>
  <c r="Z3200" i="1"/>
  <c r="Z3224" i="1"/>
  <c r="Z3248" i="1"/>
  <c r="Z3272" i="1"/>
  <c r="Z3296" i="1"/>
  <c r="Z3320" i="1"/>
  <c r="Z3344" i="1"/>
  <c r="Z3368" i="1"/>
  <c r="Z3392" i="1"/>
  <c r="Z3416" i="1"/>
  <c r="Z3440" i="1"/>
  <c r="Z3464" i="1"/>
  <c r="Z3488" i="1"/>
  <c r="Z3512" i="1"/>
  <c r="Z3536" i="1"/>
  <c r="Z3560" i="1"/>
  <c r="Z3584" i="1"/>
  <c r="Z3608" i="1"/>
  <c r="Z3632" i="1"/>
  <c r="Z3656" i="1"/>
  <c r="Z3680" i="1"/>
  <c r="Z3704" i="1"/>
  <c r="Z3728" i="1"/>
  <c r="Z3752" i="1"/>
  <c r="Z3776" i="1"/>
  <c r="Z3800" i="1"/>
  <c r="Z1633" i="1"/>
  <c r="Z2000" i="1"/>
  <c r="Z2193" i="1"/>
  <c r="Z2324" i="1"/>
  <c r="Z2420" i="1"/>
  <c r="Z2515" i="1"/>
  <c r="Z2563" i="1"/>
  <c r="Z2611" i="1"/>
  <c r="Z2659" i="1"/>
  <c r="Z2705" i="1"/>
  <c r="Z2753" i="1"/>
  <c r="Z2801" i="1"/>
  <c r="Z2020" i="1"/>
  <c r="Z2684" i="1"/>
  <c r="Z2849" i="1"/>
  <c r="Z2945" i="1"/>
  <c r="Z3041" i="1"/>
  <c r="Z3137" i="1"/>
  <c r="Z3233" i="1"/>
  <c r="Z3329" i="1"/>
  <c r="Z3425" i="1"/>
  <c r="Z3521" i="1"/>
  <c r="Z3617" i="1"/>
  <c r="Z3713" i="1"/>
  <c r="Z3809" i="1"/>
  <c r="Z3840" i="1"/>
  <c r="Z3864" i="1"/>
  <c r="Z3888" i="1"/>
  <c r="Z3912" i="1"/>
  <c r="Z3936" i="1"/>
  <c r="Z3960" i="1"/>
  <c r="Z1834" i="1"/>
  <c r="Z2458" i="1"/>
  <c r="Z2835" i="1"/>
  <c r="Z2931" i="1"/>
  <c r="Z3027" i="1"/>
  <c r="Z3123" i="1"/>
  <c r="Z3219" i="1"/>
  <c r="Z3315" i="1"/>
  <c r="Z3411" i="1"/>
  <c r="Z3507" i="1"/>
  <c r="Z3603" i="1"/>
  <c r="Z3699" i="1"/>
  <c r="Z3795" i="1"/>
  <c r="Z2335" i="1"/>
  <c r="Z2775" i="1"/>
  <c r="Z2901" i="1"/>
  <c r="Z2997" i="1"/>
  <c r="Z3093" i="1"/>
  <c r="Z3189" i="1"/>
  <c r="Z3285" i="1"/>
  <c r="Z3381" i="1"/>
  <c r="Z3477" i="1"/>
  <c r="Z3573" i="1"/>
  <c r="Z3669" i="1"/>
  <c r="Z3765" i="1"/>
  <c r="Z3829" i="1"/>
  <c r="Z3853" i="1"/>
  <c r="Z3877" i="1"/>
  <c r="Z3901" i="1"/>
  <c r="Z3925" i="1"/>
  <c r="Z3949" i="1"/>
  <c r="Z3973" i="1"/>
  <c r="Z3997" i="1"/>
  <c r="Z2319" i="1"/>
  <c r="Z2756" i="1"/>
  <c r="Z2887" i="1"/>
  <c r="Z2983" i="1"/>
  <c r="Z3079" i="1"/>
  <c r="Z3175" i="1"/>
  <c r="Z3271" i="1"/>
  <c r="Z3367" i="1"/>
  <c r="Z422" i="1"/>
  <c r="Z290" i="1"/>
  <c r="Z797" i="1"/>
  <c r="Z572" i="1"/>
  <c r="Z1001" i="1"/>
  <c r="Z1145" i="1"/>
  <c r="Z1146" i="1"/>
  <c r="Z1062" i="1"/>
  <c r="Z1282" i="1"/>
  <c r="Z908" i="1"/>
  <c r="Z642" i="1"/>
  <c r="Z1283" i="1"/>
  <c r="Z1396" i="1"/>
  <c r="Z1492" i="1"/>
  <c r="Z1588" i="1"/>
  <c r="Z1471" i="1"/>
  <c r="Z1509" i="1"/>
  <c r="Z1701" i="1"/>
  <c r="Z1797" i="1"/>
  <c r="Z1893" i="1"/>
  <c r="Z1108" i="1"/>
  <c r="Z1652" i="1"/>
  <c r="Z2009" i="1"/>
  <c r="Z2202" i="1"/>
  <c r="Z1313" i="1"/>
  <c r="Z1726" i="1"/>
  <c r="Z1886" i="1"/>
  <c r="Z2022" i="1"/>
  <c r="Z2096" i="1"/>
  <c r="Z2184" i="1"/>
  <c r="Z2264" i="1"/>
  <c r="Z2352" i="1"/>
  <c r="Z2429" i="1"/>
  <c r="Z2509" i="1"/>
  <c r="Z2554" i="1"/>
  <c r="Z2592" i="1"/>
  <c r="Z2636" i="1"/>
  <c r="Z1449" i="1"/>
  <c r="Z1768" i="1"/>
  <c r="Z1920" i="1"/>
  <c r="Z2031" i="1"/>
  <c r="Z2118" i="1"/>
  <c r="Z2195" i="1"/>
  <c r="Z2283" i="1"/>
  <c r="Z2363" i="1"/>
  <c r="Z2451" i="1"/>
  <c r="Z1682" i="1"/>
  <c r="Z2156" i="1"/>
  <c r="Z500" i="1"/>
  <c r="Z549" i="1"/>
  <c r="Z608" i="1"/>
  <c r="Z809" i="1"/>
  <c r="Z1029" i="1"/>
  <c r="Z1173" i="1"/>
  <c r="Z754" i="1"/>
  <c r="Z1166" i="1"/>
  <c r="Z1327" i="1"/>
  <c r="Z1116" i="1"/>
  <c r="Z1000" i="1"/>
  <c r="Z1320" i="1"/>
  <c r="Z1416" i="1"/>
  <c r="Z1512" i="1"/>
  <c r="Z1608" i="1"/>
  <c r="Z1551" i="1"/>
  <c r="Z1589" i="1"/>
  <c r="Z1721" i="1"/>
  <c r="Z1817" i="1"/>
  <c r="Z1913" i="1"/>
  <c r="Z1427" i="1"/>
  <c r="Z1732" i="1"/>
  <c r="Z2049" i="1"/>
  <c r="Z2207" i="1"/>
  <c r="Z1425" i="1"/>
  <c r="Z1734" i="1"/>
  <c r="Z1910" i="1"/>
  <c r="Z2026" i="1"/>
  <c r="Z2112" i="1"/>
  <c r="Z2189" i="1"/>
  <c r="Z2269" i="1"/>
  <c r="Z2357" i="1"/>
  <c r="Z2432" i="1"/>
  <c r="Z2516" i="1"/>
  <c r="Z2556" i="1"/>
  <c r="Z2600" i="1"/>
  <c r="Z2638" i="1"/>
  <c r="Z1481" i="1"/>
  <c r="Z1776" i="1"/>
  <c r="Z1928" i="1"/>
  <c r="Z2043" i="1"/>
  <c r="Z2123" i="1"/>
  <c r="Z2211" i="1"/>
  <c r="Z2286" i="1"/>
  <c r="Z2366" i="1"/>
  <c r="Z2454" i="1"/>
  <c r="Z1714" i="1"/>
  <c r="Z2209" i="1"/>
  <c r="Z2401" i="1"/>
  <c r="Z2545" i="1"/>
  <c r="Z2621" i="1"/>
  <c r="Z2701" i="1"/>
  <c r="Z2789" i="1"/>
  <c r="Z1850" i="1"/>
  <c r="Z2212" i="1"/>
  <c r="Z2386" i="1"/>
  <c r="Z2680" i="1"/>
  <c r="Z2752" i="1"/>
  <c r="Z2824" i="1"/>
  <c r="Z2864" i="1"/>
  <c r="Z2900" i="1"/>
  <c r="Z2936" i="1"/>
  <c r="Z2972" i="1"/>
  <c r="Z3008" i="1"/>
  <c r="Z3036" i="1"/>
  <c r="Z3060" i="1"/>
  <c r="Z3084" i="1"/>
  <c r="Z3108" i="1"/>
  <c r="Z3132" i="1"/>
  <c r="Z3156" i="1"/>
  <c r="Z3180" i="1"/>
  <c r="Z3204" i="1"/>
  <c r="Z3228" i="1"/>
  <c r="Z3252" i="1"/>
  <c r="Z3276" i="1"/>
  <c r="Z3300" i="1"/>
  <c r="Z3324" i="1"/>
  <c r="Z3348" i="1"/>
  <c r="Z3372" i="1"/>
  <c r="Z3396" i="1"/>
  <c r="Z3420" i="1"/>
  <c r="Z3444" i="1"/>
  <c r="Z3468" i="1"/>
  <c r="Z3492" i="1"/>
  <c r="Z3516" i="1"/>
  <c r="Z3540" i="1"/>
  <c r="Z3564" i="1"/>
  <c r="Z3588" i="1"/>
  <c r="Z3612" i="1"/>
  <c r="Z3636" i="1"/>
  <c r="Z3660" i="1"/>
  <c r="Z3684" i="1"/>
  <c r="Z3708" i="1"/>
  <c r="Z3732" i="1"/>
  <c r="Z3756" i="1"/>
  <c r="Z3780" i="1"/>
  <c r="Z3804" i="1"/>
  <c r="Z1698" i="1"/>
  <c r="Z2032" i="1"/>
  <c r="Z2225" i="1"/>
  <c r="Z2340" i="1"/>
  <c r="Z2436" i="1"/>
  <c r="Z2523" i="1"/>
  <c r="Z2571" i="1"/>
  <c r="Z2619" i="1"/>
  <c r="Z2667" i="1"/>
  <c r="Z2713" i="1"/>
  <c r="Z2761" i="1"/>
  <c r="Z2809" i="1"/>
  <c r="Z2164" i="1"/>
  <c r="Z2716" i="1"/>
  <c r="Z2865" i="1"/>
  <c r="Z2961" i="1"/>
  <c r="Z3057" i="1"/>
  <c r="Z3153" i="1"/>
  <c r="Z3249" i="1"/>
  <c r="Z3345" i="1"/>
  <c r="Z3441" i="1"/>
  <c r="Z3537" i="1"/>
  <c r="Z3633" i="1"/>
  <c r="Z3729" i="1"/>
  <c r="Z3820" i="1"/>
  <c r="Z3844" i="1"/>
  <c r="Z3868" i="1"/>
  <c r="Z3892" i="1"/>
  <c r="Z1031" i="1"/>
  <c r="Z1016" i="1"/>
  <c r="Z1597" i="1"/>
  <c r="Z2053" i="1"/>
  <c r="Z2117" i="1"/>
  <c r="Z2558" i="1"/>
  <c r="Z1960" i="1"/>
  <c r="Z2291" i="1"/>
  <c r="Z2220" i="1"/>
  <c r="Z2625" i="1"/>
  <c r="Z1978" i="1"/>
  <c r="Z2691" i="1"/>
  <c r="Z2870" i="1"/>
  <c r="Z2978" i="1"/>
  <c r="Z3062" i="1"/>
  <c r="Z3134" i="1"/>
  <c r="Z3206" i="1"/>
  <c r="Z3278" i="1"/>
  <c r="Z3350" i="1"/>
  <c r="Z3422" i="1"/>
  <c r="Z3494" i="1"/>
  <c r="Z3566" i="1"/>
  <c r="Z3638" i="1"/>
  <c r="Z3710" i="1"/>
  <c r="Z3782" i="1"/>
  <c r="Z2048" i="1"/>
  <c r="Z2441" i="1"/>
  <c r="Z2623" i="1"/>
  <c r="Z2766" i="1"/>
  <c r="Z2727" i="1"/>
  <c r="Z3065" i="1"/>
  <c r="Z3353" i="1"/>
  <c r="Z3641" i="1"/>
  <c r="Z3846" i="1"/>
  <c r="Z3916" i="1"/>
  <c r="Z3970" i="1"/>
  <c r="Z2676" i="1"/>
  <c r="Z2899" i="1"/>
  <c r="Z3043" i="1"/>
  <c r="Z3187" i="1"/>
  <c r="Z3331" i="1"/>
  <c r="Z3475" i="1"/>
  <c r="Z3619" i="1"/>
  <c r="Z3763" i="1"/>
  <c r="Z2399" i="1"/>
  <c r="Z2869" i="1"/>
  <c r="Z3013" i="1"/>
  <c r="Z3157" i="1"/>
  <c r="Z3301" i="1"/>
  <c r="Z3445" i="1"/>
  <c r="Z3589" i="1"/>
  <c r="Z3733" i="1"/>
  <c r="Z3833" i="1"/>
  <c r="Z3869" i="1"/>
  <c r="Z3905" i="1"/>
  <c r="Z3941" i="1"/>
  <c r="Z3977" i="1"/>
  <c r="Z2068" i="1"/>
  <c r="Z2788" i="1"/>
  <c r="Z2951" i="1"/>
  <c r="Z3095" i="1"/>
  <c r="Z3239" i="1"/>
  <c r="Z3375" i="1"/>
  <c r="Z3471" i="1"/>
  <c r="Z3567" i="1"/>
  <c r="Z3663" i="1"/>
  <c r="Z3759" i="1"/>
  <c r="Z3982" i="1"/>
  <c r="Z83" i="1"/>
  <c r="Z95" i="1"/>
  <c r="Z82" i="1"/>
  <c r="Z138" i="1"/>
  <c r="Z65" i="1"/>
  <c r="Z104" i="1"/>
  <c r="Z49" i="1"/>
  <c r="Z12" i="1"/>
  <c r="Z78" i="1"/>
  <c r="Z36" i="1"/>
  <c r="Z27" i="1"/>
  <c r="Z68" i="1"/>
  <c r="Z151" i="1"/>
  <c r="Z3551" i="1"/>
  <c r="Z1033" i="1"/>
  <c r="Z1032" i="1"/>
  <c r="Z1605" i="1"/>
  <c r="Z2057" i="1"/>
  <c r="Z2120" i="1"/>
  <c r="Z2564" i="1"/>
  <c r="Z1968" i="1"/>
  <c r="Z2307" i="1"/>
  <c r="Z2241" i="1"/>
  <c r="Z2641" i="1"/>
  <c r="Z1996" i="1"/>
  <c r="Z2696" i="1"/>
  <c r="Z2872" i="1"/>
  <c r="Z2980" i="1"/>
  <c r="Z3064" i="1"/>
  <c r="Z3136" i="1"/>
  <c r="Z3208" i="1"/>
  <c r="Z3280" i="1"/>
  <c r="Z3352" i="1"/>
  <c r="Z3424" i="1"/>
  <c r="Z3496" i="1"/>
  <c r="Z3568" i="1"/>
  <c r="Z3640" i="1"/>
  <c r="Z3712" i="1"/>
  <c r="Z3784" i="1"/>
  <c r="Z2064" i="1"/>
  <c r="Z2452" i="1"/>
  <c r="Z2627" i="1"/>
  <c r="Z2769" i="1"/>
  <c r="Z2748" i="1"/>
  <c r="Z3073" i="1"/>
  <c r="Z3361" i="1"/>
  <c r="Z3649" i="1"/>
  <c r="Z3848" i="1"/>
  <c r="Z3918" i="1"/>
  <c r="Z3974" i="1"/>
  <c r="Z2687" i="1"/>
  <c r="Z2907" i="1"/>
  <c r="Z3051" i="1"/>
  <c r="Z3195" i="1"/>
  <c r="Z3339" i="1"/>
  <c r="Z3483" i="1"/>
  <c r="Z3627" i="1"/>
  <c r="Z3771" i="1"/>
  <c r="Z2442" i="1"/>
  <c r="Z2877" i="1"/>
  <c r="Z3021" i="1"/>
  <c r="Z3165" i="1"/>
  <c r="Z3309" i="1"/>
  <c r="Z3453" i="1"/>
  <c r="Z3597" i="1"/>
  <c r="Z3741" i="1"/>
  <c r="Z3835" i="1"/>
  <c r="Z3871" i="1"/>
  <c r="Z3907" i="1"/>
  <c r="Z3943" i="1"/>
  <c r="Z3979" i="1"/>
  <c r="Z2153" i="1"/>
  <c r="Z2799" i="1"/>
  <c r="Z2959" i="1"/>
  <c r="Z3103" i="1"/>
  <c r="Z3247" i="1"/>
  <c r="Z3383" i="1"/>
  <c r="Z3479" i="1"/>
  <c r="Z3575" i="1"/>
  <c r="Z3671" i="1"/>
  <c r="Z3767" i="1"/>
  <c r="Z3986" i="1"/>
  <c r="Z147" i="1"/>
  <c r="Z54" i="1"/>
  <c r="Z146" i="1"/>
  <c r="Z39" i="1"/>
  <c r="Z129" i="1"/>
  <c r="Z22" i="1"/>
  <c r="Z136" i="1"/>
  <c r="Z76" i="1"/>
  <c r="Z149" i="1"/>
  <c r="Z100" i="1"/>
  <c r="Z21" i="1"/>
  <c r="Z132" i="1"/>
  <c r="Z125" i="1"/>
  <c r="Z2941" i="1"/>
  <c r="Z2330" i="1"/>
  <c r="Z3821" i="1"/>
  <c r="Z2692" i="1"/>
  <c r="Z3439" i="1"/>
  <c r="Z51" i="1"/>
  <c r="Z148" i="1"/>
  <c r="Z3455" i="1"/>
  <c r="Z109" i="1"/>
  <c r="Z1175" i="1"/>
  <c r="Z1322" i="1"/>
  <c r="Z1723" i="1"/>
  <c r="Z2218" i="1"/>
  <c r="Z2192" i="1"/>
  <c r="Z2602" i="1"/>
  <c r="Z1976" i="1"/>
  <c r="Z2310" i="1"/>
  <c r="Z2289" i="1"/>
  <c r="Z2645" i="1"/>
  <c r="Z2012" i="1"/>
  <c r="Z2699" i="1"/>
  <c r="Z2874" i="1"/>
  <c r="Z2982" i="1"/>
  <c r="Z3066" i="1"/>
  <c r="Z3138" i="1"/>
  <c r="Z3210" i="1"/>
  <c r="Z3282" i="1"/>
  <c r="Z3354" i="1"/>
  <c r="Z3426" i="1"/>
  <c r="Z3498" i="1"/>
  <c r="Z3570" i="1"/>
  <c r="Z3642" i="1"/>
  <c r="Z3714" i="1"/>
  <c r="Z3786" i="1"/>
  <c r="Z2076" i="1"/>
  <c r="Z2457" i="1"/>
  <c r="Z2631" i="1"/>
  <c r="Z2774" i="1"/>
  <c r="Z2759" i="1"/>
  <c r="Z3081" i="1"/>
  <c r="Z3369" i="1"/>
  <c r="Z3657" i="1"/>
  <c r="Z3850" i="1"/>
  <c r="Z3920" i="1"/>
  <c r="Z3998" i="1"/>
  <c r="Z2708" i="1"/>
  <c r="Z2915" i="1"/>
  <c r="Z3059" i="1"/>
  <c r="Z3203" i="1"/>
  <c r="Z3347" i="1"/>
  <c r="Z3491" i="1"/>
  <c r="Z3635" i="1"/>
  <c r="Z3779" i="1"/>
  <c r="Z2463" i="1"/>
  <c r="Z2885" i="1"/>
  <c r="Z3029" i="1"/>
  <c r="Z3173" i="1"/>
  <c r="Z3317" i="1"/>
  <c r="Z3461" i="1"/>
  <c r="Z3605" i="1"/>
  <c r="Z3749" i="1"/>
  <c r="Z3837" i="1"/>
  <c r="Z3873" i="1"/>
  <c r="Z3909" i="1"/>
  <c r="Z3945" i="1"/>
  <c r="Z3981" i="1"/>
  <c r="Z2196" i="1"/>
  <c r="Z2820" i="1"/>
  <c r="Z2967" i="1"/>
  <c r="Z3111" i="1"/>
  <c r="Z3255" i="1"/>
  <c r="Z3391" i="1"/>
  <c r="Z3487" i="1"/>
  <c r="Z3583" i="1"/>
  <c r="Z3679" i="1"/>
  <c r="Z3775" i="1"/>
  <c r="Z3988" i="1"/>
  <c r="Z42" i="1"/>
  <c r="Z118" i="1"/>
  <c r="Z126" i="1"/>
  <c r="Z11" i="1"/>
  <c r="Z24" i="1"/>
  <c r="Z3" i="1"/>
  <c r="Z142" i="1"/>
  <c r="Z140" i="1"/>
  <c r="Z94" i="1"/>
  <c r="Z44" i="1"/>
  <c r="Z108" i="1"/>
  <c r="Z30" i="1"/>
  <c r="Z20" i="1"/>
  <c r="Z1866" i="1"/>
  <c r="Z3805" i="1"/>
  <c r="Z3999" i="1"/>
  <c r="Z3183" i="1"/>
  <c r="Z3527" i="1"/>
  <c r="Z79" i="1"/>
  <c r="Z103" i="1"/>
  <c r="Z69" i="1"/>
  <c r="Z80" i="1"/>
  <c r="Z3822" i="1"/>
  <c r="Z3283" i="1"/>
  <c r="Z2100" i="1"/>
  <c r="Z3541" i="1"/>
  <c r="Z3929" i="1"/>
  <c r="Z3191" i="1"/>
  <c r="Z3727" i="1"/>
  <c r="Z143" i="1"/>
  <c r="Z56" i="1"/>
  <c r="Z29" i="1"/>
  <c r="Z3743" i="1"/>
  <c r="Z1177" i="1"/>
  <c r="Z1324" i="1"/>
  <c r="Z1725" i="1"/>
  <c r="Z2223" i="1"/>
  <c r="Z2208" i="1"/>
  <c r="Z2604" i="1"/>
  <c r="Z2047" i="1"/>
  <c r="Z2379" i="1"/>
  <c r="Z2396" i="1"/>
  <c r="Z2698" i="1"/>
  <c r="Z2201" i="1"/>
  <c r="Z2747" i="1"/>
  <c r="Z2898" i="1"/>
  <c r="Z3006" i="1"/>
  <c r="Z3082" i="1"/>
  <c r="Z3154" i="1"/>
  <c r="Z3226" i="1"/>
  <c r="Z3298" i="1"/>
  <c r="Z3370" i="1"/>
  <c r="Z3442" i="1"/>
  <c r="Z3514" i="1"/>
  <c r="Z3586" i="1"/>
  <c r="Z3658" i="1"/>
  <c r="Z3730" i="1"/>
  <c r="Z3802" i="1"/>
  <c r="Z2204" i="1"/>
  <c r="Z2519" i="1"/>
  <c r="Z2663" i="1"/>
  <c r="Z2806" i="1"/>
  <c r="Z2857" i="1"/>
  <c r="Z3145" i="1"/>
  <c r="Z3433" i="1"/>
  <c r="Z3721" i="1"/>
  <c r="Z3866" i="1"/>
  <c r="Z3922" i="1"/>
  <c r="Z1962" i="1"/>
  <c r="Z2719" i="1"/>
  <c r="Z2939" i="1"/>
  <c r="Z3067" i="1"/>
  <c r="Z3227" i="1"/>
  <c r="Z3355" i="1"/>
  <c r="Z3515" i="1"/>
  <c r="Z3643" i="1"/>
  <c r="Z3803" i="1"/>
  <c r="Z2506" i="1"/>
  <c r="Z2909" i="1"/>
  <c r="Z3037" i="1"/>
  <c r="Z3197" i="1"/>
  <c r="Z3325" i="1"/>
  <c r="Z3485" i="1"/>
  <c r="Z3613" i="1"/>
  <c r="Z3773" i="1"/>
  <c r="Z3839" i="1"/>
  <c r="Z3879" i="1"/>
  <c r="Z3911" i="1"/>
  <c r="Z3951" i="1"/>
  <c r="Z3983" i="1"/>
  <c r="Z2362" i="1"/>
  <c r="Z2831" i="1"/>
  <c r="Z2991" i="1"/>
  <c r="Z3119" i="1"/>
  <c r="Z3279" i="1"/>
  <c r="Z3399" i="1"/>
  <c r="Z3495" i="1"/>
  <c r="Z3591" i="1"/>
  <c r="Z3687" i="1"/>
  <c r="Z3783" i="1"/>
  <c r="Z3992" i="1"/>
  <c r="Z106" i="1"/>
  <c r="Z35" i="1"/>
  <c r="Z47" i="1"/>
  <c r="Z75" i="1"/>
  <c r="Z88" i="1"/>
  <c r="Z90" i="1"/>
  <c r="Z37" i="1"/>
  <c r="Z154" i="1"/>
  <c r="Z25" i="1"/>
  <c r="Z41" i="1"/>
  <c r="Z135" i="1"/>
  <c r="Z137" i="1"/>
  <c r="Z73" i="1"/>
  <c r="Z3707" i="1"/>
  <c r="Z3946" i="1"/>
  <c r="Z3253" i="1"/>
  <c r="Z3965" i="1"/>
  <c r="Z3335" i="1"/>
  <c r="Z87" i="1"/>
  <c r="Z144" i="1"/>
  <c r="Z3647" i="1"/>
  <c r="Z52" i="1"/>
  <c r="Z504" i="1"/>
  <c r="Z786" i="1"/>
  <c r="Z1418" i="1"/>
  <c r="Z1819" i="1"/>
  <c r="Z1457" i="1"/>
  <c r="Z2280" i="1"/>
  <c r="Z2640" i="1"/>
  <c r="Z2051" i="1"/>
  <c r="Z2382" i="1"/>
  <c r="Z2412" i="1"/>
  <c r="Z2714" i="1"/>
  <c r="Z2265" i="1"/>
  <c r="Z2763" i="1"/>
  <c r="Z2906" i="1"/>
  <c r="Z3014" i="1"/>
  <c r="Z3086" i="1"/>
  <c r="Z3158" i="1"/>
  <c r="Z3230" i="1"/>
  <c r="Z3302" i="1"/>
  <c r="Z3374" i="1"/>
  <c r="Z3446" i="1"/>
  <c r="Z3518" i="1"/>
  <c r="Z3590" i="1"/>
  <c r="Z3662" i="1"/>
  <c r="Z3734" i="1"/>
  <c r="Z3806" i="1"/>
  <c r="Z2236" i="1"/>
  <c r="Z2527" i="1"/>
  <c r="Z2670" i="1"/>
  <c r="Z2814" i="1"/>
  <c r="Z2873" i="1"/>
  <c r="Z3161" i="1"/>
  <c r="Z3449" i="1"/>
  <c r="Z3737" i="1"/>
  <c r="Z3870" i="1"/>
  <c r="Z3938" i="1"/>
  <c r="Z2036" i="1"/>
  <c r="Z2772" i="1"/>
  <c r="Z2947" i="1"/>
  <c r="Z3091" i="1"/>
  <c r="Z3235" i="1"/>
  <c r="Z3379" i="1"/>
  <c r="Z3523" i="1"/>
  <c r="Z3667" i="1"/>
  <c r="Z3811" i="1"/>
  <c r="Z2711" i="1"/>
  <c r="Z2917" i="1"/>
  <c r="Z3061" i="1"/>
  <c r="Z3205" i="1"/>
  <c r="Z3349" i="1"/>
  <c r="Z3493" i="1"/>
  <c r="Z3637" i="1"/>
  <c r="Z3781" i="1"/>
  <c r="Z3845" i="1"/>
  <c r="Z3881" i="1"/>
  <c r="Z3917" i="1"/>
  <c r="Z3953" i="1"/>
  <c r="Z3989" i="1"/>
  <c r="Z2383" i="1"/>
  <c r="Z2855" i="1"/>
  <c r="Z2999" i="1"/>
  <c r="Z3143" i="1"/>
  <c r="Z3287" i="1"/>
  <c r="Z3407" i="1"/>
  <c r="Z3503" i="1"/>
  <c r="Z3599" i="1"/>
  <c r="Z3695" i="1"/>
  <c r="Z3791" i="1"/>
  <c r="Z3996" i="1"/>
  <c r="Z7" i="1"/>
  <c r="Z99" i="1"/>
  <c r="Z111" i="1"/>
  <c r="Z139" i="1"/>
  <c r="Z152" i="1"/>
  <c r="Z55" i="1"/>
  <c r="Z101" i="1"/>
  <c r="Z8" i="1"/>
  <c r="Z89" i="1"/>
  <c r="Z105" i="1"/>
  <c r="Z57" i="1"/>
  <c r="Z84" i="1"/>
  <c r="Z2" i="1"/>
  <c r="Z3419" i="1"/>
  <c r="Z3229" i="1"/>
  <c r="Z3517" i="1"/>
  <c r="Z3677" i="1"/>
  <c r="Z3855" i="1"/>
  <c r="Z3959" i="1"/>
  <c r="Z2490" i="1"/>
  <c r="Z3023" i="1"/>
  <c r="Z3311" i="1"/>
  <c r="Z3623" i="1"/>
  <c r="Z3719" i="1"/>
  <c r="Z107" i="1"/>
  <c r="Z134" i="1"/>
  <c r="Z67" i="1"/>
  <c r="Z112" i="1"/>
  <c r="Z61" i="1"/>
  <c r="Z3257" i="1"/>
  <c r="Z2851" i="1"/>
  <c r="Z3139" i="1"/>
  <c r="Z3427" i="1"/>
  <c r="Z3715" i="1"/>
  <c r="Z2807" i="1"/>
  <c r="Z3397" i="1"/>
  <c r="Z3857" i="1"/>
  <c r="Z2903" i="1"/>
  <c r="Z3631" i="1"/>
  <c r="Z66" i="1"/>
  <c r="Z113" i="1"/>
  <c r="Z46" i="1"/>
  <c r="Z3976" i="1"/>
  <c r="Z1816" i="1"/>
  <c r="Z2222" i="1"/>
  <c r="Z506" i="1"/>
  <c r="Z818" i="1"/>
  <c r="Z1420" i="1"/>
  <c r="Z1821" i="1"/>
  <c r="Z1489" i="1"/>
  <c r="Z2285" i="1"/>
  <c r="Z2648" i="1"/>
  <c r="Z2067" i="1"/>
  <c r="Z2387" i="1"/>
  <c r="Z2433" i="1"/>
  <c r="Z2717" i="1"/>
  <c r="Z2274" i="1"/>
  <c r="Z2768" i="1"/>
  <c r="Z2908" i="1"/>
  <c r="Z3016" i="1"/>
  <c r="Z3088" i="1"/>
  <c r="Z3160" i="1"/>
  <c r="Z3232" i="1"/>
  <c r="Z3304" i="1"/>
  <c r="Z3376" i="1"/>
  <c r="Z3448" i="1"/>
  <c r="Z3520" i="1"/>
  <c r="Z3592" i="1"/>
  <c r="Z3664" i="1"/>
  <c r="Z3736" i="1"/>
  <c r="Z3808" i="1"/>
  <c r="Z2257" i="1"/>
  <c r="Z2531" i="1"/>
  <c r="Z2673" i="1"/>
  <c r="Z2817" i="1"/>
  <c r="Z2881" i="1"/>
  <c r="Z3169" i="1"/>
  <c r="Z3457" i="1"/>
  <c r="Z3745" i="1"/>
  <c r="Z3872" i="1"/>
  <c r="Z3940" i="1"/>
  <c r="Z2089" i="1"/>
  <c r="Z2783" i="1"/>
  <c r="Z2955" i="1"/>
  <c r="Z3099" i="1"/>
  <c r="Z3243" i="1"/>
  <c r="Z3387" i="1"/>
  <c r="Z3531" i="1"/>
  <c r="Z3675" i="1"/>
  <c r="Z1601" i="1"/>
  <c r="Z2732" i="1"/>
  <c r="Z2925" i="1"/>
  <c r="Z3069" i="1"/>
  <c r="Z3213" i="1"/>
  <c r="Z3357" i="1"/>
  <c r="Z3501" i="1"/>
  <c r="Z3645" i="1"/>
  <c r="Z3789" i="1"/>
  <c r="Z3847" i="1"/>
  <c r="Z3883" i="1"/>
  <c r="Z3919" i="1"/>
  <c r="Z3955" i="1"/>
  <c r="Z3991" i="1"/>
  <c r="Z2426" i="1"/>
  <c r="Z2863" i="1"/>
  <c r="Z3007" i="1"/>
  <c r="Z3151" i="1"/>
  <c r="Z3295" i="1"/>
  <c r="Z3415" i="1"/>
  <c r="Z3511" i="1"/>
  <c r="Z3607" i="1"/>
  <c r="Z3703" i="1"/>
  <c r="Z3799" i="1"/>
  <c r="Z4000" i="1"/>
  <c r="Z71" i="1"/>
  <c r="Z58" i="1"/>
  <c r="Z6" i="1"/>
  <c r="Z34" i="1"/>
  <c r="Z127" i="1"/>
  <c r="Z50" i="1"/>
  <c r="Z60" i="1"/>
  <c r="Z14" i="1"/>
  <c r="Z153" i="1"/>
  <c r="Z64" i="1"/>
  <c r="Z121" i="1"/>
  <c r="Z72" i="1"/>
  <c r="Z3259" i="1"/>
  <c r="Z3894" i="1"/>
  <c r="Z3109" i="1"/>
  <c r="Z4001" i="1"/>
  <c r="Z3535" i="1"/>
  <c r="Z63" i="1"/>
  <c r="Z123" i="1"/>
  <c r="Z557" i="1"/>
  <c r="Z1174" i="1"/>
  <c r="Z1514" i="1"/>
  <c r="Z1915" i="1"/>
  <c r="Z1766" i="1"/>
  <c r="Z2360" i="1"/>
  <c r="Z1577" i="1"/>
  <c r="Z2126" i="1"/>
  <c r="Z2459" i="1"/>
  <c r="Z2444" i="1"/>
  <c r="Z2722" i="1"/>
  <c r="Z2279" i="1"/>
  <c r="Z2771" i="1"/>
  <c r="Z2910" i="1"/>
  <c r="Z3018" i="1"/>
  <c r="Z3090" i="1"/>
  <c r="Z3162" i="1"/>
  <c r="Z3234" i="1"/>
  <c r="Z3306" i="1"/>
  <c r="Z3378" i="1"/>
  <c r="Z3450" i="1"/>
  <c r="Z3522" i="1"/>
  <c r="Z3594" i="1"/>
  <c r="Z3666" i="1"/>
  <c r="Z3738" i="1"/>
  <c r="Z3810" i="1"/>
  <c r="Z2268" i="1"/>
  <c r="Z2535" i="1"/>
  <c r="Z2678" i="1"/>
  <c r="Z2822" i="1"/>
  <c r="Z2889" i="1"/>
  <c r="Z3177" i="1"/>
  <c r="Z3465" i="1"/>
  <c r="Z3753" i="1"/>
  <c r="Z3874" i="1"/>
  <c r="Z3942" i="1"/>
  <c r="Z2132" i="1"/>
  <c r="Z2804" i="1"/>
  <c r="Z2963" i="1"/>
  <c r="Z3107" i="1"/>
  <c r="Z3251" i="1"/>
  <c r="Z3395" i="1"/>
  <c r="Z3539" i="1"/>
  <c r="Z3683" i="1"/>
  <c r="Z1738" i="1"/>
  <c r="Z2743" i="1"/>
  <c r="Z2933" i="1"/>
  <c r="Z3077" i="1"/>
  <c r="Z3221" i="1"/>
  <c r="Z3365" i="1"/>
  <c r="Z3509" i="1"/>
  <c r="Z3653" i="1"/>
  <c r="Z3797" i="1"/>
  <c r="Z3849" i="1"/>
  <c r="Z3885" i="1"/>
  <c r="Z3921" i="1"/>
  <c r="Z3957" i="1"/>
  <c r="Z3993" i="1"/>
  <c r="Z2447" i="1"/>
  <c r="Z2871" i="1"/>
  <c r="Z3015" i="1"/>
  <c r="Z3159" i="1"/>
  <c r="Z3303" i="1"/>
  <c r="Z3423" i="1"/>
  <c r="Z3519" i="1"/>
  <c r="Z3615" i="1"/>
  <c r="Z3711" i="1"/>
  <c r="Z3807" i="1"/>
  <c r="Z15" i="1"/>
  <c r="Z43" i="1"/>
  <c r="Z122" i="1"/>
  <c r="Z70" i="1"/>
  <c r="Z98" i="1"/>
  <c r="Z26" i="1"/>
  <c r="Z33" i="1"/>
  <c r="Z124" i="1"/>
  <c r="Z5" i="1"/>
  <c r="Z48" i="1"/>
  <c r="Z128" i="1"/>
  <c r="Z16" i="1"/>
  <c r="Z32" i="1"/>
  <c r="Z3547" i="1"/>
  <c r="Z3887" i="1"/>
  <c r="Z2895" i="1"/>
  <c r="Z3431" i="1"/>
  <c r="Z3815" i="1"/>
  <c r="Z23" i="1"/>
  <c r="Z97" i="1"/>
  <c r="Z110" i="1"/>
  <c r="Z3545" i="1"/>
  <c r="Z2995" i="1"/>
  <c r="Z3571" i="1"/>
  <c r="Z2965" i="1"/>
  <c r="Z3685" i="1"/>
  <c r="Z3893" i="1"/>
  <c r="Z3047" i="1"/>
  <c r="Z3968" i="1"/>
  <c r="Z17" i="1"/>
  <c r="Z133" i="1"/>
  <c r="Z62" i="1"/>
  <c r="Z559" i="1"/>
  <c r="Z477" i="1"/>
  <c r="Z1516" i="1"/>
  <c r="Z1917" i="1"/>
  <c r="Z1774" i="1"/>
  <c r="Z2365" i="1"/>
  <c r="Z1609" i="1"/>
  <c r="Z2139" i="1"/>
  <c r="Z2462" i="1"/>
  <c r="Z2529" i="1"/>
  <c r="Z2786" i="1"/>
  <c r="Z2375" i="1"/>
  <c r="Z2819" i="1"/>
  <c r="Z2934" i="1"/>
  <c r="Z3034" i="1"/>
  <c r="Z3106" i="1"/>
  <c r="Z3178" i="1"/>
  <c r="Z3250" i="1"/>
  <c r="Z3322" i="1"/>
  <c r="Z3394" i="1"/>
  <c r="Z3466" i="1"/>
  <c r="Z3538" i="1"/>
  <c r="Z3610" i="1"/>
  <c r="Z3682" i="1"/>
  <c r="Z3754" i="1"/>
  <c r="Z1666" i="1"/>
  <c r="Z2329" i="1"/>
  <c r="Z2567" i="1"/>
  <c r="Z2710" i="1"/>
  <c r="Z2121" i="1"/>
  <c r="Z2953" i="1"/>
  <c r="Z3241" i="1"/>
  <c r="Z3529" i="1"/>
  <c r="Z3817" i="1"/>
  <c r="Z3890" i="1"/>
  <c r="Z3944" i="1"/>
  <c r="Z2217" i="1"/>
  <c r="Z2843" i="1"/>
  <c r="Z2971" i="1"/>
  <c r="Z3131" i="1"/>
  <c r="Z2796" i="1"/>
  <c r="Z3101" i="1"/>
  <c r="Z3389" i="1"/>
  <c r="Z3927" i="1"/>
  <c r="Z155" i="1"/>
  <c r="Z624" i="1"/>
  <c r="Z1331" i="1"/>
  <c r="Z1610" i="1"/>
  <c r="Z1435" i="1"/>
  <c r="Z1918" i="1"/>
  <c r="Z2448" i="1"/>
  <c r="Z1640" i="1"/>
  <c r="Z2142" i="1"/>
  <c r="Z2475" i="1"/>
  <c r="Z2549" i="1"/>
  <c r="Z2794" i="1"/>
  <c r="Z2407" i="1"/>
  <c r="Z2834" i="1"/>
  <c r="Z2942" i="1"/>
  <c r="Z3038" i="1"/>
  <c r="Z3110" i="1"/>
  <c r="Z3182" i="1"/>
  <c r="Z3254" i="1"/>
  <c r="Z3326" i="1"/>
  <c r="Z3398" i="1"/>
  <c r="Z3470" i="1"/>
  <c r="Z3542" i="1"/>
  <c r="Z3614" i="1"/>
  <c r="Z3686" i="1"/>
  <c r="Z3758" i="1"/>
  <c r="Z1730" i="1"/>
  <c r="Z2345" i="1"/>
  <c r="Z2575" i="1"/>
  <c r="Z2718" i="1"/>
  <c r="Z2249" i="1"/>
  <c r="Z2969" i="1"/>
  <c r="Z632" i="1"/>
  <c r="Z1333" i="1"/>
  <c r="Z1612" i="1"/>
  <c r="Z1443" i="1"/>
  <c r="Z1926" i="1"/>
  <c r="Z2453" i="1"/>
  <c r="Z1784" i="1"/>
  <c r="Z2214" i="1"/>
  <c r="Z1842" i="1"/>
  <c r="Z2553" i="1"/>
  <c r="Z2797" i="1"/>
  <c r="Z2418" i="1"/>
  <c r="Z2836" i="1"/>
  <c r="Z2944" i="1"/>
  <c r="Z3040" i="1"/>
  <c r="Z3112" i="1"/>
  <c r="Z3184" i="1"/>
  <c r="Z3256" i="1"/>
  <c r="Z3328" i="1"/>
  <c r="Z3400" i="1"/>
  <c r="Z3472" i="1"/>
  <c r="Z3544" i="1"/>
  <c r="Z3616" i="1"/>
  <c r="Z3688" i="1"/>
  <c r="Z3760" i="1"/>
  <c r="Z1762" i="1"/>
  <c r="Z2356" i="1"/>
  <c r="Z2579" i="1"/>
  <c r="Z2721" i="1"/>
  <c r="Z2282" i="1"/>
  <c r="Z2977" i="1"/>
  <c r="Z3265" i="1"/>
  <c r="Z3553" i="1"/>
  <c r="Z3824" i="1"/>
  <c r="Z3896" i="1"/>
  <c r="Z3962" i="1"/>
  <c r="Z2351" i="1"/>
  <c r="Z2859" i="1"/>
  <c r="Z3003" i="1"/>
  <c r="Z3147" i="1"/>
  <c r="Z3291" i="1"/>
  <c r="Z3435" i="1"/>
  <c r="Z3579" i="1"/>
  <c r="Z3723" i="1"/>
  <c r="Z2185" i="1"/>
  <c r="Z2828" i="1"/>
  <c r="Z2973" i="1"/>
  <c r="Z3117" i="1"/>
  <c r="Z3261" i="1"/>
  <c r="Z3405" i="1"/>
  <c r="Z3549" i="1"/>
  <c r="Z3693" i="1"/>
  <c r="Z3823" i="1"/>
  <c r="Z3859" i="1"/>
  <c r="Z3895" i="1"/>
  <c r="Z3931" i="1"/>
  <c r="Z3967" i="1"/>
  <c r="Z1473" i="1"/>
  <c r="Z2703" i="1"/>
  <c r="Z2911" i="1"/>
  <c r="Z3055" i="1"/>
  <c r="Z3199" i="1"/>
  <c r="Z3343" i="1"/>
  <c r="Z3447" i="1"/>
  <c r="Z3543" i="1"/>
  <c r="Z3639" i="1"/>
  <c r="Z3735" i="1"/>
  <c r="Z3972" i="1"/>
  <c r="Z38" i="1"/>
  <c r="Z130" i="1"/>
  <c r="Z59" i="1"/>
  <c r="Z115" i="1"/>
  <c r="Z150" i="1"/>
  <c r="Z81" i="1"/>
  <c r="Z120" i="1"/>
  <c r="Z119" i="1"/>
  <c r="Z28" i="1"/>
  <c r="Z13" i="1"/>
  <c r="Z93" i="1"/>
  <c r="Z45" i="1"/>
  <c r="Z85" i="1"/>
  <c r="Z813" i="1"/>
  <c r="Z1132" i="1"/>
  <c r="Z1559" i="1"/>
  <c r="Z1740" i="1"/>
  <c r="Z2030" i="1"/>
  <c r="Z2518" i="1"/>
  <c r="Z1792" i="1"/>
  <c r="Z2219" i="1"/>
  <c r="Z1874" i="1"/>
  <c r="Z2557" i="1"/>
  <c r="Z2810" i="1"/>
  <c r="Z2423" i="1"/>
  <c r="Z2838" i="1"/>
  <c r="Z2946" i="1"/>
  <c r="Z3042" i="1"/>
  <c r="Z3114" i="1"/>
  <c r="Z3186" i="1"/>
  <c r="Z3258" i="1"/>
  <c r="Z3330" i="1"/>
  <c r="Z3402" i="1"/>
  <c r="Z3474" i="1"/>
  <c r="Z3546" i="1"/>
  <c r="Z3618" i="1"/>
  <c r="Z3690" i="1"/>
  <c r="Z3762" i="1"/>
  <c r="Z1794" i="1"/>
  <c r="Z2361" i="1"/>
  <c r="Z2583" i="1"/>
  <c r="Z2726" i="1"/>
  <c r="Z2303" i="1"/>
  <c r="Z2985" i="1"/>
  <c r="Z3273" i="1"/>
  <c r="Z3561" i="1"/>
  <c r="Z3826" i="1"/>
  <c r="Z3898" i="1"/>
  <c r="Z3964" i="1"/>
  <c r="Z2394" i="1"/>
  <c r="Z2867" i="1"/>
  <c r="Z3011" i="1"/>
  <c r="Z3155" i="1"/>
  <c r="Z3299" i="1"/>
  <c r="Z3443" i="1"/>
  <c r="Z3587" i="1"/>
  <c r="Z3731" i="1"/>
  <c r="Z2228" i="1"/>
  <c r="Z2837" i="1"/>
  <c r="Z2981" i="1"/>
  <c r="Z3125" i="1"/>
  <c r="Z3269" i="1"/>
  <c r="Z3413" i="1"/>
  <c r="Z3557" i="1"/>
  <c r="Z3701" i="1"/>
  <c r="Z3825" i="1"/>
  <c r="Z3861" i="1"/>
  <c r="Z3897" i="1"/>
  <c r="Z3933" i="1"/>
  <c r="Z3969" i="1"/>
  <c r="Z1642" i="1"/>
  <c r="Z2724" i="1"/>
  <c r="Z2919" i="1"/>
  <c r="Z3063" i="1"/>
  <c r="Z3207" i="1"/>
  <c r="Z3351" i="1"/>
  <c r="Z102" i="1"/>
  <c r="Z10" i="1"/>
  <c r="Z131" i="1"/>
  <c r="Z145" i="1"/>
  <c r="Z86" i="1"/>
  <c r="Z53" i="1"/>
  <c r="Z92" i="1"/>
  <c r="Z77" i="1"/>
  <c r="Z9" i="1"/>
  <c r="Z1748" i="1"/>
  <c r="Z815" i="1"/>
  <c r="Z3130" i="1"/>
  <c r="Z2615" i="1"/>
  <c r="Z3163" i="1"/>
  <c r="Z3709" i="1"/>
  <c r="Z3463" i="1"/>
  <c r="Z117" i="1"/>
  <c r="Z3323" i="1"/>
  <c r="Z3559" i="1"/>
  <c r="Z156" i="1"/>
  <c r="Z1178" i="1"/>
  <c r="Z3202" i="1"/>
  <c r="Z2758" i="1"/>
  <c r="Z3831" i="1"/>
  <c r="Z2875" i="1"/>
  <c r="Z114" i="1"/>
  <c r="Z1567" i="1"/>
  <c r="Z3274" i="1"/>
  <c r="Z2695" i="1"/>
  <c r="Z3451" i="1"/>
  <c r="Z3863" i="1"/>
  <c r="Z3655" i="1"/>
  <c r="Z141" i="1"/>
  <c r="Z3751" i="1"/>
  <c r="Z18" i="1"/>
  <c r="Z2042" i="1"/>
  <c r="Z3346" i="1"/>
  <c r="Z3049" i="1"/>
  <c r="Z3611" i="1"/>
  <c r="Z3903" i="1"/>
  <c r="Z116" i="1"/>
  <c r="Z3215" i="1"/>
  <c r="Z3359" i="1"/>
  <c r="Z2520" i="1"/>
  <c r="Z3418" i="1"/>
  <c r="Z3337" i="1"/>
  <c r="Z3739" i="1"/>
  <c r="Z3935" i="1"/>
  <c r="Z3980" i="1"/>
  <c r="Z4" i="1"/>
  <c r="Z40" i="1"/>
  <c r="Z3058" i="1"/>
  <c r="Z1906" i="1"/>
  <c r="Z3490" i="1"/>
  <c r="Z3625" i="1"/>
  <c r="Z2378" i="1"/>
  <c r="Z3975" i="1"/>
  <c r="Z19" i="1"/>
  <c r="Z96" i="1"/>
  <c r="Z2617" i="1"/>
  <c r="Z3562" i="1"/>
  <c r="Z3842" i="1"/>
  <c r="Z2845" i="1"/>
  <c r="Z1770" i="1"/>
  <c r="Z31" i="1"/>
  <c r="Z2970" i="1"/>
  <c r="Z2425" i="1"/>
  <c r="Z1818" i="1"/>
  <c r="Z3634" i="1"/>
  <c r="Z3914" i="1"/>
  <c r="Z3005" i="1"/>
  <c r="Z2767" i="1"/>
  <c r="Z3421" i="1"/>
  <c r="Z3581" i="1"/>
  <c r="Z2675" i="1"/>
  <c r="Z3706" i="1"/>
  <c r="Z3966" i="1"/>
  <c r="Z3133" i="1"/>
  <c r="Z2927" i="1"/>
  <c r="Z74" i="1"/>
  <c r="Z2862" i="1"/>
  <c r="Z3778" i="1"/>
  <c r="Z2479" i="1"/>
  <c r="Z3293" i="1"/>
  <c r="Z3087" i="1"/>
  <c r="Z91" i="1"/>
  <c r="Z2016" i="1"/>
  <c r="Z3035" i="1"/>
  <c r="R158" i="1"/>
  <c r="R182" i="1"/>
  <c r="R206" i="1"/>
  <c r="R230" i="1"/>
  <c r="R254" i="1"/>
  <c r="R278" i="1"/>
  <c r="R302" i="1"/>
  <c r="R326" i="1"/>
  <c r="R249" i="1"/>
  <c r="R175" i="1"/>
  <c r="R303" i="1"/>
  <c r="R370" i="1"/>
  <c r="R418" i="1"/>
  <c r="R275" i="1"/>
  <c r="R352" i="1"/>
  <c r="R400" i="1"/>
  <c r="R219" i="1"/>
  <c r="R334" i="1"/>
  <c r="R382" i="1"/>
  <c r="R430" i="1"/>
  <c r="R478" i="1"/>
  <c r="R526" i="1"/>
  <c r="R415" i="1"/>
  <c r="R482" i="1"/>
  <c r="R547" i="1"/>
  <c r="R595" i="1"/>
  <c r="R643" i="1"/>
  <c r="R691" i="1"/>
  <c r="R739" i="1"/>
  <c r="R787" i="1"/>
  <c r="R396" i="1"/>
  <c r="R483" i="1"/>
  <c r="R545" i="1"/>
  <c r="R593" i="1"/>
  <c r="R641" i="1"/>
  <c r="R689" i="1"/>
  <c r="R737" i="1"/>
  <c r="R785" i="1"/>
  <c r="R817" i="1"/>
  <c r="R399" i="1"/>
  <c r="R480" i="1"/>
  <c r="R546" i="1"/>
  <c r="R594" i="1"/>
  <c r="R642" i="1"/>
  <c r="R690" i="1"/>
  <c r="R738" i="1"/>
  <c r="R786" i="1"/>
  <c r="R549" i="1"/>
  <c r="R741" i="1"/>
  <c r="R840" i="1"/>
  <c r="R888" i="1"/>
  <c r="R936" i="1"/>
  <c r="R984" i="1"/>
  <c r="R1032" i="1"/>
  <c r="R1080" i="1"/>
  <c r="R1128" i="1"/>
  <c r="R442" i="1"/>
  <c r="R648" i="1"/>
  <c r="R822" i="1"/>
  <c r="R870" i="1"/>
  <c r="R918" i="1"/>
  <c r="R597" i="1"/>
  <c r="R789" i="1"/>
  <c r="R852" i="1"/>
  <c r="R900" i="1"/>
  <c r="R948" i="1"/>
  <c r="R996" i="1"/>
  <c r="R1044" i="1"/>
  <c r="R1092" i="1"/>
  <c r="R1140" i="1"/>
  <c r="R1184" i="1"/>
  <c r="R1208" i="1"/>
  <c r="R1232" i="1"/>
  <c r="R1256" i="1"/>
  <c r="R1280" i="1"/>
  <c r="R1304" i="1"/>
  <c r="R664" i="1"/>
  <c r="R950" i="1"/>
  <c r="R1046" i="1"/>
  <c r="R1142" i="1"/>
  <c r="R1221" i="1"/>
  <c r="R1317" i="1"/>
  <c r="R887" i="1"/>
  <c r="R999" i="1"/>
  <c r="R1095" i="1"/>
  <c r="R160" i="1"/>
  <c r="R184" i="1"/>
  <c r="R208" i="1"/>
  <c r="R232" i="1"/>
  <c r="R256" i="1"/>
  <c r="R280" i="1"/>
  <c r="R304" i="1"/>
  <c r="R161" i="1"/>
  <c r="R257" i="1"/>
  <c r="R189" i="1"/>
  <c r="R317" i="1"/>
  <c r="R373" i="1"/>
  <c r="R421" i="1"/>
  <c r="R279" i="1"/>
  <c r="R355" i="1"/>
  <c r="R403" i="1"/>
  <c r="R223" i="1"/>
  <c r="R337" i="1"/>
  <c r="R385" i="1"/>
  <c r="R433" i="1"/>
  <c r="R481" i="1"/>
  <c r="R529" i="1"/>
  <c r="R429" i="1"/>
  <c r="R493" i="1"/>
  <c r="R550" i="1"/>
  <c r="R598" i="1"/>
  <c r="R646" i="1"/>
  <c r="R694" i="1"/>
  <c r="R742" i="1"/>
  <c r="R790" i="1"/>
  <c r="R407" i="1"/>
  <c r="R487" i="1"/>
  <c r="R548" i="1"/>
  <c r="R596" i="1"/>
  <c r="R644" i="1"/>
  <c r="R692" i="1"/>
  <c r="R740" i="1"/>
  <c r="R788" i="1"/>
  <c r="R819" i="1"/>
  <c r="R420" i="1"/>
  <c r="R484" i="1"/>
  <c r="R551" i="1"/>
  <c r="R599" i="1"/>
  <c r="R647" i="1"/>
  <c r="R695" i="1"/>
  <c r="R743" i="1"/>
  <c r="R791" i="1"/>
  <c r="R560" i="1"/>
  <c r="R752" i="1"/>
  <c r="R845" i="1"/>
  <c r="R893" i="1"/>
  <c r="R941" i="1"/>
  <c r="R989" i="1"/>
  <c r="R1037" i="1"/>
  <c r="R1085" i="1"/>
  <c r="R1133" i="1"/>
  <c r="R456" i="1"/>
  <c r="R669" i="1"/>
  <c r="R827" i="1"/>
  <c r="R875" i="1"/>
  <c r="R199" i="1"/>
  <c r="R608" i="1"/>
  <c r="R800" i="1"/>
  <c r="R857" i="1"/>
  <c r="R905" i="1"/>
  <c r="R953" i="1"/>
  <c r="R1001" i="1"/>
  <c r="R1049" i="1"/>
  <c r="R1097" i="1"/>
  <c r="R1145" i="1"/>
  <c r="R1186" i="1"/>
  <c r="R1210" i="1"/>
  <c r="R1234" i="1"/>
  <c r="R1258" i="1"/>
  <c r="R1282" i="1"/>
  <c r="R1306" i="1"/>
  <c r="R749" i="1"/>
  <c r="R955" i="1"/>
  <c r="R1051" i="1"/>
  <c r="R1147" i="1"/>
  <c r="R1229" i="1"/>
  <c r="R435" i="1"/>
  <c r="R898" i="1"/>
  <c r="R1010" i="1"/>
  <c r="R162" i="1"/>
  <c r="R186" i="1"/>
  <c r="R210" i="1"/>
  <c r="R234" i="1"/>
  <c r="R258" i="1"/>
  <c r="R282" i="1"/>
  <c r="R306" i="1"/>
  <c r="R169" i="1"/>
  <c r="R265" i="1"/>
  <c r="R203" i="1"/>
  <c r="R330" i="1"/>
  <c r="R378" i="1"/>
  <c r="R165" i="1"/>
  <c r="R293" i="1"/>
  <c r="R360" i="1"/>
  <c r="R408" i="1"/>
  <c r="R237" i="1"/>
  <c r="R342" i="1"/>
  <c r="R390" i="1"/>
  <c r="R438" i="1"/>
  <c r="R486" i="1"/>
  <c r="R534" i="1"/>
  <c r="R432" i="1"/>
  <c r="R496" i="1"/>
  <c r="R555" i="1"/>
  <c r="R603" i="1"/>
  <c r="R651" i="1"/>
  <c r="R699" i="1"/>
  <c r="R747" i="1"/>
  <c r="R795" i="1"/>
  <c r="R426" i="1"/>
  <c r="R490" i="1"/>
  <c r="R553" i="1"/>
  <c r="R601" i="1"/>
  <c r="R649" i="1"/>
  <c r="R697" i="1"/>
  <c r="R745" i="1"/>
  <c r="R793" i="1"/>
  <c r="R167" i="1"/>
  <c r="R427" i="1"/>
  <c r="R491" i="1"/>
  <c r="R554" i="1"/>
  <c r="R602" i="1"/>
  <c r="R650" i="1"/>
  <c r="R698" i="1"/>
  <c r="R746" i="1"/>
  <c r="R794" i="1"/>
  <c r="R581" i="1"/>
  <c r="R773" i="1"/>
  <c r="R848" i="1"/>
  <c r="R896" i="1"/>
  <c r="R944" i="1"/>
  <c r="R992" i="1"/>
  <c r="R1040" i="1"/>
  <c r="R1088" i="1"/>
  <c r="R1136" i="1"/>
  <c r="R471" i="1"/>
  <c r="R680" i="1"/>
  <c r="R830" i="1"/>
  <c r="R878" i="1"/>
  <c r="R359" i="1"/>
  <c r="R629" i="1"/>
  <c r="R808" i="1"/>
  <c r="R860" i="1"/>
  <c r="R908" i="1"/>
  <c r="R956" i="1"/>
  <c r="R1004" i="1"/>
  <c r="R1052" i="1"/>
  <c r="R1100" i="1"/>
  <c r="R1148" i="1"/>
  <c r="R1188" i="1"/>
  <c r="R1212" i="1"/>
  <c r="R1236" i="1"/>
  <c r="R1260" i="1"/>
  <c r="R1284" i="1"/>
  <c r="R1308" i="1"/>
  <c r="R792" i="1"/>
  <c r="R966" i="1"/>
  <c r="R1062" i="1"/>
  <c r="R1158" i="1"/>
  <c r="R1237" i="1"/>
  <c r="R492" i="1"/>
  <c r="R919" i="1"/>
  <c r="R1015" i="1"/>
  <c r="R164" i="1"/>
  <c r="R188" i="1"/>
  <c r="R212" i="1"/>
  <c r="R236" i="1"/>
  <c r="R260" i="1"/>
  <c r="R284" i="1"/>
  <c r="R308" i="1"/>
  <c r="R177" i="1"/>
  <c r="R273" i="1"/>
  <c r="R207" i="1"/>
  <c r="R333" i="1"/>
  <c r="R381" i="1"/>
  <c r="R179" i="1"/>
  <c r="R307" i="1"/>
  <c r="R363" i="1"/>
  <c r="R411" i="1"/>
  <c r="R251" i="1"/>
  <c r="R345" i="1"/>
  <c r="R393" i="1"/>
  <c r="R441" i="1"/>
  <c r="R489" i="1"/>
  <c r="R537" i="1"/>
  <c r="R436" i="1"/>
  <c r="R500" i="1"/>
  <c r="R558" i="1"/>
  <c r="R606" i="1"/>
  <c r="R654" i="1"/>
  <c r="R702" i="1"/>
  <c r="R750" i="1"/>
  <c r="R798" i="1"/>
  <c r="R437" i="1"/>
  <c r="R501" i="1"/>
  <c r="R556" i="1"/>
  <c r="R604" i="1"/>
  <c r="R652" i="1"/>
  <c r="R700" i="1"/>
  <c r="R748" i="1"/>
  <c r="R796" i="1"/>
  <c r="R181" i="1"/>
  <c r="R431" i="1"/>
  <c r="R495" i="1"/>
  <c r="R559" i="1"/>
  <c r="R607" i="1"/>
  <c r="R655" i="1"/>
  <c r="R703" i="1"/>
  <c r="R751" i="1"/>
  <c r="R799" i="1"/>
  <c r="R592" i="1"/>
  <c r="R784" i="1"/>
  <c r="R853" i="1"/>
  <c r="R901" i="1"/>
  <c r="R949" i="1"/>
  <c r="R997" i="1"/>
  <c r="R1045" i="1"/>
  <c r="R1093" i="1"/>
  <c r="R1141" i="1"/>
  <c r="R485" i="1"/>
  <c r="R701" i="1"/>
  <c r="R835" i="1"/>
  <c r="R883" i="1"/>
  <c r="R460" i="1"/>
  <c r="R640" i="1"/>
  <c r="R816" i="1"/>
  <c r="R865" i="1"/>
  <c r="R913" i="1"/>
  <c r="R961" i="1"/>
  <c r="R1009" i="1"/>
  <c r="R1057" i="1"/>
  <c r="R1105" i="1"/>
  <c r="R1153" i="1"/>
  <c r="R1190" i="1"/>
  <c r="R1214" i="1"/>
  <c r="R1238" i="1"/>
  <c r="R1262" i="1"/>
  <c r="R1286" i="1"/>
  <c r="R1310" i="1"/>
  <c r="R831" i="1"/>
  <c r="R971" i="1"/>
  <c r="R1067" i="1"/>
  <c r="R1163" i="1"/>
  <c r="R1245" i="1"/>
  <c r="R589" i="1"/>
  <c r="R930" i="1"/>
  <c r="R166" i="1"/>
  <c r="R190" i="1"/>
  <c r="R214" i="1"/>
  <c r="R238" i="1"/>
  <c r="R262" i="1"/>
  <c r="R286" i="1"/>
  <c r="R310" i="1"/>
  <c r="R185" i="1"/>
  <c r="R281" i="1"/>
  <c r="R221" i="1"/>
  <c r="R338" i="1"/>
  <c r="R386" i="1"/>
  <c r="R183" i="1"/>
  <c r="R311" i="1"/>
  <c r="R368" i="1"/>
  <c r="R416" i="1"/>
  <c r="R255" i="1"/>
  <c r="R350" i="1"/>
  <c r="R398" i="1"/>
  <c r="R446" i="1"/>
  <c r="R494" i="1"/>
  <c r="R231" i="1"/>
  <c r="R443" i="1"/>
  <c r="R507" i="1"/>
  <c r="R563" i="1"/>
  <c r="R611" i="1"/>
  <c r="R659" i="1"/>
  <c r="R707" i="1"/>
  <c r="R755" i="1"/>
  <c r="R163" i="1"/>
  <c r="R440" i="1"/>
  <c r="R504" i="1"/>
  <c r="R561" i="1"/>
  <c r="R609" i="1"/>
  <c r="R657" i="1"/>
  <c r="R705" i="1"/>
  <c r="R753" i="1"/>
  <c r="R801" i="1"/>
  <c r="R195" i="1"/>
  <c r="R434" i="1"/>
  <c r="R498" i="1"/>
  <c r="R562" i="1"/>
  <c r="R610" i="1"/>
  <c r="R658" i="1"/>
  <c r="R706" i="1"/>
  <c r="R754" i="1"/>
  <c r="R227" i="1"/>
  <c r="R613" i="1"/>
  <c r="R804" i="1"/>
  <c r="R856" i="1"/>
  <c r="R904" i="1"/>
  <c r="R952" i="1"/>
  <c r="R1000" i="1"/>
  <c r="R1048" i="1"/>
  <c r="R1096" i="1"/>
  <c r="R1144" i="1"/>
  <c r="R499" i="1"/>
  <c r="R712" i="1"/>
  <c r="R838" i="1"/>
  <c r="R886" i="1"/>
  <c r="R474" i="1"/>
  <c r="R661" i="1"/>
  <c r="R820" i="1"/>
  <c r="R868" i="1"/>
  <c r="R916" i="1"/>
  <c r="R964" i="1"/>
  <c r="R1012" i="1"/>
  <c r="R1060" i="1"/>
  <c r="R1108" i="1"/>
  <c r="R1156" i="1"/>
  <c r="R1192" i="1"/>
  <c r="R1216" i="1"/>
  <c r="R1240" i="1"/>
  <c r="R1264" i="1"/>
  <c r="R1288" i="1"/>
  <c r="R1312" i="1"/>
  <c r="R842" i="1"/>
  <c r="R982" i="1"/>
  <c r="R1078" i="1"/>
  <c r="R1167" i="1"/>
  <c r="R1253" i="1"/>
  <c r="R632" i="1"/>
  <c r="R935" i="1"/>
  <c r="R168" i="1"/>
  <c r="R192" i="1"/>
  <c r="R216" i="1"/>
  <c r="R240" i="1"/>
  <c r="R264" i="1"/>
  <c r="R288" i="1"/>
  <c r="R312" i="1"/>
  <c r="R193" i="1"/>
  <c r="R289" i="1"/>
  <c r="R235" i="1"/>
  <c r="R341" i="1"/>
  <c r="R389" i="1"/>
  <c r="R197" i="1"/>
  <c r="R325" i="1"/>
  <c r="R371" i="1"/>
  <c r="R419" i="1"/>
  <c r="R269" i="1"/>
  <c r="R353" i="1"/>
  <c r="R401" i="1"/>
  <c r="R449" i="1"/>
  <c r="R497" i="1"/>
  <c r="R245" i="1"/>
  <c r="R447" i="1"/>
  <c r="R511" i="1"/>
  <c r="R566" i="1"/>
  <c r="R614" i="1"/>
  <c r="R662" i="1"/>
  <c r="R710" i="1"/>
  <c r="R758" i="1"/>
  <c r="R263" i="1"/>
  <c r="R444" i="1"/>
  <c r="R508" i="1"/>
  <c r="R564" i="1"/>
  <c r="R612" i="1"/>
  <c r="R660" i="1"/>
  <c r="R708" i="1"/>
  <c r="R756" i="1"/>
  <c r="R803" i="1"/>
  <c r="R295" i="1"/>
  <c r="R445" i="1"/>
  <c r="R509" i="1"/>
  <c r="R567" i="1"/>
  <c r="R615" i="1"/>
  <c r="R663" i="1"/>
  <c r="R711" i="1"/>
  <c r="R759" i="1"/>
  <c r="R380" i="1"/>
  <c r="R624" i="1"/>
  <c r="R812" i="1"/>
  <c r="R861" i="1"/>
  <c r="R909" i="1"/>
  <c r="R957" i="1"/>
  <c r="R1005" i="1"/>
  <c r="R1053" i="1"/>
  <c r="R1101" i="1"/>
  <c r="R1149" i="1"/>
  <c r="R541" i="1"/>
  <c r="R733" i="1"/>
  <c r="R843" i="1"/>
  <c r="R891" i="1"/>
  <c r="R488" i="1"/>
  <c r="R672" i="1"/>
  <c r="R825" i="1"/>
  <c r="R873" i="1"/>
  <c r="R921" i="1"/>
  <c r="R969" i="1"/>
  <c r="R1017" i="1"/>
  <c r="R1065" i="1"/>
  <c r="R1113" i="1"/>
  <c r="R1161" i="1"/>
  <c r="R1194" i="1"/>
  <c r="R1218" i="1"/>
  <c r="R1242" i="1"/>
  <c r="R1266" i="1"/>
  <c r="R1290" i="1"/>
  <c r="R1314" i="1"/>
  <c r="R863" i="1"/>
  <c r="R987" i="1"/>
  <c r="R1083" i="1"/>
  <c r="R1174" i="1"/>
  <c r="R1261" i="1"/>
  <c r="R717" i="1"/>
  <c r="R946" i="1"/>
  <c r="R1042" i="1"/>
  <c r="R1138" i="1"/>
  <c r="R170" i="1"/>
  <c r="R194" i="1"/>
  <c r="R218" i="1"/>
  <c r="R242" i="1"/>
  <c r="R266" i="1"/>
  <c r="R290" i="1"/>
  <c r="R314" i="1"/>
  <c r="R201" i="1"/>
  <c r="R297" i="1"/>
  <c r="R239" i="1"/>
  <c r="R346" i="1"/>
  <c r="R394" i="1"/>
  <c r="R211" i="1"/>
  <c r="R328" i="1"/>
  <c r="R376" i="1"/>
  <c r="R424" i="1"/>
  <c r="R283" i="1"/>
  <c r="R358" i="1"/>
  <c r="R406" i="1"/>
  <c r="R454" i="1"/>
  <c r="R502" i="1"/>
  <c r="R259" i="1"/>
  <c r="R450" i="1"/>
  <c r="R514" i="1"/>
  <c r="R571" i="1"/>
  <c r="R619" i="1"/>
  <c r="R667" i="1"/>
  <c r="R715" i="1"/>
  <c r="R763" i="1"/>
  <c r="R277" i="1"/>
  <c r="R451" i="1"/>
  <c r="R515" i="1"/>
  <c r="R569" i="1"/>
  <c r="R617" i="1"/>
  <c r="R665" i="1"/>
  <c r="R713" i="1"/>
  <c r="R761" i="1"/>
  <c r="R805" i="1"/>
  <c r="R309" i="1"/>
  <c r="R448" i="1"/>
  <c r="R512" i="1"/>
  <c r="R570" i="1"/>
  <c r="R618" i="1"/>
  <c r="R666" i="1"/>
  <c r="R714" i="1"/>
  <c r="R762" i="1"/>
  <c r="R423" i="1"/>
  <c r="R645" i="1"/>
  <c r="R818" i="1"/>
  <c r="R864" i="1"/>
  <c r="R912" i="1"/>
  <c r="R960" i="1"/>
  <c r="R1008" i="1"/>
  <c r="R1056" i="1"/>
  <c r="R1104" i="1"/>
  <c r="R1152" i="1"/>
  <c r="R552" i="1"/>
  <c r="R744" i="1"/>
  <c r="R846" i="1"/>
  <c r="R894" i="1"/>
  <c r="R503" i="1"/>
  <c r="R693" i="1"/>
  <c r="R828" i="1"/>
  <c r="R876" i="1"/>
  <c r="R924" i="1"/>
  <c r="R972" i="1"/>
  <c r="R1020" i="1"/>
  <c r="R1068" i="1"/>
  <c r="R1116" i="1"/>
  <c r="R1164" i="1"/>
  <c r="R1196" i="1"/>
  <c r="R1220" i="1"/>
  <c r="R1244" i="1"/>
  <c r="R1268" i="1"/>
  <c r="R1292" i="1"/>
  <c r="R1316" i="1"/>
  <c r="R874" i="1"/>
  <c r="R998" i="1"/>
  <c r="R1094" i="1"/>
  <c r="R1178" i="1"/>
  <c r="R1269" i="1"/>
  <c r="R760" i="1"/>
  <c r="R951" i="1"/>
  <c r="R1047" i="1"/>
  <c r="R1143" i="1"/>
  <c r="R172" i="1"/>
  <c r="R196" i="1"/>
  <c r="R220" i="1"/>
  <c r="R244" i="1"/>
  <c r="R268" i="1"/>
  <c r="R292" i="1"/>
  <c r="R316" i="1"/>
  <c r="R209" i="1"/>
  <c r="R305" i="1"/>
  <c r="R253" i="1"/>
  <c r="R349" i="1"/>
  <c r="R397" i="1"/>
  <c r="R215" i="1"/>
  <c r="R331" i="1"/>
  <c r="R379" i="1"/>
  <c r="R159" i="1"/>
  <c r="R287" i="1"/>
  <c r="R361" i="1"/>
  <c r="R409" i="1"/>
  <c r="R457" i="1"/>
  <c r="R505" i="1"/>
  <c r="R340" i="1"/>
  <c r="R461" i="1"/>
  <c r="R525" i="1"/>
  <c r="R574" i="1"/>
  <c r="R622" i="1"/>
  <c r="R670" i="1"/>
  <c r="R718" i="1"/>
  <c r="R766" i="1"/>
  <c r="R291" i="1"/>
  <c r="R455" i="1"/>
  <c r="R519" i="1"/>
  <c r="R572" i="1"/>
  <c r="R620" i="1"/>
  <c r="R668" i="1"/>
  <c r="R716" i="1"/>
  <c r="R764" i="1"/>
  <c r="R807" i="1"/>
  <c r="R323" i="1"/>
  <c r="R452" i="1"/>
  <c r="R516" i="1"/>
  <c r="R575" i="1"/>
  <c r="R623" i="1"/>
  <c r="R671" i="1"/>
  <c r="R174" i="1"/>
  <c r="R198" i="1"/>
  <c r="R222" i="1"/>
  <c r="R246" i="1"/>
  <c r="R270" i="1"/>
  <c r="R294" i="1"/>
  <c r="R318" i="1"/>
  <c r="R217" i="1"/>
  <c r="R313" i="1"/>
  <c r="R267" i="1"/>
  <c r="R354" i="1"/>
  <c r="R402" i="1"/>
  <c r="R229" i="1"/>
  <c r="R336" i="1"/>
  <c r="R384" i="1"/>
  <c r="R173" i="1"/>
  <c r="R301" i="1"/>
  <c r="R366" i="1"/>
  <c r="R414" i="1"/>
  <c r="R462" i="1"/>
  <c r="R510" i="1"/>
  <c r="R351" i="1"/>
  <c r="R464" i="1"/>
  <c r="R528" i="1"/>
  <c r="R579" i="1"/>
  <c r="R627" i="1"/>
  <c r="R675" i="1"/>
  <c r="R723" i="1"/>
  <c r="R771" i="1"/>
  <c r="R332" i="1"/>
  <c r="R458" i="1"/>
  <c r="R522" i="1"/>
  <c r="R577" i="1"/>
  <c r="R625" i="1"/>
  <c r="R673" i="1"/>
  <c r="R721" i="1"/>
  <c r="R769" i="1"/>
  <c r="R809" i="1"/>
  <c r="R335" i="1"/>
  <c r="R459" i="1"/>
  <c r="R523" i="1"/>
  <c r="R578" i="1"/>
  <c r="R626" i="1"/>
  <c r="R674" i="1"/>
  <c r="R722" i="1"/>
  <c r="R770" i="1"/>
  <c r="R453" i="1"/>
  <c r="R677" i="1"/>
  <c r="R824" i="1"/>
  <c r="R872" i="1"/>
  <c r="R920" i="1"/>
  <c r="R968" i="1"/>
  <c r="R1016" i="1"/>
  <c r="R1064" i="1"/>
  <c r="R1112" i="1"/>
  <c r="R1160" i="1"/>
  <c r="R584" i="1"/>
  <c r="R776" i="1"/>
  <c r="R854" i="1"/>
  <c r="R902" i="1"/>
  <c r="R531" i="1"/>
  <c r="R725" i="1"/>
  <c r="R836" i="1"/>
  <c r="R884" i="1"/>
  <c r="R932" i="1"/>
  <c r="R980" i="1"/>
  <c r="R1028" i="1"/>
  <c r="R1076" i="1"/>
  <c r="R1124" i="1"/>
  <c r="R1172" i="1"/>
  <c r="R1200" i="1"/>
  <c r="R1224" i="1"/>
  <c r="R1248" i="1"/>
  <c r="R1272" i="1"/>
  <c r="R1296" i="1"/>
  <c r="R213" i="1"/>
  <c r="R906" i="1"/>
  <c r="R1014" i="1"/>
  <c r="R1110" i="1"/>
  <c r="R1189" i="1"/>
  <c r="R1285" i="1"/>
  <c r="R823" i="1"/>
  <c r="R967" i="1"/>
  <c r="R1063" i="1"/>
  <c r="R1159" i="1"/>
  <c r="R176" i="1"/>
  <c r="R200" i="1"/>
  <c r="R224" i="1"/>
  <c r="R248" i="1"/>
  <c r="R272" i="1"/>
  <c r="R296" i="1"/>
  <c r="R320" i="1"/>
  <c r="R225" i="1"/>
  <c r="R321" i="1"/>
  <c r="R271" i="1"/>
  <c r="R357" i="1"/>
  <c r="R405" i="1"/>
  <c r="R243" i="1"/>
  <c r="R339" i="1"/>
  <c r="R387" i="1"/>
  <c r="R187" i="1"/>
  <c r="R315" i="1"/>
  <c r="R369" i="1"/>
  <c r="R417" i="1"/>
  <c r="R465" i="1"/>
  <c r="R513" i="1"/>
  <c r="R372" i="1"/>
  <c r="R468" i="1"/>
  <c r="R532" i="1"/>
  <c r="R582" i="1"/>
  <c r="R630" i="1"/>
  <c r="R678" i="1"/>
  <c r="R726" i="1"/>
  <c r="R774" i="1"/>
  <c r="R343" i="1"/>
  <c r="R469" i="1"/>
  <c r="R533" i="1"/>
  <c r="R580" i="1"/>
  <c r="R628" i="1"/>
  <c r="R676" i="1"/>
  <c r="R724" i="1"/>
  <c r="R772" i="1"/>
  <c r="R811" i="1"/>
  <c r="R356" i="1"/>
  <c r="R178" i="1"/>
  <c r="R322" i="1"/>
  <c r="R247" i="1"/>
  <c r="R422" i="1"/>
  <c r="R587" i="1"/>
  <c r="R472" i="1"/>
  <c r="R777" i="1"/>
  <c r="R583" i="1"/>
  <c r="R735" i="1"/>
  <c r="R720" i="1"/>
  <c r="R933" i="1"/>
  <c r="R1077" i="1"/>
  <c r="R637" i="1"/>
  <c r="R915" i="1"/>
  <c r="R849" i="1"/>
  <c r="R993" i="1"/>
  <c r="R1137" i="1"/>
  <c r="R1230" i="1"/>
  <c r="R1302" i="1"/>
  <c r="R1035" i="1"/>
  <c r="R1309" i="1"/>
  <c r="R1074" i="1"/>
  <c r="R1195" i="1"/>
  <c r="R1291" i="1"/>
  <c r="R1336" i="1"/>
  <c r="R1360" i="1"/>
  <c r="R1384" i="1"/>
  <c r="R1408" i="1"/>
  <c r="R847" i="1"/>
  <c r="R979" i="1"/>
  <c r="R1075" i="1"/>
  <c r="R1176" i="1"/>
  <c r="R1265" i="1"/>
  <c r="R1034" i="1"/>
  <c r="R1349" i="1"/>
  <c r="R1429" i="1"/>
  <c r="R1477" i="1"/>
  <c r="R1525" i="1"/>
  <c r="R1573" i="1"/>
  <c r="R1621" i="1"/>
  <c r="R1653" i="1"/>
  <c r="R1677" i="1"/>
  <c r="R1701" i="1"/>
  <c r="R1725" i="1"/>
  <c r="R1749" i="1"/>
  <c r="R1773" i="1"/>
  <c r="R1797" i="1"/>
  <c r="R1821" i="1"/>
  <c r="R1845" i="1"/>
  <c r="R1869" i="1"/>
  <c r="R1893" i="1"/>
  <c r="R1917" i="1"/>
  <c r="R1941" i="1"/>
  <c r="R1965" i="1"/>
  <c r="R1989" i="1"/>
  <c r="R2013" i="1"/>
  <c r="R2037" i="1"/>
  <c r="R2061" i="1"/>
  <c r="R1146" i="1"/>
  <c r="R1367" i="1"/>
  <c r="R1440" i="1"/>
  <c r="R1488" i="1"/>
  <c r="R1536" i="1"/>
  <c r="R180" i="1"/>
  <c r="R324" i="1"/>
  <c r="R261" i="1"/>
  <c r="R425" i="1"/>
  <c r="R590" i="1"/>
  <c r="R476" i="1"/>
  <c r="R780" i="1"/>
  <c r="R586" i="1"/>
  <c r="R767" i="1"/>
  <c r="R821" i="1"/>
  <c r="R965" i="1"/>
  <c r="R1109" i="1"/>
  <c r="R765" i="1"/>
  <c r="R517" i="1"/>
  <c r="R881" i="1"/>
  <c r="R1025" i="1"/>
  <c r="R1169" i="1"/>
  <c r="R1246" i="1"/>
  <c r="R1318" i="1"/>
  <c r="R1099" i="1"/>
  <c r="R802" i="1"/>
  <c r="R1079" i="1"/>
  <c r="R1203" i="1"/>
  <c r="R1299" i="1"/>
  <c r="R1338" i="1"/>
  <c r="R1362" i="1"/>
  <c r="R1386" i="1"/>
  <c r="R202" i="1"/>
  <c r="R233" i="1"/>
  <c r="R344" i="1"/>
  <c r="R470" i="1"/>
  <c r="R635" i="1"/>
  <c r="R536" i="1"/>
  <c r="R813" i="1"/>
  <c r="R591" i="1"/>
  <c r="R775" i="1"/>
  <c r="R829" i="1"/>
  <c r="R973" i="1"/>
  <c r="R1117" i="1"/>
  <c r="R797" i="1"/>
  <c r="R544" i="1"/>
  <c r="R889" i="1"/>
  <c r="R1033" i="1"/>
  <c r="R1177" i="1"/>
  <c r="R1250" i="1"/>
  <c r="R412" i="1"/>
  <c r="R1115" i="1"/>
  <c r="R834" i="1"/>
  <c r="R1090" i="1"/>
  <c r="R1211" i="1"/>
  <c r="R1307" i="1"/>
  <c r="R1340" i="1"/>
  <c r="R1364" i="1"/>
  <c r="R1388" i="1"/>
  <c r="R1412" i="1"/>
  <c r="R879" i="1"/>
  <c r="R995" i="1"/>
  <c r="R1091" i="1"/>
  <c r="R1185" i="1"/>
  <c r="R1281" i="1"/>
  <c r="R1098" i="1"/>
  <c r="R1365" i="1"/>
  <c r="R1437" i="1"/>
  <c r="R1485" i="1"/>
  <c r="R1533" i="1"/>
  <c r="R1581" i="1"/>
  <c r="R1629" i="1"/>
  <c r="R1657" i="1"/>
  <c r="R1681" i="1"/>
  <c r="R1705" i="1"/>
  <c r="R1729" i="1"/>
  <c r="R1753" i="1"/>
  <c r="R1777" i="1"/>
  <c r="R1801" i="1"/>
  <c r="R1825" i="1"/>
  <c r="R1849" i="1"/>
  <c r="R1873" i="1"/>
  <c r="R1897" i="1"/>
  <c r="R1921" i="1"/>
  <c r="R1945" i="1"/>
  <c r="R1969" i="1"/>
  <c r="R1993" i="1"/>
  <c r="R2017" i="1"/>
  <c r="R2041" i="1"/>
  <c r="R2065" i="1"/>
  <c r="R1191" i="1"/>
  <c r="R1383" i="1"/>
  <c r="R1448" i="1"/>
  <c r="R1496" i="1"/>
  <c r="R1544" i="1"/>
  <c r="R1592" i="1"/>
  <c r="R520" i="1"/>
  <c r="R1170" i="1"/>
  <c r="R1369" i="1"/>
  <c r="R1441" i="1"/>
  <c r="R1489" i="1"/>
  <c r="R1537" i="1"/>
  <c r="R1585" i="1"/>
  <c r="R1633" i="1"/>
  <c r="R1660" i="1"/>
  <c r="R1684" i="1"/>
  <c r="R1708" i="1"/>
  <c r="R1732" i="1"/>
  <c r="R1756" i="1"/>
  <c r="R1780" i="1"/>
  <c r="R1804" i="1"/>
  <c r="R1828" i="1"/>
  <c r="R1852" i="1"/>
  <c r="R1876" i="1"/>
  <c r="R1900" i="1"/>
  <c r="R1924" i="1"/>
  <c r="R1948" i="1"/>
  <c r="R204" i="1"/>
  <c r="R241" i="1"/>
  <c r="R347" i="1"/>
  <c r="R473" i="1"/>
  <c r="R638" i="1"/>
  <c r="R540" i="1"/>
  <c r="R815" i="1"/>
  <c r="R631" i="1"/>
  <c r="R778" i="1"/>
  <c r="R832" i="1"/>
  <c r="R976" i="1"/>
  <c r="R1120" i="1"/>
  <c r="R226" i="1"/>
  <c r="R157" i="1"/>
  <c r="R392" i="1"/>
  <c r="R518" i="1"/>
  <c r="R683" i="1"/>
  <c r="R585" i="1"/>
  <c r="R367" i="1"/>
  <c r="R634" i="1"/>
  <c r="R783" i="1"/>
  <c r="R837" i="1"/>
  <c r="R981" i="1"/>
  <c r="R1125" i="1"/>
  <c r="R814" i="1"/>
  <c r="R576" i="1"/>
  <c r="R897" i="1"/>
  <c r="R1041" i="1"/>
  <c r="R1182" i="1"/>
  <c r="R1254" i="1"/>
  <c r="R621" i="1"/>
  <c r="R1131" i="1"/>
  <c r="R866" i="1"/>
  <c r="R1111" i="1"/>
  <c r="R1227" i="1"/>
  <c r="R1320" i="1"/>
  <c r="R1344" i="1"/>
  <c r="R1368" i="1"/>
  <c r="R1392" i="1"/>
  <c r="R327" i="1"/>
  <c r="R911" i="1"/>
  <c r="R1011" i="1"/>
  <c r="R1107" i="1"/>
  <c r="R1201" i="1"/>
  <c r="R1297" i="1"/>
  <c r="R1162" i="1"/>
  <c r="R1381" i="1"/>
  <c r="R1445" i="1"/>
  <c r="R1493" i="1"/>
  <c r="R1541" i="1"/>
  <c r="R1589" i="1"/>
  <c r="R1637" i="1"/>
  <c r="R1661" i="1"/>
  <c r="R1685" i="1"/>
  <c r="R1709" i="1"/>
  <c r="R1733" i="1"/>
  <c r="R1757" i="1"/>
  <c r="R1781" i="1"/>
  <c r="R1805" i="1"/>
  <c r="R1829" i="1"/>
  <c r="R1853" i="1"/>
  <c r="R1877" i="1"/>
  <c r="R1901" i="1"/>
  <c r="R1925" i="1"/>
  <c r="R1949" i="1"/>
  <c r="R1973" i="1"/>
  <c r="R1997" i="1"/>
  <c r="R2021" i="1"/>
  <c r="R2045" i="1"/>
  <c r="R653" i="1"/>
  <c r="R1255" i="1"/>
  <c r="R1399" i="1"/>
  <c r="R1456" i="1"/>
  <c r="R1504" i="1"/>
  <c r="R1552" i="1"/>
  <c r="R228" i="1"/>
  <c r="R171" i="1"/>
  <c r="R395" i="1"/>
  <c r="R521" i="1"/>
  <c r="R686" i="1"/>
  <c r="R588" i="1"/>
  <c r="R388" i="1"/>
  <c r="R639" i="1"/>
  <c r="R439" i="1"/>
  <c r="R869" i="1"/>
  <c r="R1013" i="1"/>
  <c r="R1157" i="1"/>
  <c r="R851" i="1"/>
  <c r="R704" i="1"/>
  <c r="R929" i="1"/>
  <c r="R1073" i="1"/>
  <c r="R1198" i="1"/>
  <c r="R1270" i="1"/>
  <c r="R895" i="1"/>
  <c r="R1181" i="1"/>
  <c r="R962" i="1"/>
  <c r="R1122" i="1"/>
  <c r="R1235" i="1"/>
  <c r="R1322" i="1"/>
  <c r="R1346" i="1"/>
  <c r="R1370" i="1"/>
  <c r="R1394" i="1"/>
  <c r="R506" i="1"/>
  <c r="R926" i="1"/>
  <c r="R1022" i="1"/>
  <c r="R1118" i="1"/>
  <c r="R1209" i="1"/>
  <c r="R1305" i="1"/>
  <c r="R1199" i="1"/>
  <c r="R1389" i="1"/>
  <c r="R1450" i="1"/>
  <c r="R1498" i="1"/>
  <c r="R1546" i="1"/>
  <c r="R1594" i="1"/>
  <c r="R1639" i="1"/>
  <c r="R1663" i="1"/>
  <c r="R1687" i="1"/>
  <c r="R1711" i="1"/>
  <c r="R1735" i="1"/>
  <c r="R1759" i="1"/>
  <c r="R1783" i="1"/>
  <c r="R1807" i="1"/>
  <c r="R1831" i="1"/>
  <c r="R1855" i="1"/>
  <c r="R1879" i="1"/>
  <c r="R1903" i="1"/>
  <c r="R1927" i="1"/>
  <c r="R1951" i="1"/>
  <c r="R1975" i="1"/>
  <c r="R1999" i="1"/>
  <c r="R2023" i="1"/>
  <c r="R2047" i="1"/>
  <c r="R903" i="1"/>
  <c r="R1287" i="1"/>
  <c r="R1407" i="1"/>
  <c r="R1459" i="1"/>
  <c r="R1507" i="1"/>
  <c r="R1555" i="1"/>
  <c r="R250" i="1"/>
  <c r="R285" i="1"/>
  <c r="R191" i="1"/>
  <c r="R383" i="1"/>
  <c r="R731" i="1"/>
  <c r="R633" i="1"/>
  <c r="R463" i="1"/>
  <c r="R679" i="1"/>
  <c r="R467" i="1"/>
  <c r="R877" i="1"/>
  <c r="R1021" i="1"/>
  <c r="R348" i="1"/>
  <c r="R859" i="1"/>
  <c r="R736" i="1"/>
  <c r="R937" i="1"/>
  <c r="R1081" i="1"/>
  <c r="R1202" i="1"/>
  <c r="R1274" i="1"/>
  <c r="R923" i="1"/>
  <c r="R1197" i="1"/>
  <c r="R978" i="1"/>
  <c r="R1127" i="1"/>
  <c r="R1243" i="1"/>
  <c r="R1324" i="1"/>
  <c r="R1348" i="1"/>
  <c r="R1372" i="1"/>
  <c r="R1396" i="1"/>
  <c r="R557" i="1"/>
  <c r="R931" i="1"/>
  <c r="R1027" i="1"/>
  <c r="R1123" i="1"/>
  <c r="R1217" i="1"/>
  <c r="R1313" i="1"/>
  <c r="R1231" i="1"/>
  <c r="R1397" i="1"/>
  <c r="R1453" i="1"/>
  <c r="R1501" i="1"/>
  <c r="R1549" i="1"/>
  <c r="R1597" i="1"/>
  <c r="R1641" i="1"/>
  <c r="R1665" i="1"/>
  <c r="R1689" i="1"/>
  <c r="R1713" i="1"/>
  <c r="R1737" i="1"/>
  <c r="R1761" i="1"/>
  <c r="R1785" i="1"/>
  <c r="R1809" i="1"/>
  <c r="R1833" i="1"/>
  <c r="R1857" i="1"/>
  <c r="R1881" i="1"/>
  <c r="R1905" i="1"/>
  <c r="R1929" i="1"/>
  <c r="R1953" i="1"/>
  <c r="R1977" i="1"/>
  <c r="R2001" i="1"/>
  <c r="R2025" i="1"/>
  <c r="R2049" i="1"/>
  <c r="R954" i="1"/>
  <c r="R1319" i="1"/>
  <c r="R1415" i="1"/>
  <c r="R1464" i="1"/>
  <c r="R1512" i="1"/>
  <c r="R1560" i="1"/>
  <c r="R1608" i="1"/>
  <c r="R938" i="1"/>
  <c r="R1279" i="1"/>
  <c r="R1401" i="1"/>
  <c r="R1457" i="1"/>
  <c r="R1505" i="1"/>
  <c r="R1553" i="1"/>
  <c r="R1601" i="1"/>
  <c r="R1644" i="1"/>
  <c r="R1668" i="1"/>
  <c r="R1692" i="1"/>
  <c r="R1716" i="1"/>
  <c r="R1740" i="1"/>
  <c r="R1764" i="1"/>
  <c r="R1788" i="1"/>
  <c r="R1812" i="1"/>
  <c r="R1836" i="1"/>
  <c r="R1860" i="1"/>
  <c r="R1884" i="1"/>
  <c r="R1908" i="1"/>
  <c r="R1932" i="1"/>
  <c r="R252" i="1"/>
  <c r="R299" i="1"/>
  <c r="R205" i="1"/>
  <c r="R404" i="1"/>
  <c r="R734" i="1"/>
  <c r="R636" i="1"/>
  <c r="R466" i="1"/>
  <c r="R682" i="1"/>
  <c r="R524" i="1"/>
  <c r="R880" i="1"/>
  <c r="R1024" i="1"/>
  <c r="R391" i="1"/>
  <c r="R862" i="1"/>
  <c r="R757" i="1"/>
  <c r="R940" i="1"/>
  <c r="R1084" i="1"/>
  <c r="R1204" i="1"/>
  <c r="R1276" i="1"/>
  <c r="R934" i="1"/>
  <c r="R1205" i="1"/>
  <c r="R983" i="1"/>
  <c r="R1154" i="1"/>
  <c r="R1251" i="1"/>
  <c r="R1326" i="1"/>
  <c r="R1350" i="1"/>
  <c r="R1374" i="1"/>
  <c r="R1398" i="1"/>
  <c r="R600" i="1"/>
  <c r="R942" i="1"/>
  <c r="R1038" i="1"/>
  <c r="R1134" i="1"/>
  <c r="R1225" i="1"/>
  <c r="R781" i="1"/>
  <c r="R1263" i="1"/>
  <c r="R1405" i="1"/>
  <c r="R1458" i="1"/>
  <c r="R1506" i="1"/>
  <c r="R1554" i="1"/>
  <c r="R1602" i="1"/>
  <c r="R1643" i="1"/>
  <c r="R1667" i="1"/>
  <c r="R1691" i="1"/>
  <c r="R1715" i="1"/>
  <c r="R1739" i="1"/>
  <c r="R1763" i="1"/>
  <c r="R1787" i="1"/>
  <c r="R1811" i="1"/>
  <c r="R1835" i="1"/>
  <c r="R1859" i="1"/>
  <c r="R1883" i="1"/>
  <c r="R1907" i="1"/>
  <c r="R1931" i="1"/>
  <c r="R1955" i="1"/>
  <c r="R1979" i="1"/>
  <c r="R2003" i="1"/>
  <c r="R2027" i="1"/>
  <c r="R2051" i="1"/>
  <c r="R975" i="1"/>
  <c r="R1327" i="1"/>
  <c r="R1419" i="1"/>
  <c r="R1467" i="1"/>
  <c r="R1515" i="1"/>
  <c r="R1563" i="1"/>
  <c r="R1611" i="1"/>
  <c r="R959" i="1"/>
  <c r="R1311" i="1"/>
  <c r="R1409" i="1"/>
  <c r="R1462" i="1"/>
  <c r="R1510" i="1"/>
  <c r="R1558" i="1"/>
  <c r="R1606" i="1"/>
  <c r="R1646" i="1"/>
  <c r="R1670" i="1"/>
  <c r="R1694" i="1"/>
  <c r="R1718" i="1"/>
  <c r="R1742" i="1"/>
  <c r="R1766" i="1"/>
  <c r="R1790" i="1"/>
  <c r="R1814" i="1"/>
  <c r="R1838" i="1"/>
  <c r="R1862" i="1"/>
  <c r="R1886" i="1"/>
  <c r="R1910" i="1"/>
  <c r="R1934" i="1"/>
  <c r="R1958" i="1"/>
  <c r="R274" i="1"/>
  <c r="R362" i="1"/>
  <c r="R319" i="1"/>
  <c r="R475" i="1"/>
  <c r="R779" i="1"/>
  <c r="R681" i="1"/>
  <c r="R477" i="1"/>
  <c r="R687" i="1"/>
  <c r="R538" i="1"/>
  <c r="R885" i="1"/>
  <c r="R1029" i="1"/>
  <c r="R428" i="1"/>
  <c r="R867" i="1"/>
  <c r="R768" i="1"/>
  <c r="R945" i="1"/>
  <c r="R1089" i="1"/>
  <c r="R1206" i="1"/>
  <c r="R1278" i="1"/>
  <c r="R939" i="1"/>
  <c r="R1213" i="1"/>
  <c r="R994" i="1"/>
  <c r="R1168" i="1"/>
  <c r="R1259" i="1"/>
  <c r="R1328" i="1"/>
  <c r="R1352" i="1"/>
  <c r="R1376" i="1"/>
  <c r="R1400" i="1"/>
  <c r="R685" i="1"/>
  <c r="R947" i="1"/>
  <c r="R1043" i="1"/>
  <c r="R1139" i="1"/>
  <c r="R1233" i="1"/>
  <c r="R850" i="1"/>
  <c r="R1295" i="1"/>
  <c r="R1413" i="1"/>
  <c r="R1461" i="1"/>
  <c r="R1509" i="1"/>
  <c r="R1557" i="1"/>
  <c r="R1605" i="1"/>
  <c r="R1645" i="1"/>
  <c r="R1669" i="1"/>
  <c r="R1693" i="1"/>
  <c r="R1717" i="1"/>
  <c r="R1741" i="1"/>
  <c r="R1765" i="1"/>
  <c r="R1789" i="1"/>
  <c r="R1813" i="1"/>
  <c r="R1837" i="1"/>
  <c r="R1861" i="1"/>
  <c r="R1885" i="1"/>
  <c r="R1909" i="1"/>
  <c r="R1933" i="1"/>
  <c r="R1957" i="1"/>
  <c r="R1981" i="1"/>
  <c r="R2005" i="1"/>
  <c r="R300" i="1"/>
  <c r="R413" i="1"/>
  <c r="R377" i="1"/>
  <c r="R542" i="1"/>
  <c r="R375" i="1"/>
  <c r="R732" i="1"/>
  <c r="R543" i="1"/>
  <c r="R730" i="1"/>
  <c r="R709" i="1"/>
  <c r="R928" i="1"/>
  <c r="R1072" i="1"/>
  <c r="R616" i="1"/>
  <c r="R910" i="1"/>
  <c r="R844" i="1"/>
  <c r="R988" i="1"/>
  <c r="R1132" i="1"/>
  <c r="R1228" i="1"/>
  <c r="R1300" i="1"/>
  <c r="R1030" i="1"/>
  <c r="R1301" i="1"/>
  <c r="R1058" i="1"/>
  <c r="R1187" i="1"/>
  <c r="R1283" i="1"/>
  <c r="R1334" i="1"/>
  <c r="R1358" i="1"/>
  <c r="R1382" i="1"/>
  <c r="R1406" i="1"/>
  <c r="R826" i="1"/>
  <c r="R974" i="1"/>
  <c r="R1070" i="1"/>
  <c r="R1165" i="1"/>
  <c r="R276" i="1"/>
  <c r="R527" i="1"/>
  <c r="R806" i="1"/>
  <c r="R1180" i="1"/>
  <c r="R855" i="1"/>
  <c r="R1342" i="1"/>
  <c r="R810" i="1"/>
  <c r="R1155" i="1"/>
  <c r="R1119" i="1"/>
  <c r="R1469" i="1"/>
  <c r="R1578" i="1"/>
  <c r="R1671" i="1"/>
  <c r="R1723" i="1"/>
  <c r="R1779" i="1"/>
  <c r="R1841" i="1"/>
  <c r="R1895" i="1"/>
  <c r="R1959" i="1"/>
  <c r="R2011" i="1"/>
  <c r="R2059" i="1"/>
  <c r="R1359" i="1"/>
  <c r="R1483" i="1"/>
  <c r="R1579" i="1"/>
  <c r="R696" i="1"/>
  <c r="R1321" i="1"/>
  <c r="R1430" i="1"/>
  <c r="R1494" i="1"/>
  <c r="R1561" i="1"/>
  <c r="R1622" i="1"/>
  <c r="R1662" i="1"/>
  <c r="R1696" i="1"/>
  <c r="R1726" i="1"/>
  <c r="R1758" i="1"/>
  <c r="R1792" i="1"/>
  <c r="R1822" i="1"/>
  <c r="R1854" i="1"/>
  <c r="R1888" i="1"/>
  <c r="R1918" i="1"/>
  <c r="R1950" i="1"/>
  <c r="R1976" i="1"/>
  <c r="R2000" i="1"/>
  <c r="R2024" i="1"/>
  <c r="R2048" i="1"/>
  <c r="R2072" i="1"/>
  <c r="R2096" i="1"/>
  <c r="R2120" i="1"/>
  <c r="R2144" i="1"/>
  <c r="R2168" i="1"/>
  <c r="R2192" i="1"/>
  <c r="R2216" i="1"/>
  <c r="R2240" i="1"/>
  <c r="R2264" i="1"/>
  <c r="R2288" i="1"/>
  <c r="R2312" i="1"/>
  <c r="R2336" i="1"/>
  <c r="R2360" i="1"/>
  <c r="R2384" i="1"/>
  <c r="R2408" i="1"/>
  <c r="R2432" i="1"/>
  <c r="R2456" i="1"/>
  <c r="R2480" i="1"/>
  <c r="R2504" i="1"/>
  <c r="R1403" i="1"/>
  <c r="R1604" i="1"/>
  <c r="R2141" i="1"/>
  <c r="R2237" i="1"/>
  <c r="R1447" i="1"/>
  <c r="R2075" i="1"/>
  <c r="R2171" i="1"/>
  <c r="R2267" i="1"/>
  <c r="R2363" i="1"/>
  <c r="R2459" i="1"/>
  <c r="R1355" i="1"/>
  <c r="R298" i="1"/>
  <c r="R530" i="1"/>
  <c r="R899" i="1"/>
  <c r="R1222" i="1"/>
  <c r="R1026" i="1"/>
  <c r="R1354" i="1"/>
  <c r="R858" i="1"/>
  <c r="R1179" i="1"/>
  <c r="R1325" i="1"/>
  <c r="R1474" i="1"/>
  <c r="R1586" i="1"/>
  <c r="R1673" i="1"/>
  <c r="R1727" i="1"/>
  <c r="R1791" i="1"/>
  <c r="R1843" i="1"/>
  <c r="R1899" i="1"/>
  <c r="R1961" i="1"/>
  <c r="R2015" i="1"/>
  <c r="R2063" i="1"/>
  <c r="R1375" i="1"/>
  <c r="R1491" i="1"/>
  <c r="R1584" i="1"/>
  <c r="R871" i="1"/>
  <c r="R1329" i="1"/>
  <c r="R1433" i="1"/>
  <c r="R1497" i="1"/>
  <c r="R1566" i="1"/>
  <c r="R1625" i="1"/>
  <c r="R1664" i="1"/>
  <c r="R1698" i="1"/>
  <c r="R1728" i="1"/>
  <c r="R1760" i="1"/>
  <c r="R1794" i="1"/>
  <c r="R1824" i="1"/>
  <c r="R1856" i="1"/>
  <c r="R1890" i="1"/>
  <c r="R1920" i="1"/>
  <c r="R1952" i="1"/>
  <c r="R1978" i="1"/>
  <c r="R2002" i="1"/>
  <c r="R2026" i="1"/>
  <c r="R2050" i="1"/>
  <c r="R2074" i="1"/>
  <c r="R2098" i="1"/>
  <c r="R2122" i="1"/>
  <c r="R2146" i="1"/>
  <c r="R2170" i="1"/>
  <c r="R2194" i="1"/>
  <c r="R2218" i="1"/>
  <c r="R2242" i="1"/>
  <c r="R2266" i="1"/>
  <c r="R2290" i="1"/>
  <c r="R2314" i="1"/>
  <c r="R2338" i="1"/>
  <c r="R2362" i="1"/>
  <c r="R2386" i="1"/>
  <c r="R2410" i="1"/>
  <c r="R2434" i="1"/>
  <c r="R2458" i="1"/>
  <c r="R2482" i="1"/>
  <c r="R2506" i="1"/>
  <c r="R1423" i="1"/>
  <c r="R1615" i="1"/>
  <c r="R2149" i="1"/>
  <c r="R2245" i="1"/>
  <c r="R1468" i="1"/>
  <c r="R2083" i="1"/>
  <c r="R2179" i="1"/>
  <c r="R2275" i="1"/>
  <c r="R2371" i="1"/>
  <c r="R2467" i="1"/>
  <c r="R1387" i="1"/>
  <c r="R1588" i="1"/>
  <c r="R2137" i="1"/>
  <c r="R2233" i="1"/>
  <c r="R2329" i="1"/>
  <c r="R2425" i="1"/>
  <c r="R2515" i="1"/>
  <c r="R2539" i="1"/>
  <c r="R2563" i="1"/>
  <c r="R2587" i="1"/>
  <c r="R2611" i="1"/>
  <c r="R2635" i="1"/>
  <c r="R2659" i="1"/>
  <c r="R2683" i="1"/>
  <c r="R365" i="1"/>
  <c r="R719" i="1"/>
  <c r="R907" i="1"/>
  <c r="R1226" i="1"/>
  <c r="R1031" i="1"/>
  <c r="R1356" i="1"/>
  <c r="R890" i="1"/>
  <c r="R1193" i="1"/>
  <c r="R1333" i="1"/>
  <c r="R1482" i="1"/>
  <c r="R1610" i="1"/>
  <c r="R1675" i="1"/>
  <c r="R1731" i="1"/>
  <c r="R1793" i="1"/>
  <c r="R1847" i="1"/>
  <c r="R1911" i="1"/>
  <c r="R1963" i="1"/>
  <c r="R2019" i="1"/>
  <c r="R2067" i="1"/>
  <c r="R1391" i="1"/>
  <c r="R1499" i="1"/>
  <c r="R1587" i="1"/>
  <c r="R914" i="1"/>
  <c r="R1337" i="1"/>
  <c r="R1438" i="1"/>
  <c r="R1502" i="1"/>
  <c r="R1569" i="1"/>
  <c r="R1630" i="1"/>
  <c r="R1666" i="1"/>
  <c r="R1700" i="1"/>
  <c r="R1730" i="1"/>
  <c r="R1762" i="1"/>
  <c r="R1796" i="1"/>
  <c r="R1826" i="1"/>
  <c r="R1858" i="1"/>
  <c r="R1892" i="1"/>
  <c r="R1922" i="1"/>
  <c r="R410" i="1"/>
  <c r="R727" i="1"/>
  <c r="R565" i="1"/>
  <c r="R1252" i="1"/>
  <c r="R1106" i="1"/>
  <c r="R1366" i="1"/>
  <c r="R958" i="1"/>
  <c r="R1241" i="1"/>
  <c r="R1341" i="1"/>
  <c r="R1490" i="1"/>
  <c r="R1613" i="1"/>
  <c r="R1679" i="1"/>
  <c r="R1743" i="1"/>
  <c r="R1795" i="1"/>
  <c r="R1851" i="1"/>
  <c r="R1913" i="1"/>
  <c r="R1967" i="1"/>
  <c r="R2029" i="1"/>
  <c r="R1018" i="1"/>
  <c r="R1424" i="1"/>
  <c r="R1520" i="1"/>
  <c r="R1595" i="1"/>
  <c r="R1002" i="1"/>
  <c r="R1345" i="1"/>
  <c r="R1446" i="1"/>
  <c r="R1513" i="1"/>
  <c r="R1574" i="1"/>
  <c r="R1638" i="1"/>
  <c r="R1672" i="1"/>
  <c r="R1702" i="1"/>
  <c r="R1734" i="1"/>
  <c r="R1768" i="1"/>
  <c r="R1798" i="1"/>
  <c r="R1830" i="1"/>
  <c r="R1864" i="1"/>
  <c r="R1894" i="1"/>
  <c r="R1926" i="1"/>
  <c r="R329" i="1"/>
  <c r="R656" i="1"/>
  <c r="R833" i="1"/>
  <c r="R1294" i="1"/>
  <c r="R1171" i="1"/>
  <c r="R1378" i="1"/>
  <c r="R963" i="1"/>
  <c r="R1249" i="1"/>
  <c r="R1357" i="1"/>
  <c r="R1514" i="1"/>
  <c r="R1618" i="1"/>
  <c r="R1683" i="1"/>
  <c r="R1745" i="1"/>
  <c r="R1799" i="1"/>
  <c r="R1863" i="1"/>
  <c r="R1915" i="1"/>
  <c r="R1971" i="1"/>
  <c r="R2031" i="1"/>
  <c r="R1039" i="1"/>
  <c r="R1427" i="1"/>
  <c r="R1523" i="1"/>
  <c r="R1600" i="1"/>
  <c r="R1023" i="1"/>
  <c r="R1353" i="1"/>
  <c r="R1449" i="1"/>
  <c r="R1518" i="1"/>
  <c r="R1577" i="1"/>
  <c r="R1640" i="1"/>
  <c r="R1674" i="1"/>
  <c r="R1704" i="1"/>
  <c r="R1736" i="1"/>
  <c r="R1770" i="1"/>
  <c r="R1800" i="1"/>
  <c r="R1832" i="1"/>
  <c r="R1866" i="1"/>
  <c r="R1896" i="1"/>
  <c r="R1928" i="1"/>
  <c r="R374" i="1"/>
  <c r="R688" i="1"/>
  <c r="R841" i="1"/>
  <c r="R1298" i="1"/>
  <c r="R1175" i="1"/>
  <c r="R1380" i="1"/>
  <c r="R990" i="1"/>
  <c r="R1257" i="1"/>
  <c r="R1373" i="1"/>
  <c r="R1517" i="1"/>
  <c r="R1626" i="1"/>
  <c r="R1695" i="1"/>
  <c r="R1747" i="1"/>
  <c r="R1803" i="1"/>
  <c r="R1865" i="1"/>
  <c r="R1919" i="1"/>
  <c r="R1983" i="1"/>
  <c r="R2033" i="1"/>
  <c r="R1082" i="1"/>
  <c r="R1432" i="1"/>
  <c r="R1528" i="1"/>
  <c r="R1603" i="1"/>
  <c r="R1066" i="1"/>
  <c r="R1361" i="1"/>
  <c r="R1454" i="1"/>
  <c r="R1521" i="1"/>
  <c r="R1582" i="1"/>
  <c r="R1642" i="1"/>
  <c r="R1676" i="1"/>
  <c r="R1706" i="1"/>
  <c r="R1738" i="1"/>
  <c r="R1772" i="1"/>
  <c r="R1802" i="1"/>
  <c r="R1834" i="1"/>
  <c r="R1868" i="1"/>
  <c r="R1898" i="1"/>
  <c r="R1930" i="1"/>
  <c r="R1962" i="1"/>
  <c r="R1986" i="1"/>
  <c r="R2010" i="1"/>
  <c r="R2034" i="1"/>
  <c r="R2058" i="1"/>
  <c r="R2082" i="1"/>
  <c r="R2106" i="1"/>
  <c r="R2130" i="1"/>
  <c r="R2154" i="1"/>
  <c r="R2178" i="1"/>
  <c r="R2202" i="1"/>
  <c r="R2226" i="1"/>
  <c r="R2250" i="1"/>
  <c r="R2274" i="1"/>
  <c r="R2298" i="1"/>
  <c r="R2322" i="1"/>
  <c r="R2346" i="1"/>
  <c r="R2370" i="1"/>
  <c r="R2394" i="1"/>
  <c r="R2418" i="1"/>
  <c r="R2442" i="1"/>
  <c r="R2466" i="1"/>
  <c r="R2490" i="1"/>
  <c r="R568" i="1"/>
  <c r="R1487" i="1"/>
  <c r="R2085" i="1"/>
  <c r="R2181" i="1"/>
  <c r="R943" i="1"/>
  <c r="R1532" i="1"/>
  <c r="R2115" i="1"/>
  <c r="R2211" i="1"/>
  <c r="R2307" i="1"/>
  <c r="R2403" i="1"/>
  <c r="R2499" i="1"/>
  <c r="R1460" i="1"/>
  <c r="R2073" i="1"/>
  <c r="R2169" i="1"/>
  <c r="R2265" i="1"/>
  <c r="R2361" i="1"/>
  <c r="R2457" i="1"/>
  <c r="R2523" i="1"/>
  <c r="R2547" i="1"/>
  <c r="R2571" i="1"/>
  <c r="R2595" i="1"/>
  <c r="R2619" i="1"/>
  <c r="R2643" i="1"/>
  <c r="R2667" i="1"/>
  <c r="R2691" i="1"/>
  <c r="R479" i="1"/>
  <c r="R917" i="1"/>
  <c r="R892" i="1"/>
  <c r="R535" i="1"/>
  <c r="R1219" i="1"/>
  <c r="R1390" i="1"/>
  <c r="R1006" i="1"/>
  <c r="R1273" i="1"/>
  <c r="R1418" i="1"/>
  <c r="R1522" i="1"/>
  <c r="R1634" i="1"/>
  <c r="R1697" i="1"/>
  <c r="R1751" i="1"/>
  <c r="R1815" i="1"/>
  <c r="R1867" i="1"/>
  <c r="R1923" i="1"/>
  <c r="R1985" i="1"/>
  <c r="R2035" i="1"/>
  <c r="R1103" i="1"/>
  <c r="R1435" i="1"/>
  <c r="R1531" i="1"/>
  <c r="R1616" i="1"/>
  <c r="R1087" i="1"/>
  <c r="R1377" i="1"/>
  <c r="R1465" i="1"/>
  <c r="R1526" i="1"/>
  <c r="R1590" i="1"/>
  <c r="R1648" i="1"/>
  <c r="R1678" i="1"/>
  <c r="R1710" i="1"/>
  <c r="R1744" i="1"/>
  <c r="R1774" i="1"/>
  <c r="R1806" i="1"/>
  <c r="R1840" i="1"/>
  <c r="R1870" i="1"/>
  <c r="R1902" i="1"/>
  <c r="R1936" i="1"/>
  <c r="R782" i="1"/>
  <c r="R1061" i="1"/>
  <c r="R985" i="1"/>
  <c r="R1019" i="1"/>
  <c r="R1275" i="1"/>
  <c r="R1404" i="1"/>
  <c r="R1059" i="1"/>
  <c r="R927" i="1"/>
  <c r="R1426" i="1"/>
  <c r="R1538" i="1"/>
  <c r="R1649" i="1"/>
  <c r="R1703" i="1"/>
  <c r="R1767" i="1"/>
  <c r="R1819" i="1"/>
  <c r="R1875" i="1"/>
  <c r="R1937" i="1"/>
  <c r="R1991" i="1"/>
  <c r="R2043" i="1"/>
  <c r="R1223" i="1"/>
  <c r="R1451" i="1"/>
  <c r="R1547" i="1"/>
  <c r="R1624" i="1"/>
  <c r="R1151" i="1"/>
  <c r="R1393" i="1"/>
  <c r="R1473" i="1"/>
  <c r="R1534" i="1"/>
  <c r="R1598" i="1"/>
  <c r="R1652" i="1"/>
  <c r="R1682" i="1"/>
  <c r="R1714" i="1"/>
  <c r="R1748" i="1"/>
  <c r="R1778" i="1"/>
  <c r="R1810" i="1"/>
  <c r="R1844" i="1"/>
  <c r="R1874" i="1"/>
  <c r="R1906" i="1"/>
  <c r="R1940" i="1"/>
  <c r="R1968" i="1"/>
  <c r="R1992" i="1"/>
  <c r="R2016" i="1"/>
  <c r="R2040" i="1"/>
  <c r="R2064" i="1"/>
  <c r="R2088" i="1"/>
  <c r="R2112" i="1"/>
  <c r="R2136" i="1"/>
  <c r="R2160" i="1"/>
  <c r="R2184" i="1"/>
  <c r="R2208" i="1"/>
  <c r="R2232" i="1"/>
  <c r="R2256" i="1"/>
  <c r="R2280" i="1"/>
  <c r="R2304" i="1"/>
  <c r="R2328" i="1"/>
  <c r="R2352" i="1"/>
  <c r="R2376" i="1"/>
  <c r="R2400" i="1"/>
  <c r="R2424" i="1"/>
  <c r="R2448" i="1"/>
  <c r="R2472" i="1"/>
  <c r="R2496" i="1"/>
  <c r="R1173" i="1"/>
  <c r="R1540" i="1"/>
  <c r="R2109" i="1"/>
  <c r="R2205" i="1"/>
  <c r="R1347" i="1"/>
  <c r="R1575" i="1"/>
  <c r="R2139" i="1"/>
  <c r="R2235" i="1"/>
  <c r="R2331" i="1"/>
  <c r="R2427" i="1"/>
  <c r="R1050" i="1"/>
  <c r="R1503" i="1"/>
  <c r="R2097" i="1"/>
  <c r="R2193" i="1"/>
  <c r="R2289" i="1"/>
  <c r="R2385" i="1"/>
  <c r="R2481" i="1"/>
  <c r="R2529" i="1"/>
  <c r="R2553" i="1"/>
  <c r="R2577" i="1"/>
  <c r="R2601" i="1"/>
  <c r="R2625" i="1"/>
  <c r="R2649" i="1"/>
  <c r="R2673" i="1"/>
  <c r="R2697" i="1"/>
  <c r="R539" i="1"/>
  <c r="R1003" i="1"/>
  <c r="R1054" i="1"/>
  <c r="R1530" i="1"/>
  <c r="R1755" i="1"/>
  <c r="R1935" i="1"/>
  <c r="R1166" i="1"/>
  <c r="R1619" i="1"/>
  <c r="R1470" i="1"/>
  <c r="R1650" i="1"/>
  <c r="R1746" i="1"/>
  <c r="R1842" i="1"/>
  <c r="R1938" i="1"/>
  <c r="R1980" i="1"/>
  <c r="R2014" i="1"/>
  <c r="R2052" i="1"/>
  <c r="R2086" i="1"/>
  <c r="R2124" i="1"/>
  <c r="R2158" i="1"/>
  <c r="R2196" i="1"/>
  <c r="R2230" i="1"/>
  <c r="R2268" i="1"/>
  <c r="R2302" i="1"/>
  <c r="R2340" i="1"/>
  <c r="R2374" i="1"/>
  <c r="R2412" i="1"/>
  <c r="R2446" i="1"/>
  <c r="R2484" i="1"/>
  <c r="R1007" i="1"/>
  <c r="R1636" i="1"/>
  <c r="R2197" i="1"/>
  <c r="R1479" i="1"/>
  <c r="R2131" i="1"/>
  <c r="R2283" i="1"/>
  <c r="R2419" i="1"/>
  <c r="R1417" i="1"/>
  <c r="R2081" i="1"/>
  <c r="R2209" i="1"/>
  <c r="R2337" i="1"/>
  <c r="R2465" i="1"/>
  <c r="R2533" i="1"/>
  <c r="R2565" i="1"/>
  <c r="R2597" i="1"/>
  <c r="R2629" i="1"/>
  <c r="R2661" i="1"/>
  <c r="R2693" i="1"/>
  <c r="R2719" i="1"/>
  <c r="R2743" i="1"/>
  <c r="R2767" i="1"/>
  <c r="R2791" i="1"/>
  <c r="R2815" i="1"/>
  <c r="R1484" i="1"/>
  <c r="R2311" i="1"/>
  <c r="R2503" i="1"/>
  <c r="R2760" i="1"/>
  <c r="R2838" i="1"/>
  <c r="R2862" i="1"/>
  <c r="R2886" i="1"/>
  <c r="R2910" i="1"/>
  <c r="R2934" i="1"/>
  <c r="R2958" i="1"/>
  <c r="R2982" i="1"/>
  <c r="R3006" i="1"/>
  <c r="R3030" i="1"/>
  <c r="R3054" i="1"/>
  <c r="R3078" i="1"/>
  <c r="R3102" i="1"/>
  <c r="R3126" i="1"/>
  <c r="R3150" i="1"/>
  <c r="R3174" i="1"/>
  <c r="R3198" i="1"/>
  <c r="R3222" i="1"/>
  <c r="R3246" i="1"/>
  <c r="R3270" i="1"/>
  <c r="R3294" i="1"/>
  <c r="R3318" i="1"/>
  <c r="R3342" i="1"/>
  <c r="R3366" i="1"/>
  <c r="R3390" i="1"/>
  <c r="R3414" i="1"/>
  <c r="R3438" i="1"/>
  <c r="R3462" i="1"/>
  <c r="R3486" i="1"/>
  <c r="R3510" i="1"/>
  <c r="R3534" i="1"/>
  <c r="R3558" i="1"/>
  <c r="R3582" i="1"/>
  <c r="R3606" i="1"/>
  <c r="R3630" i="1"/>
  <c r="R3654" i="1"/>
  <c r="R3678" i="1"/>
  <c r="R3702" i="1"/>
  <c r="R3726" i="1"/>
  <c r="R3750" i="1"/>
  <c r="R3774" i="1"/>
  <c r="R3798" i="1"/>
  <c r="R1395" i="1"/>
  <c r="R2301" i="1"/>
  <c r="R2493" i="1"/>
  <c r="R2554" i="1"/>
  <c r="R2602" i="1"/>
  <c r="R2650" i="1"/>
  <c r="R2726" i="1"/>
  <c r="R2822" i="1"/>
  <c r="R2247" i="1"/>
  <c r="R2463" i="1"/>
  <c r="R2740" i="1"/>
  <c r="R2833" i="1"/>
  <c r="R364" i="1"/>
  <c r="R1126" i="1"/>
  <c r="R1086" i="1"/>
  <c r="R1562" i="1"/>
  <c r="R1769" i="1"/>
  <c r="R1939" i="1"/>
  <c r="R1335" i="1"/>
  <c r="R1627" i="1"/>
  <c r="R1478" i="1"/>
  <c r="R1654" i="1"/>
  <c r="R1750" i="1"/>
  <c r="R1846" i="1"/>
  <c r="R1942" i="1"/>
  <c r="R1982" i="1"/>
  <c r="R2018" i="1"/>
  <c r="R2054" i="1"/>
  <c r="R2090" i="1"/>
  <c r="R2126" i="1"/>
  <c r="R2162" i="1"/>
  <c r="R2198" i="1"/>
  <c r="R2234" i="1"/>
  <c r="R2270" i="1"/>
  <c r="R2306" i="1"/>
  <c r="R2342" i="1"/>
  <c r="R2378" i="1"/>
  <c r="R2414" i="1"/>
  <c r="R2450" i="1"/>
  <c r="R2486" i="1"/>
  <c r="R1303" i="1"/>
  <c r="R2069" i="1"/>
  <c r="R2213" i="1"/>
  <c r="R1500" i="1"/>
  <c r="R2147" i="1"/>
  <c r="R2291" i="1"/>
  <c r="R2435" i="1"/>
  <c r="R1428" i="1"/>
  <c r="R2089" i="1"/>
  <c r="R2217" i="1"/>
  <c r="R2345" i="1"/>
  <c r="R2473" i="1"/>
  <c r="R2535" i="1"/>
  <c r="R2567" i="1"/>
  <c r="R2599" i="1"/>
  <c r="R2631" i="1"/>
  <c r="R2663" i="1"/>
  <c r="R2695" i="1"/>
  <c r="R2721" i="1"/>
  <c r="R2745" i="1"/>
  <c r="R2769" i="1"/>
  <c r="R2793" i="1"/>
  <c r="R2817" i="1"/>
  <c r="R1527" i="1"/>
  <c r="R2327" i="1"/>
  <c r="R2672" i="1"/>
  <c r="R2768" i="1"/>
  <c r="R2840" i="1"/>
  <c r="R2864" i="1"/>
  <c r="R2888" i="1"/>
  <c r="R2912" i="1"/>
  <c r="R2936" i="1"/>
  <c r="R2960" i="1"/>
  <c r="R2984" i="1"/>
  <c r="R3008" i="1"/>
  <c r="R3032" i="1"/>
  <c r="R3056" i="1"/>
  <c r="R3080" i="1"/>
  <c r="R3104" i="1"/>
  <c r="R3128" i="1"/>
  <c r="R3152" i="1"/>
  <c r="R3176" i="1"/>
  <c r="R3200" i="1"/>
  <c r="R3224" i="1"/>
  <c r="R3248" i="1"/>
  <c r="R3272" i="1"/>
  <c r="R3296" i="1"/>
  <c r="R3320" i="1"/>
  <c r="R3344" i="1"/>
  <c r="R3368" i="1"/>
  <c r="R3392" i="1"/>
  <c r="R3416" i="1"/>
  <c r="R3440" i="1"/>
  <c r="R3464" i="1"/>
  <c r="R3488" i="1"/>
  <c r="R3512" i="1"/>
  <c r="R3536" i="1"/>
  <c r="R3560" i="1"/>
  <c r="R3584" i="1"/>
  <c r="R3608" i="1"/>
  <c r="R3632" i="1"/>
  <c r="R3656" i="1"/>
  <c r="R3680" i="1"/>
  <c r="R3704" i="1"/>
  <c r="R3728" i="1"/>
  <c r="R3752" i="1"/>
  <c r="R3776" i="1"/>
  <c r="R3800" i="1"/>
  <c r="R1452" i="1"/>
  <c r="R2317" i="1"/>
  <c r="R2509" i="1"/>
  <c r="R2558" i="1"/>
  <c r="R2606" i="1"/>
  <c r="R2654" i="1"/>
  <c r="R2734" i="1"/>
  <c r="R2830" i="1"/>
  <c r="R2287" i="1"/>
  <c r="R2479" i="1"/>
  <c r="R2748" i="1"/>
  <c r="R2835" i="1"/>
  <c r="R684" i="1"/>
  <c r="R1277" i="1"/>
  <c r="R1102" i="1"/>
  <c r="R1565" i="1"/>
  <c r="R1771" i="1"/>
  <c r="R1943" i="1"/>
  <c r="R1343" i="1"/>
  <c r="R1632" i="1"/>
  <c r="R1481" i="1"/>
  <c r="R1656" i="1"/>
  <c r="R1752" i="1"/>
  <c r="R1848" i="1"/>
  <c r="R1944" i="1"/>
  <c r="R1984" i="1"/>
  <c r="R2020" i="1"/>
  <c r="R2056" i="1"/>
  <c r="R2092" i="1"/>
  <c r="R2128" i="1"/>
  <c r="R2164" i="1"/>
  <c r="R2200" i="1"/>
  <c r="R2236" i="1"/>
  <c r="R2272" i="1"/>
  <c r="R2308" i="1"/>
  <c r="R2344" i="1"/>
  <c r="R2380" i="1"/>
  <c r="R2416" i="1"/>
  <c r="R2452" i="1"/>
  <c r="R2488" i="1"/>
  <c r="R1339" i="1"/>
  <c r="R2077" i="1"/>
  <c r="R2221" i="1"/>
  <c r="R1511" i="1"/>
  <c r="R2155" i="1"/>
  <c r="R2299" i="1"/>
  <c r="R2443" i="1"/>
  <c r="R1439" i="1"/>
  <c r="R2105" i="1"/>
  <c r="R2225" i="1"/>
  <c r="R2353" i="1"/>
  <c r="R2489" i="1"/>
  <c r="R2537" i="1"/>
  <c r="R2569" i="1"/>
  <c r="R2603" i="1"/>
  <c r="R2633" i="1"/>
  <c r="R2665" i="1"/>
  <c r="R2699" i="1"/>
  <c r="R2723" i="1"/>
  <c r="R2747" i="1"/>
  <c r="R2771" i="1"/>
  <c r="R2795" i="1"/>
  <c r="R2819" i="1"/>
  <c r="R1612" i="1"/>
  <c r="R2343" i="1"/>
  <c r="R2680" i="1"/>
  <c r="R2776" i="1"/>
  <c r="R2842" i="1"/>
  <c r="R2866" i="1"/>
  <c r="R2890" i="1"/>
  <c r="R2914" i="1"/>
  <c r="R2938" i="1"/>
  <c r="R2962" i="1"/>
  <c r="R2986" i="1"/>
  <c r="R3010" i="1"/>
  <c r="R3034" i="1"/>
  <c r="R3058" i="1"/>
  <c r="R3082" i="1"/>
  <c r="R3106" i="1"/>
  <c r="R3130" i="1"/>
  <c r="R3154" i="1"/>
  <c r="R3178" i="1"/>
  <c r="R3202" i="1"/>
  <c r="R3226" i="1"/>
  <c r="R3250" i="1"/>
  <c r="R3274" i="1"/>
  <c r="R3298" i="1"/>
  <c r="R3322" i="1"/>
  <c r="R3346" i="1"/>
  <c r="R3370" i="1"/>
  <c r="R3394" i="1"/>
  <c r="R3418" i="1"/>
  <c r="R3442" i="1"/>
  <c r="R3466" i="1"/>
  <c r="R3490" i="1"/>
  <c r="R3514" i="1"/>
  <c r="R3538" i="1"/>
  <c r="R3562" i="1"/>
  <c r="R3586" i="1"/>
  <c r="R3610" i="1"/>
  <c r="R3634" i="1"/>
  <c r="R3658" i="1"/>
  <c r="R3682" i="1"/>
  <c r="R3706" i="1"/>
  <c r="R3730" i="1"/>
  <c r="R3754" i="1"/>
  <c r="R3778" i="1"/>
  <c r="R3802" i="1"/>
  <c r="R1495" i="1"/>
  <c r="R2333" i="1"/>
  <c r="R2514" i="1"/>
  <c r="R2562" i="1"/>
  <c r="R2610" i="1"/>
  <c r="R2658" i="1"/>
  <c r="R2742" i="1"/>
  <c r="R1071" i="1"/>
  <c r="R2303" i="1"/>
  <c r="R2495" i="1"/>
  <c r="R2756" i="1"/>
  <c r="R2837" i="1"/>
  <c r="R729" i="1"/>
  <c r="R1293" i="1"/>
  <c r="R1150" i="1"/>
  <c r="R1570" i="1"/>
  <c r="R1775" i="1"/>
  <c r="R1947" i="1"/>
  <c r="R1351" i="1"/>
  <c r="R1635" i="1"/>
  <c r="R1486" i="1"/>
  <c r="R1658" i="1"/>
  <c r="R1754" i="1"/>
  <c r="R1850" i="1"/>
  <c r="R1946" i="1"/>
  <c r="R1988" i="1"/>
  <c r="R2022" i="1"/>
  <c r="R2060" i="1"/>
  <c r="R2094" i="1"/>
  <c r="R2132" i="1"/>
  <c r="R2166" i="1"/>
  <c r="R2204" i="1"/>
  <c r="R2238" i="1"/>
  <c r="R2276" i="1"/>
  <c r="R2310" i="1"/>
  <c r="R2348" i="1"/>
  <c r="R2382" i="1"/>
  <c r="R2420" i="1"/>
  <c r="R2454" i="1"/>
  <c r="R2492" i="1"/>
  <c r="R1371" i="1"/>
  <c r="R2093" i="1"/>
  <c r="R2229" i="1"/>
  <c r="R1543" i="1"/>
  <c r="R2163" i="1"/>
  <c r="R2315" i="1"/>
  <c r="R2451" i="1"/>
  <c r="R1471" i="1"/>
  <c r="R2113" i="1"/>
  <c r="R2241" i="1"/>
  <c r="R2369" i="1"/>
  <c r="R2497" i="1"/>
  <c r="R2541" i="1"/>
  <c r="R2573" i="1"/>
  <c r="R2605" i="1"/>
  <c r="R2637" i="1"/>
  <c r="R2669" i="1"/>
  <c r="R2701" i="1"/>
  <c r="R2725" i="1"/>
  <c r="R2749" i="1"/>
  <c r="R2773" i="1"/>
  <c r="R2797" i="1"/>
  <c r="R2821" i="1"/>
  <c r="R2071" i="1"/>
  <c r="R2359" i="1"/>
  <c r="R2688" i="1"/>
  <c r="R2784" i="1"/>
  <c r="R2844" i="1"/>
  <c r="R2868" i="1"/>
  <c r="R2892" i="1"/>
  <c r="R2916" i="1"/>
  <c r="R2940" i="1"/>
  <c r="R2964" i="1"/>
  <c r="R2988" i="1"/>
  <c r="R3012" i="1"/>
  <c r="R3036" i="1"/>
  <c r="R3060" i="1"/>
  <c r="R3084" i="1"/>
  <c r="R3108" i="1"/>
  <c r="R3132" i="1"/>
  <c r="R3156" i="1"/>
  <c r="R3180" i="1"/>
  <c r="R3204" i="1"/>
  <c r="R3228" i="1"/>
  <c r="R3252" i="1"/>
  <c r="R3276" i="1"/>
  <c r="R3300" i="1"/>
  <c r="R3324" i="1"/>
  <c r="R3348" i="1"/>
  <c r="R3372" i="1"/>
  <c r="R3396" i="1"/>
  <c r="R3420" i="1"/>
  <c r="R3444" i="1"/>
  <c r="R3468" i="1"/>
  <c r="R3492" i="1"/>
  <c r="R3516" i="1"/>
  <c r="R3540" i="1"/>
  <c r="R925" i="1"/>
  <c r="R1267" i="1"/>
  <c r="R1289" i="1"/>
  <c r="R1647" i="1"/>
  <c r="R1817" i="1"/>
  <c r="R1987" i="1"/>
  <c r="R1443" i="1"/>
  <c r="R1130" i="1"/>
  <c r="R1529" i="1"/>
  <c r="R1680" i="1"/>
  <c r="R1776" i="1"/>
  <c r="R1872" i="1"/>
  <c r="R1954" i="1"/>
  <c r="R1990" i="1"/>
  <c r="R2028" i="1"/>
  <c r="R2062" i="1"/>
  <c r="R2100" i="1"/>
  <c r="R2134" i="1"/>
  <c r="R2172" i="1"/>
  <c r="R2206" i="1"/>
  <c r="R2244" i="1"/>
  <c r="R2278" i="1"/>
  <c r="R2316" i="1"/>
  <c r="R2350" i="1"/>
  <c r="R2388" i="1"/>
  <c r="R2422" i="1"/>
  <c r="R2460" i="1"/>
  <c r="R2494" i="1"/>
  <c r="R1444" i="1"/>
  <c r="R2101" i="1"/>
  <c r="R2253" i="1"/>
  <c r="R1564" i="1"/>
  <c r="R2187" i="1"/>
  <c r="R2323" i="1"/>
  <c r="R2475" i="1"/>
  <c r="R1492" i="1"/>
  <c r="R2121" i="1"/>
  <c r="R2249" i="1"/>
  <c r="R2377" i="1"/>
  <c r="R2505" i="1"/>
  <c r="R2543" i="1"/>
  <c r="R2575" i="1"/>
  <c r="R2607" i="1"/>
  <c r="R2639" i="1"/>
  <c r="R2671" i="1"/>
  <c r="R2703" i="1"/>
  <c r="R2727" i="1"/>
  <c r="R2751" i="1"/>
  <c r="R2775" i="1"/>
  <c r="R2799" i="1"/>
  <c r="R2823" i="1"/>
  <c r="R2103" i="1"/>
  <c r="R2375" i="1"/>
  <c r="R2696" i="1"/>
  <c r="R2792" i="1"/>
  <c r="R2846" i="1"/>
  <c r="R2870" i="1"/>
  <c r="R2894" i="1"/>
  <c r="R2918" i="1"/>
  <c r="R2942" i="1"/>
  <c r="R2966" i="1"/>
  <c r="R2990" i="1"/>
  <c r="R3014" i="1"/>
  <c r="R3038" i="1"/>
  <c r="R3062" i="1"/>
  <c r="R3086" i="1"/>
  <c r="R3110" i="1"/>
  <c r="R3134" i="1"/>
  <c r="R3158" i="1"/>
  <c r="R3182" i="1"/>
  <c r="R3206" i="1"/>
  <c r="R3230" i="1"/>
  <c r="R3254" i="1"/>
  <c r="R3278" i="1"/>
  <c r="R3302" i="1"/>
  <c r="R3326" i="1"/>
  <c r="R3350" i="1"/>
  <c r="R3374" i="1"/>
  <c r="R3398" i="1"/>
  <c r="R3422" i="1"/>
  <c r="R3446" i="1"/>
  <c r="R3470" i="1"/>
  <c r="R3494" i="1"/>
  <c r="R3518" i="1"/>
  <c r="R3542" i="1"/>
  <c r="R1069" i="1"/>
  <c r="R1315" i="1"/>
  <c r="R970" i="1"/>
  <c r="R1651" i="1"/>
  <c r="R1823" i="1"/>
  <c r="R1995" i="1"/>
  <c r="R1472" i="1"/>
  <c r="R1183" i="1"/>
  <c r="R1542" i="1"/>
  <c r="R1686" i="1"/>
  <c r="R1782" i="1"/>
  <c r="R1878" i="1"/>
  <c r="R1956" i="1"/>
  <c r="R1994" i="1"/>
  <c r="R2030" i="1"/>
  <c r="R2066" i="1"/>
  <c r="R2102" i="1"/>
  <c r="R2138" i="1"/>
  <c r="R2174" i="1"/>
  <c r="R2210" i="1"/>
  <c r="R2246" i="1"/>
  <c r="R2282" i="1"/>
  <c r="R2318" i="1"/>
  <c r="R2354" i="1"/>
  <c r="R2390" i="1"/>
  <c r="R2426" i="1"/>
  <c r="R2462" i="1"/>
  <c r="R2498" i="1"/>
  <c r="R1455" i="1"/>
  <c r="R2117" i="1"/>
  <c r="R2261" i="1"/>
  <c r="R1596" i="1"/>
  <c r="R2195" i="1"/>
  <c r="R2339" i="1"/>
  <c r="R2483" i="1"/>
  <c r="R1524" i="1"/>
  <c r="R2129" i="1"/>
  <c r="R2257" i="1"/>
  <c r="R2393" i="1"/>
  <c r="R2513" i="1"/>
  <c r="R2545" i="1"/>
  <c r="R2579" i="1"/>
  <c r="R2609" i="1"/>
  <c r="R2641" i="1"/>
  <c r="R2675" i="1"/>
  <c r="R2705" i="1"/>
  <c r="R2729" i="1"/>
  <c r="R2753" i="1"/>
  <c r="R2777" i="1"/>
  <c r="R2801" i="1"/>
  <c r="R2825" i="1"/>
  <c r="R2135" i="1"/>
  <c r="R2391" i="1"/>
  <c r="R2704" i="1"/>
  <c r="R2800" i="1"/>
  <c r="R2848" i="1"/>
  <c r="R2872" i="1"/>
  <c r="R2896" i="1"/>
  <c r="R2920" i="1"/>
  <c r="R2944" i="1"/>
  <c r="R2968" i="1"/>
  <c r="R2992" i="1"/>
  <c r="R3016" i="1"/>
  <c r="R3040" i="1"/>
  <c r="R3064" i="1"/>
  <c r="R3088" i="1"/>
  <c r="R3112" i="1"/>
  <c r="R3136" i="1"/>
  <c r="R3160" i="1"/>
  <c r="R3184" i="1"/>
  <c r="R3208" i="1"/>
  <c r="R3232" i="1"/>
  <c r="R3256" i="1"/>
  <c r="R3280" i="1"/>
  <c r="R3304" i="1"/>
  <c r="R3328" i="1"/>
  <c r="R3352" i="1"/>
  <c r="R3376" i="1"/>
  <c r="R3400" i="1"/>
  <c r="R3424" i="1"/>
  <c r="R3448" i="1"/>
  <c r="R3472" i="1"/>
  <c r="R3496" i="1"/>
  <c r="R3520" i="1"/>
  <c r="R3544" i="1"/>
  <c r="R3568" i="1"/>
  <c r="R573" i="1"/>
  <c r="R1330" i="1"/>
  <c r="R991" i="1"/>
  <c r="R1655" i="1"/>
  <c r="R1827" i="1"/>
  <c r="R2007" i="1"/>
  <c r="R1475" i="1"/>
  <c r="R1215" i="1"/>
  <c r="R1545" i="1"/>
  <c r="R1688" i="1"/>
  <c r="R1784" i="1"/>
  <c r="R1880" i="1"/>
  <c r="R1960" i="1"/>
  <c r="R1996" i="1"/>
  <c r="R2032" i="1"/>
  <c r="R2068" i="1"/>
  <c r="R2104" i="1"/>
  <c r="R2140" i="1"/>
  <c r="R2176" i="1"/>
  <c r="R2212" i="1"/>
  <c r="R2248" i="1"/>
  <c r="R2284" i="1"/>
  <c r="R2320" i="1"/>
  <c r="R2356" i="1"/>
  <c r="R2392" i="1"/>
  <c r="R2428" i="1"/>
  <c r="R2464" i="1"/>
  <c r="R2500" i="1"/>
  <c r="R1476" i="1"/>
  <c r="R2125" i="1"/>
  <c r="R2269" i="1"/>
  <c r="R1607" i="1"/>
  <c r="R2203" i="1"/>
  <c r="R2347" i="1"/>
  <c r="R2491" i="1"/>
  <c r="R1535" i="1"/>
  <c r="R2145" i="1"/>
  <c r="R2273" i="1"/>
  <c r="R2401" i="1"/>
  <c r="R2517" i="1"/>
  <c r="R2549" i="1"/>
  <c r="R2581" i="1"/>
  <c r="R2613" i="1"/>
  <c r="R2645" i="1"/>
  <c r="R2677" i="1"/>
  <c r="R2707" i="1"/>
  <c r="R2731" i="1"/>
  <c r="R2755" i="1"/>
  <c r="R2779" i="1"/>
  <c r="R2803" i="1"/>
  <c r="R2827" i="1"/>
  <c r="R2167" i="1"/>
  <c r="R2407" i="1"/>
  <c r="R2712" i="1"/>
  <c r="R2808" i="1"/>
  <c r="R2850" i="1"/>
  <c r="R2874" i="1"/>
  <c r="R2898" i="1"/>
  <c r="R2922" i="1"/>
  <c r="R2946" i="1"/>
  <c r="R2970" i="1"/>
  <c r="R2994" i="1"/>
  <c r="R3018" i="1"/>
  <c r="R3042" i="1"/>
  <c r="R3066" i="1"/>
  <c r="R3090" i="1"/>
  <c r="R3114" i="1"/>
  <c r="R3138" i="1"/>
  <c r="R3162" i="1"/>
  <c r="R3186" i="1"/>
  <c r="R3210" i="1"/>
  <c r="R3234" i="1"/>
  <c r="R3258" i="1"/>
  <c r="R3282" i="1"/>
  <c r="R3306" i="1"/>
  <c r="R3330" i="1"/>
  <c r="R3354" i="1"/>
  <c r="R3378" i="1"/>
  <c r="R3402" i="1"/>
  <c r="R3426" i="1"/>
  <c r="R3450" i="1"/>
  <c r="R3474" i="1"/>
  <c r="R3498" i="1"/>
  <c r="R3522" i="1"/>
  <c r="R3546" i="1"/>
  <c r="R3570" i="1"/>
  <c r="R3594" i="1"/>
  <c r="R3618" i="1"/>
  <c r="R3642" i="1"/>
  <c r="R3666" i="1"/>
  <c r="R3690" i="1"/>
  <c r="R3714" i="1"/>
  <c r="R3738" i="1"/>
  <c r="R3762" i="1"/>
  <c r="R3786" i="1"/>
  <c r="R3810" i="1"/>
  <c r="R2127" i="1"/>
  <c r="R2397" i="1"/>
  <c r="R2530" i="1"/>
  <c r="R2578" i="1"/>
  <c r="R2626" i="1"/>
  <c r="R2678" i="1"/>
  <c r="R2774" i="1"/>
  <c r="R1591" i="1"/>
  <c r="R2367" i="1"/>
  <c r="R2692" i="1"/>
  <c r="R2788" i="1"/>
  <c r="R605" i="1"/>
  <c r="R1332" i="1"/>
  <c r="R1055" i="1"/>
  <c r="R1659" i="1"/>
  <c r="R1839" i="1"/>
  <c r="R2009" i="1"/>
  <c r="R1480" i="1"/>
  <c r="R1247" i="1"/>
  <c r="R1550" i="1"/>
  <c r="R1690" i="1"/>
  <c r="R1786" i="1"/>
  <c r="R1882" i="1"/>
  <c r="R1964" i="1"/>
  <c r="R1998" i="1"/>
  <c r="R2036" i="1"/>
  <c r="R2070" i="1"/>
  <c r="R2108" i="1"/>
  <c r="R2142" i="1"/>
  <c r="R2180" i="1"/>
  <c r="R2214" i="1"/>
  <c r="R2252" i="1"/>
  <c r="R2286" i="1"/>
  <c r="R2324" i="1"/>
  <c r="R2358" i="1"/>
  <c r="R2396" i="1"/>
  <c r="R2430" i="1"/>
  <c r="R2468" i="1"/>
  <c r="R2502" i="1"/>
  <c r="R1508" i="1"/>
  <c r="R2133" i="1"/>
  <c r="R1114" i="1"/>
  <c r="R1628" i="1"/>
  <c r="R2219" i="1"/>
  <c r="R2355" i="1"/>
  <c r="R2507" i="1"/>
  <c r="R1556" i="1"/>
  <c r="R2153" i="1"/>
  <c r="R2281" i="1"/>
  <c r="R2409" i="1"/>
  <c r="R2519" i="1"/>
  <c r="R2551" i="1"/>
  <c r="R2583" i="1"/>
  <c r="R2615" i="1"/>
  <c r="R2647" i="1"/>
  <c r="R2679" i="1"/>
  <c r="R2709" i="1"/>
  <c r="R2733" i="1"/>
  <c r="R2757" i="1"/>
  <c r="R2781" i="1"/>
  <c r="R2805" i="1"/>
  <c r="R2829" i="1"/>
  <c r="R2199" i="1"/>
  <c r="R2423" i="1"/>
  <c r="R2720" i="1"/>
  <c r="R2816" i="1"/>
  <c r="R2852" i="1"/>
  <c r="R2876" i="1"/>
  <c r="R2900" i="1"/>
  <c r="R2924" i="1"/>
  <c r="R2948" i="1"/>
  <c r="R2972" i="1"/>
  <c r="R2996" i="1"/>
  <c r="R3020" i="1"/>
  <c r="R3044" i="1"/>
  <c r="R3068" i="1"/>
  <c r="R3092" i="1"/>
  <c r="R3116" i="1"/>
  <c r="R3140" i="1"/>
  <c r="R3164" i="1"/>
  <c r="R3188" i="1"/>
  <c r="R3212" i="1"/>
  <c r="R3236" i="1"/>
  <c r="R3260" i="1"/>
  <c r="R3284" i="1"/>
  <c r="R3308" i="1"/>
  <c r="R3332" i="1"/>
  <c r="R3356" i="1"/>
  <c r="R3380" i="1"/>
  <c r="R3404" i="1"/>
  <c r="R3428" i="1"/>
  <c r="R3452" i="1"/>
  <c r="R3476" i="1"/>
  <c r="R3500" i="1"/>
  <c r="R3524" i="1"/>
  <c r="R3548" i="1"/>
  <c r="R977" i="1"/>
  <c r="R1402" i="1"/>
  <c r="R1421" i="1"/>
  <c r="R1699" i="1"/>
  <c r="R1871" i="1"/>
  <c r="R2039" i="1"/>
  <c r="R1539" i="1"/>
  <c r="R1385" i="1"/>
  <c r="R1593" i="1"/>
  <c r="R1712" i="1"/>
  <c r="R1808" i="1"/>
  <c r="R1904" i="1"/>
  <c r="R1966" i="1"/>
  <c r="R2004" i="1"/>
  <c r="R2038" i="1"/>
  <c r="R2076" i="1"/>
  <c r="R2110" i="1"/>
  <c r="R2148" i="1"/>
  <c r="R2182" i="1"/>
  <c r="R2220" i="1"/>
  <c r="R2254" i="1"/>
  <c r="R2292" i="1"/>
  <c r="R2326" i="1"/>
  <c r="R2364" i="1"/>
  <c r="R2398" i="1"/>
  <c r="R2436" i="1"/>
  <c r="R2470" i="1"/>
  <c r="R2508" i="1"/>
  <c r="R1519" i="1"/>
  <c r="R1129" i="1"/>
  <c r="R728" i="1"/>
  <c r="R1466" i="1"/>
  <c r="R1721" i="1"/>
  <c r="R1891" i="1"/>
  <c r="R2057" i="1"/>
  <c r="R1576" i="1"/>
  <c r="R1425" i="1"/>
  <c r="R1617" i="1"/>
  <c r="R1724" i="1"/>
  <c r="R1820" i="1"/>
  <c r="R1916" i="1"/>
  <c r="R1974" i="1"/>
  <c r="R2012" i="1"/>
  <c r="R2046" i="1"/>
  <c r="R2084" i="1"/>
  <c r="R2118" i="1"/>
  <c r="R2156" i="1"/>
  <c r="R2190" i="1"/>
  <c r="R2228" i="1"/>
  <c r="R2262" i="1"/>
  <c r="R2300" i="1"/>
  <c r="R1036" i="1"/>
  <c r="R1568" i="1"/>
  <c r="R1970" i="1"/>
  <c r="R2186" i="1"/>
  <c r="R2368" i="1"/>
  <c r="R2512" i="1"/>
  <c r="R1436" i="1"/>
  <c r="R2411" i="1"/>
  <c r="R2201" i="1"/>
  <c r="R2531" i="1"/>
  <c r="R2627" i="1"/>
  <c r="R2717" i="1"/>
  <c r="R2789" i="1"/>
  <c r="R2295" i="1"/>
  <c r="R2836" i="1"/>
  <c r="R2908" i="1"/>
  <c r="R2980" i="1"/>
  <c r="R3052" i="1"/>
  <c r="R3124" i="1"/>
  <c r="R3196" i="1"/>
  <c r="R3268" i="1"/>
  <c r="R3340" i="1"/>
  <c r="R3412" i="1"/>
  <c r="R3484" i="1"/>
  <c r="R3556" i="1"/>
  <c r="R3598" i="1"/>
  <c r="R3636" i="1"/>
  <c r="R3670" i="1"/>
  <c r="R3708" i="1"/>
  <c r="R3742" i="1"/>
  <c r="R3780" i="1"/>
  <c r="R3814" i="1"/>
  <c r="R2349" i="1"/>
  <c r="R2538" i="1"/>
  <c r="R2614" i="1"/>
  <c r="R2694" i="1"/>
  <c r="R1420" i="1"/>
  <c r="R2399" i="1"/>
  <c r="R2764" i="1"/>
  <c r="R2847" i="1"/>
  <c r="R2871" i="1"/>
  <c r="R2895" i="1"/>
  <c r="R2919" i="1"/>
  <c r="R2943" i="1"/>
  <c r="R2967" i="1"/>
  <c r="R2991" i="1"/>
  <c r="R3015" i="1"/>
  <c r="R3039" i="1"/>
  <c r="R3063" i="1"/>
  <c r="R3087" i="1"/>
  <c r="R3111" i="1"/>
  <c r="R3135" i="1"/>
  <c r="R3159" i="1"/>
  <c r="R3183" i="1"/>
  <c r="R3207" i="1"/>
  <c r="R3231" i="1"/>
  <c r="R3255" i="1"/>
  <c r="R3279" i="1"/>
  <c r="R3303" i="1"/>
  <c r="R3327" i="1"/>
  <c r="R3351" i="1"/>
  <c r="R3375" i="1"/>
  <c r="R3399" i="1"/>
  <c r="R3423" i="1"/>
  <c r="R3447" i="1"/>
  <c r="R3471" i="1"/>
  <c r="R3495" i="1"/>
  <c r="R3519" i="1"/>
  <c r="R3543" i="1"/>
  <c r="R3567" i="1"/>
  <c r="R3591" i="1"/>
  <c r="R3615" i="1"/>
  <c r="R3639" i="1"/>
  <c r="R3663" i="1"/>
  <c r="R3687" i="1"/>
  <c r="R3711" i="1"/>
  <c r="R3735" i="1"/>
  <c r="R3759" i="1"/>
  <c r="R3783" i="1"/>
  <c r="R3807" i="1"/>
  <c r="R2516" i="1"/>
  <c r="R2738" i="1"/>
  <c r="R2536" i="1"/>
  <c r="R2794" i="1"/>
  <c r="R3839" i="1"/>
  <c r="R3863" i="1"/>
  <c r="R3887" i="1"/>
  <c r="R3911" i="1"/>
  <c r="R3935" i="1"/>
  <c r="R3959" i="1"/>
  <c r="R3983" i="1"/>
  <c r="R2485" i="1"/>
  <c r="R2722" i="1"/>
  <c r="R2560" i="1"/>
  <c r="R3820" i="1"/>
  <c r="R3844" i="1"/>
  <c r="R3868" i="1"/>
  <c r="R3892" i="1"/>
  <c r="R3916" i="1"/>
  <c r="R3940" i="1"/>
  <c r="R3964" i="1"/>
  <c r="R3988" i="1"/>
  <c r="R1121" i="1"/>
  <c r="R1571" i="1"/>
  <c r="R1972" i="1"/>
  <c r="R2188" i="1"/>
  <c r="R2372" i="1"/>
  <c r="R922" i="1"/>
  <c r="R2091" i="1"/>
  <c r="R839" i="1"/>
  <c r="R2297" i="1"/>
  <c r="R2555" i="1"/>
  <c r="R2651" i="1"/>
  <c r="R2735" i="1"/>
  <c r="R2807" i="1"/>
  <c r="R2439" i="1"/>
  <c r="R2854" i="1"/>
  <c r="R2926" i="1"/>
  <c r="R2998" i="1"/>
  <c r="R3070" i="1"/>
  <c r="R3142" i="1"/>
  <c r="R3214" i="1"/>
  <c r="R3286" i="1"/>
  <c r="R3358" i="1"/>
  <c r="R3430" i="1"/>
  <c r="R3502" i="1"/>
  <c r="R3564" i="1"/>
  <c r="R3600" i="1"/>
  <c r="R3638" i="1"/>
  <c r="R3672" i="1"/>
  <c r="R3710" i="1"/>
  <c r="R3744" i="1"/>
  <c r="R3782" i="1"/>
  <c r="R3816" i="1"/>
  <c r="R2365" i="1"/>
  <c r="R2542" i="1"/>
  <c r="R2618" i="1"/>
  <c r="R2702" i="1"/>
  <c r="R1463" i="1"/>
  <c r="R2415" i="1"/>
  <c r="R2772" i="1"/>
  <c r="R2849" i="1"/>
  <c r="R2873" i="1"/>
  <c r="R2897" i="1"/>
  <c r="R2921" i="1"/>
  <c r="R2945" i="1"/>
  <c r="R2969" i="1"/>
  <c r="R2993" i="1"/>
  <c r="R3017" i="1"/>
  <c r="R3041" i="1"/>
  <c r="R3065" i="1"/>
  <c r="R3089" i="1"/>
  <c r="R3113" i="1"/>
  <c r="R3137" i="1"/>
  <c r="R3161" i="1"/>
  <c r="R3185" i="1"/>
  <c r="R3209" i="1"/>
  <c r="R3233" i="1"/>
  <c r="R3257" i="1"/>
  <c r="R3281" i="1"/>
  <c r="R3305" i="1"/>
  <c r="R3329" i="1"/>
  <c r="R3353" i="1"/>
  <c r="R3377" i="1"/>
  <c r="R3401" i="1"/>
  <c r="R3425" i="1"/>
  <c r="R3449" i="1"/>
  <c r="R3473" i="1"/>
  <c r="R3497" i="1"/>
  <c r="R3521" i="1"/>
  <c r="R3545" i="1"/>
  <c r="R3569" i="1"/>
  <c r="R3593" i="1"/>
  <c r="R3617" i="1"/>
  <c r="R3641" i="1"/>
  <c r="R3665" i="1"/>
  <c r="R3689" i="1"/>
  <c r="R3713" i="1"/>
  <c r="R3737" i="1"/>
  <c r="R3761" i="1"/>
  <c r="R3785" i="1"/>
  <c r="R3809" i="1"/>
  <c r="R2532" i="1"/>
  <c r="R2770" i="1"/>
  <c r="R2552" i="1"/>
  <c r="R2826" i="1"/>
  <c r="R3841" i="1"/>
  <c r="R3865" i="1"/>
  <c r="R3889" i="1"/>
  <c r="R3913" i="1"/>
  <c r="R1410" i="1"/>
  <c r="R1416" i="1"/>
  <c r="R2006" i="1"/>
  <c r="R2222" i="1"/>
  <c r="R2402" i="1"/>
  <c r="R1551" i="1"/>
  <c r="R2099" i="1"/>
  <c r="R1135" i="1"/>
  <c r="R2305" i="1"/>
  <c r="R2557" i="1"/>
  <c r="R2653" i="1"/>
  <c r="R2737" i="1"/>
  <c r="R2809" i="1"/>
  <c r="R2455" i="1"/>
  <c r="R2856" i="1"/>
  <c r="R2928" i="1"/>
  <c r="R3000" i="1"/>
  <c r="R3072" i="1"/>
  <c r="R3144" i="1"/>
  <c r="R3216" i="1"/>
  <c r="R3288" i="1"/>
  <c r="R3360" i="1"/>
  <c r="R3432" i="1"/>
  <c r="R3504" i="1"/>
  <c r="R3566" i="1"/>
  <c r="R3602" i="1"/>
  <c r="R3640" i="1"/>
  <c r="R3674" i="1"/>
  <c r="R3712" i="1"/>
  <c r="R3746" i="1"/>
  <c r="R3784" i="1"/>
  <c r="R3818" i="1"/>
  <c r="R2381" i="1"/>
  <c r="R2546" i="1"/>
  <c r="R2622" i="1"/>
  <c r="R2710" i="1"/>
  <c r="R1548" i="1"/>
  <c r="R2431" i="1"/>
  <c r="R2780" i="1"/>
  <c r="R2851" i="1"/>
  <c r="R2875" i="1"/>
  <c r="R2899" i="1"/>
  <c r="R2923" i="1"/>
  <c r="R2947" i="1"/>
  <c r="R2971" i="1"/>
  <c r="R2995" i="1"/>
  <c r="R3019" i="1"/>
  <c r="R3043" i="1"/>
  <c r="R3067" i="1"/>
  <c r="R3091" i="1"/>
  <c r="R3115" i="1"/>
  <c r="R3139" i="1"/>
  <c r="R3163" i="1"/>
  <c r="R3187" i="1"/>
  <c r="R3211" i="1"/>
  <c r="R3235" i="1"/>
  <c r="R3259" i="1"/>
  <c r="R3283" i="1"/>
  <c r="R3307" i="1"/>
  <c r="R3331" i="1"/>
  <c r="R3355" i="1"/>
  <c r="R3379" i="1"/>
  <c r="R3403" i="1"/>
  <c r="R3427" i="1"/>
  <c r="R3451" i="1"/>
  <c r="R3475" i="1"/>
  <c r="R3499" i="1"/>
  <c r="R3523" i="1"/>
  <c r="R3547" i="1"/>
  <c r="R3571" i="1"/>
  <c r="R3595" i="1"/>
  <c r="R3619" i="1"/>
  <c r="R3643" i="1"/>
  <c r="R3667" i="1"/>
  <c r="R3691" i="1"/>
  <c r="R3715" i="1"/>
  <c r="R3739" i="1"/>
  <c r="R3763" i="1"/>
  <c r="R3787" i="1"/>
  <c r="R3811" i="1"/>
  <c r="R2548" i="1"/>
  <c r="R2802" i="1"/>
  <c r="R2568" i="1"/>
  <c r="R3819" i="1"/>
  <c r="R3843" i="1"/>
  <c r="R3867" i="1"/>
  <c r="R3891" i="1"/>
  <c r="R3915" i="1"/>
  <c r="R3939" i="1"/>
  <c r="R3963" i="1"/>
  <c r="R3987" i="1"/>
  <c r="R2540" i="1"/>
  <c r="R2786" i="1"/>
  <c r="R2592" i="1"/>
  <c r="R3824" i="1"/>
  <c r="R3848" i="1"/>
  <c r="R3872" i="1"/>
  <c r="R3896" i="1"/>
  <c r="R3920" i="1"/>
  <c r="R3944" i="1"/>
  <c r="R3968" i="1"/>
  <c r="R3992" i="1"/>
  <c r="R1414" i="1"/>
  <c r="R1422" i="1"/>
  <c r="R2008" i="1"/>
  <c r="R2224" i="1"/>
  <c r="R2404" i="1"/>
  <c r="R1572" i="1"/>
  <c r="R2107" i="1"/>
  <c r="R1239" i="1"/>
  <c r="R2313" i="1"/>
  <c r="R2559" i="1"/>
  <c r="R2655" i="1"/>
  <c r="R2739" i="1"/>
  <c r="R2811" i="1"/>
  <c r="R2471" i="1"/>
  <c r="R2858" i="1"/>
  <c r="R2930" i="1"/>
  <c r="R3002" i="1"/>
  <c r="R3074" i="1"/>
  <c r="R3146" i="1"/>
  <c r="R3218" i="1"/>
  <c r="R3290" i="1"/>
  <c r="R3362" i="1"/>
  <c r="R3434" i="1"/>
  <c r="R3506" i="1"/>
  <c r="R3572" i="1"/>
  <c r="R3604" i="1"/>
  <c r="R3644" i="1"/>
  <c r="R3676" i="1"/>
  <c r="R3716" i="1"/>
  <c r="R3748" i="1"/>
  <c r="R3788" i="1"/>
  <c r="R986" i="1"/>
  <c r="R2413" i="1"/>
  <c r="R2550" i="1"/>
  <c r="R2630" i="1"/>
  <c r="R2718" i="1"/>
  <c r="R2087" i="1"/>
  <c r="R2447" i="1"/>
  <c r="R2796" i="1"/>
  <c r="R2853" i="1"/>
  <c r="R2877" i="1"/>
  <c r="R2901" i="1"/>
  <c r="R2925" i="1"/>
  <c r="R2949" i="1"/>
  <c r="R2973" i="1"/>
  <c r="R2997" i="1"/>
  <c r="R3021" i="1"/>
  <c r="R3045" i="1"/>
  <c r="R3069" i="1"/>
  <c r="R3093" i="1"/>
  <c r="R3117" i="1"/>
  <c r="R3141" i="1"/>
  <c r="R3165" i="1"/>
  <c r="R3189" i="1"/>
  <c r="R3213" i="1"/>
  <c r="R3237" i="1"/>
  <c r="R3261" i="1"/>
  <c r="R3285" i="1"/>
  <c r="R3309" i="1"/>
  <c r="R3333" i="1"/>
  <c r="R3357" i="1"/>
  <c r="R3381" i="1"/>
  <c r="R3405" i="1"/>
  <c r="R3429" i="1"/>
  <c r="R3453" i="1"/>
  <c r="R3477" i="1"/>
  <c r="R3501" i="1"/>
  <c r="R3525" i="1"/>
  <c r="R3549" i="1"/>
  <c r="R3573" i="1"/>
  <c r="R3597" i="1"/>
  <c r="R3621" i="1"/>
  <c r="R3645" i="1"/>
  <c r="R3669" i="1"/>
  <c r="R3693" i="1"/>
  <c r="R3717" i="1"/>
  <c r="R3741" i="1"/>
  <c r="R3765" i="1"/>
  <c r="R3789" i="1"/>
  <c r="R3813" i="1"/>
  <c r="R2564" i="1"/>
  <c r="R3999" i="1"/>
  <c r="R2584" i="1"/>
  <c r="R3821" i="1"/>
  <c r="R3845" i="1"/>
  <c r="R3869" i="1"/>
  <c r="R3893" i="1"/>
  <c r="R1434" i="1"/>
  <c r="R1609" i="1"/>
  <c r="R2042" i="1"/>
  <c r="R2258" i="1"/>
  <c r="R2406" i="1"/>
  <c r="R1583" i="1"/>
  <c r="R2123" i="1"/>
  <c r="R1323" i="1"/>
  <c r="R2321" i="1"/>
  <c r="R2561" i="1"/>
  <c r="R2657" i="1"/>
  <c r="R2741" i="1"/>
  <c r="R2813" i="1"/>
  <c r="R2487" i="1"/>
  <c r="R2860" i="1"/>
  <c r="R2932" i="1"/>
  <c r="R3004" i="1"/>
  <c r="R3076" i="1"/>
  <c r="R3148" i="1"/>
  <c r="R3220" i="1"/>
  <c r="R3292" i="1"/>
  <c r="R3364" i="1"/>
  <c r="R3436" i="1"/>
  <c r="R3508" i="1"/>
  <c r="R3574" i="1"/>
  <c r="R3612" i="1"/>
  <c r="R3646" i="1"/>
  <c r="R3684" i="1"/>
  <c r="R3718" i="1"/>
  <c r="R3756" i="1"/>
  <c r="R3790" i="1"/>
  <c r="R1580" i="1"/>
  <c r="R2429" i="1"/>
  <c r="R2566" i="1"/>
  <c r="R2634" i="1"/>
  <c r="R2750" i="1"/>
  <c r="R2119" i="1"/>
  <c r="R2511" i="1"/>
  <c r="R2804" i="1"/>
  <c r="R2855" i="1"/>
  <c r="R2879" i="1"/>
  <c r="R2903" i="1"/>
  <c r="R2927" i="1"/>
  <c r="R2951" i="1"/>
  <c r="R2975" i="1"/>
  <c r="R2999" i="1"/>
  <c r="R3023" i="1"/>
  <c r="R3047" i="1"/>
  <c r="R3071" i="1"/>
  <c r="R3095" i="1"/>
  <c r="R3119" i="1"/>
  <c r="R3143" i="1"/>
  <c r="R3167" i="1"/>
  <c r="R3191" i="1"/>
  <c r="R3215" i="1"/>
  <c r="R3239" i="1"/>
  <c r="R3263" i="1"/>
  <c r="R3287" i="1"/>
  <c r="R3311" i="1"/>
  <c r="R3335" i="1"/>
  <c r="R3359" i="1"/>
  <c r="R3383" i="1"/>
  <c r="R3407" i="1"/>
  <c r="R3431" i="1"/>
  <c r="R3455" i="1"/>
  <c r="R3479" i="1"/>
  <c r="R3503" i="1"/>
  <c r="R3527" i="1"/>
  <c r="R3551" i="1"/>
  <c r="R3575" i="1"/>
  <c r="R3599" i="1"/>
  <c r="R3623" i="1"/>
  <c r="R3647" i="1"/>
  <c r="R3671" i="1"/>
  <c r="R3695" i="1"/>
  <c r="R3719" i="1"/>
  <c r="R3743" i="1"/>
  <c r="R3767" i="1"/>
  <c r="R3791" i="1"/>
  <c r="R3815" i="1"/>
  <c r="R2580" i="1"/>
  <c r="R1331" i="1"/>
  <c r="R2600" i="1"/>
  <c r="R3823" i="1"/>
  <c r="R3847" i="1"/>
  <c r="R3871" i="1"/>
  <c r="R3895" i="1"/>
  <c r="R3919" i="1"/>
  <c r="R1442" i="1"/>
  <c r="R1614" i="1"/>
  <c r="R2044" i="1"/>
  <c r="R2260" i="1"/>
  <c r="R2438" i="1"/>
  <c r="R2157" i="1"/>
  <c r="R2227" i="1"/>
  <c r="R1567" i="1"/>
  <c r="R2417" i="1"/>
  <c r="R2585" i="1"/>
  <c r="R2681" i="1"/>
  <c r="R2759" i="1"/>
  <c r="R2831" i="1"/>
  <c r="R2728" i="1"/>
  <c r="R2878" i="1"/>
  <c r="R2950" i="1"/>
  <c r="R3022" i="1"/>
  <c r="R3094" i="1"/>
  <c r="R3166" i="1"/>
  <c r="R3238" i="1"/>
  <c r="R3310" i="1"/>
  <c r="R3382" i="1"/>
  <c r="R3454" i="1"/>
  <c r="R3526" i="1"/>
  <c r="R3576" i="1"/>
  <c r="R3614" i="1"/>
  <c r="R3648" i="1"/>
  <c r="R3686" i="1"/>
  <c r="R3720" i="1"/>
  <c r="R3758" i="1"/>
  <c r="R3792" i="1"/>
  <c r="R1623" i="1"/>
  <c r="R2445" i="1"/>
  <c r="R2570" i="1"/>
  <c r="R2638" i="1"/>
  <c r="R2758" i="1"/>
  <c r="R2151" i="1"/>
  <c r="R2676" i="1"/>
  <c r="R2812" i="1"/>
  <c r="R2857" i="1"/>
  <c r="R2881" i="1"/>
  <c r="R2905" i="1"/>
  <c r="R2929" i="1"/>
  <c r="R2953" i="1"/>
  <c r="R2977" i="1"/>
  <c r="R3001" i="1"/>
  <c r="R3025" i="1"/>
  <c r="R3049" i="1"/>
  <c r="R3073" i="1"/>
  <c r="R3097" i="1"/>
  <c r="R3121" i="1"/>
  <c r="R3145" i="1"/>
  <c r="R3169" i="1"/>
  <c r="R3193" i="1"/>
  <c r="R3217" i="1"/>
  <c r="R3241" i="1"/>
  <c r="R3265" i="1"/>
  <c r="R3289" i="1"/>
  <c r="R3313" i="1"/>
  <c r="R3337" i="1"/>
  <c r="R3361" i="1"/>
  <c r="R3385" i="1"/>
  <c r="R3409" i="1"/>
  <c r="R3433" i="1"/>
  <c r="R3457" i="1"/>
  <c r="R3481" i="1"/>
  <c r="R3505" i="1"/>
  <c r="R3529" i="1"/>
  <c r="R3553" i="1"/>
  <c r="R3577" i="1"/>
  <c r="R3601" i="1"/>
  <c r="R3625" i="1"/>
  <c r="R3649" i="1"/>
  <c r="R3673" i="1"/>
  <c r="R3697" i="1"/>
  <c r="R3721" i="1"/>
  <c r="R3745" i="1"/>
  <c r="R3769" i="1"/>
  <c r="R3793" i="1"/>
  <c r="R3817" i="1"/>
  <c r="R2596" i="1"/>
  <c r="R1559" i="1"/>
  <c r="R2616" i="1"/>
  <c r="R3825" i="1"/>
  <c r="R1707" i="1"/>
  <c r="R1720" i="1"/>
  <c r="R2078" i="1"/>
  <c r="R2294" i="1"/>
  <c r="R2440" i="1"/>
  <c r="R2165" i="1"/>
  <c r="R2243" i="1"/>
  <c r="R1599" i="1"/>
  <c r="R2433" i="1"/>
  <c r="R2589" i="1"/>
  <c r="R2685" i="1"/>
  <c r="R2761" i="1"/>
  <c r="R882" i="1"/>
  <c r="R2736" i="1"/>
  <c r="R2880" i="1"/>
  <c r="R2952" i="1"/>
  <c r="R3024" i="1"/>
  <c r="R3096" i="1"/>
  <c r="R3168" i="1"/>
  <c r="R3240" i="1"/>
  <c r="R3312" i="1"/>
  <c r="R3384" i="1"/>
  <c r="R3456" i="1"/>
  <c r="R3528" i="1"/>
  <c r="R3578" i="1"/>
  <c r="R3616" i="1"/>
  <c r="R3650" i="1"/>
  <c r="R3688" i="1"/>
  <c r="R3722" i="1"/>
  <c r="R3760" i="1"/>
  <c r="R3794" i="1"/>
  <c r="R2095" i="1"/>
  <c r="R2461" i="1"/>
  <c r="R2574" i="1"/>
  <c r="R2642" i="1"/>
  <c r="R2766" i="1"/>
  <c r="R2183" i="1"/>
  <c r="R2684" i="1"/>
  <c r="R2820" i="1"/>
  <c r="R2859" i="1"/>
  <c r="R2883" i="1"/>
  <c r="R2907" i="1"/>
  <c r="R2931" i="1"/>
  <c r="R2955" i="1"/>
  <c r="R2979" i="1"/>
  <c r="R3003" i="1"/>
  <c r="R3027" i="1"/>
  <c r="R3051" i="1"/>
  <c r="R3075" i="1"/>
  <c r="R3099" i="1"/>
  <c r="R3123" i="1"/>
  <c r="R3147" i="1"/>
  <c r="R3171" i="1"/>
  <c r="R3195" i="1"/>
  <c r="R3219" i="1"/>
  <c r="R3243" i="1"/>
  <c r="R3267" i="1"/>
  <c r="R3291" i="1"/>
  <c r="R3315" i="1"/>
  <c r="R3339" i="1"/>
  <c r="R3363" i="1"/>
  <c r="R3387" i="1"/>
  <c r="R3411" i="1"/>
  <c r="R3435" i="1"/>
  <c r="R3459" i="1"/>
  <c r="R3483" i="1"/>
  <c r="R3507" i="1"/>
  <c r="R3531" i="1"/>
  <c r="R3555" i="1"/>
  <c r="R3579" i="1"/>
  <c r="R3603" i="1"/>
  <c r="R3627" i="1"/>
  <c r="R3651" i="1"/>
  <c r="R3675" i="1"/>
  <c r="R3699" i="1"/>
  <c r="R3723" i="1"/>
  <c r="R3747" i="1"/>
  <c r="R3771" i="1"/>
  <c r="R3795" i="1"/>
  <c r="R1516" i="1"/>
  <c r="R2612" i="1"/>
  <c r="R2175" i="1"/>
  <c r="R2632" i="1"/>
  <c r="R1887" i="1"/>
  <c r="R1816" i="1"/>
  <c r="R2114" i="1"/>
  <c r="R2330" i="1"/>
  <c r="R2474" i="1"/>
  <c r="R2189" i="1"/>
  <c r="R2259" i="1"/>
  <c r="R1631" i="1"/>
  <c r="R2449" i="1"/>
  <c r="R2593" i="1"/>
  <c r="R2689" i="1"/>
  <c r="R2765" i="1"/>
  <c r="R1363" i="1"/>
  <c r="R2752" i="1"/>
  <c r="R2884" i="1"/>
  <c r="R2956" i="1"/>
  <c r="R3028" i="1"/>
  <c r="R3100" i="1"/>
  <c r="R3172" i="1"/>
  <c r="R3244" i="1"/>
  <c r="R3316" i="1"/>
  <c r="R3388" i="1"/>
  <c r="R3460" i="1"/>
  <c r="R3532" i="1"/>
  <c r="R3588" i="1"/>
  <c r="R3622" i="1"/>
  <c r="R3660" i="1"/>
  <c r="R3694" i="1"/>
  <c r="R3732" i="1"/>
  <c r="R3766" i="1"/>
  <c r="R3804" i="1"/>
  <c r="R2191" i="1"/>
  <c r="R2518" i="1"/>
  <c r="R2586" i="1"/>
  <c r="R2662" i="1"/>
  <c r="R2790" i="1"/>
  <c r="R2319" i="1"/>
  <c r="R2708" i="1"/>
  <c r="R2839" i="1"/>
  <c r="R2863" i="1"/>
  <c r="R2887" i="1"/>
  <c r="R2911" i="1"/>
  <c r="R2935" i="1"/>
  <c r="R2959" i="1"/>
  <c r="R2983" i="1"/>
  <c r="R3007" i="1"/>
  <c r="R3031" i="1"/>
  <c r="R3055" i="1"/>
  <c r="R3079" i="1"/>
  <c r="R3103" i="1"/>
  <c r="R3127" i="1"/>
  <c r="R3151" i="1"/>
  <c r="R3175" i="1"/>
  <c r="R3199" i="1"/>
  <c r="R3223" i="1"/>
  <c r="R3247" i="1"/>
  <c r="R3271" i="1"/>
  <c r="R3295" i="1"/>
  <c r="R3319" i="1"/>
  <c r="R3343" i="1"/>
  <c r="R3367" i="1"/>
  <c r="R3391" i="1"/>
  <c r="R3415" i="1"/>
  <c r="R3439" i="1"/>
  <c r="R3463" i="1"/>
  <c r="R3487" i="1"/>
  <c r="R3511" i="1"/>
  <c r="R3535" i="1"/>
  <c r="R3559" i="1"/>
  <c r="R3583" i="1"/>
  <c r="R3607" i="1"/>
  <c r="R3631" i="1"/>
  <c r="R3655" i="1"/>
  <c r="R3679" i="1"/>
  <c r="R3703" i="1"/>
  <c r="R3727" i="1"/>
  <c r="R3751" i="1"/>
  <c r="R3775" i="1"/>
  <c r="R3799" i="1"/>
  <c r="R2207" i="1"/>
  <c r="R2644" i="1"/>
  <c r="R2373" i="1"/>
  <c r="R2664" i="1"/>
  <c r="R3831" i="1"/>
  <c r="R3855" i="1"/>
  <c r="R3879" i="1"/>
  <c r="R2055" i="1"/>
  <c r="R1914" i="1"/>
  <c r="R2152" i="1"/>
  <c r="R2366" i="1"/>
  <c r="R2510" i="1"/>
  <c r="R1411" i="1"/>
  <c r="R2395" i="1"/>
  <c r="R2185" i="1"/>
  <c r="R2527" i="1"/>
  <c r="R2623" i="1"/>
  <c r="R2715" i="1"/>
  <c r="R2787" i="1"/>
  <c r="R2279" i="1"/>
  <c r="R2834" i="1"/>
  <c r="R2906" i="1"/>
  <c r="R2978" i="1"/>
  <c r="R3050" i="1"/>
  <c r="R3122" i="1"/>
  <c r="R3194" i="1"/>
  <c r="R3266" i="1"/>
  <c r="R3338" i="1"/>
  <c r="R3410" i="1"/>
  <c r="R3482" i="1"/>
  <c r="R3554" i="1"/>
  <c r="R3596" i="1"/>
  <c r="R3628" i="1"/>
  <c r="R3668" i="1"/>
  <c r="R3700" i="1"/>
  <c r="R3740" i="1"/>
  <c r="R3772" i="1"/>
  <c r="R3812" i="1"/>
  <c r="R2285" i="1"/>
  <c r="R2534" i="1"/>
  <c r="R2598" i="1"/>
  <c r="R2686" i="1"/>
  <c r="R2814" i="1"/>
  <c r="R2383" i="1"/>
  <c r="R2732" i="1"/>
  <c r="R2845" i="1"/>
  <c r="R2869" i="1"/>
  <c r="R2893" i="1"/>
  <c r="R2917" i="1"/>
  <c r="R2941" i="1"/>
  <c r="R2965" i="1"/>
  <c r="R2989" i="1"/>
  <c r="R3013" i="1"/>
  <c r="R3037" i="1"/>
  <c r="R3061" i="1"/>
  <c r="R3085" i="1"/>
  <c r="R3109" i="1"/>
  <c r="R3133" i="1"/>
  <c r="R3157" i="1"/>
  <c r="R3181" i="1"/>
  <c r="R3205" i="1"/>
  <c r="R3229" i="1"/>
  <c r="R3253" i="1"/>
  <c r="R3277" i="1"/>
  <c r="R3301" i="1"/>
  <c r="R3325" i="1"/>
  <c r="R3349" i="1"/>
  <c r="R3373" i="1"/>
  <c r="R3397" i="1"/>
  <c r="R3421" i="1"/>
  <c r="R3445" i="1"/>
  <c r="R3469" i="1"/>
  <c r="R3493" i="1"/>
  <c r="R3517" i="1"/>
  <c r="R3541" i="1"/>
  <c r="R3565" i="1"/>
  <c r="R3589" i="1"/>
  <c r="R3613" i="1"/>
  <c r="R3637" i="1"/>
  <c r="R3661" i="1"/>
  <c r="R3685" i="1"/>
  <c r="R3709" i="1"/>
  <c r="R3733" i="1"/>
  <c r="R3757" i="1"/>
  <c r="R3781" i="1"/>
  <c r="R3805" i="1"/>
  <c r="R2453" i="1"/>
  <c r="R2706" i="1"/>
  <c r="R2520" i="1"/>
  <c r="R2762" i="1"/>
  <c r="R3837" i="1"/>
  <c r="R3861" i="1"/>
  <c r="R1719" i="1"/>
  <c r="R2444" i="1"/>
  <c r="R2441" i="1"/>
  <c r="R1207" i="1"/>
  <c r="R3026" i="1"/>
  <c r="R3314" i="1"/>
  <c r="R3580" i="1"/>
  <c r="R3724" i="1"/>
  <c r="R2477" i="1"/>
  <c r="R2215" i="1"/>
  <c r="R2885" i="1"/>
  <c r="R2981" i="1"/>
  <c r="R3077" i="1"/>
  <c r="R3173" i="1"/>
  <c r="R3269" i="1"/>
  <c r="R3365" i="1"/>
  <c r="R3461" i="1"/>
  <c r="R3557" i="1"/>
  <c r="R3653" i="1"/>
  <c r="R3749" i="1"/>
  <c r="R2628" i="1"/>
  <c r="R3835" i="1"/>
  <c r="R3897" i="1"/>
  <c r="R3929" i="1"/>
  <c r="R3957" i="1"/>
  <c r="R3989" i="1"/>
  <c r="R2588" i="1"/>
  <c r="R2341" i="1"/>
  <c r="R2746" i="1"/>
  <c r="R3842" i="1"/>
  <c r="R3874" i="1"/>
  <c r="R3902" i="1"/>
  <c r="R1889" i="1"/>
  <c r="R2476" i="1"/>
  <c r="R2521" i="1"/>
  <c r="R2231" i="1"/>
  <c r="R3046" i="1"/>
  <c r="R3334" i="1"/>
  <c r="R3590" i="1"/>
  <c r="R3734" i="1"/>
  <c r="R2522" i="1"/>
  <c r="R2335" i="1"/>
  <c r="R2889" i="1"/>
  <c r="R2985" i="1"/>
  <c r="R3081" i="1"/>
  <c r="R3177" i="1"/>
  <c r="R3273" i="1"/>
  <c r="R3369" i="1"/>
  <c r="R3465" i="1"/>
  <c r="R3561" i="1"/>
  <c r="R3657" i="1"/>
  <c r="R3753" i="1"/>
  <c r="R2660" i="1"/>
  <c r="R3849" i="1"/>
  <c r="R3899" i="1"/>
  <c r="R3931" i="1"/>
  <c r="R3961" i="1"/>
  <c r="R3991" i="1"/>
  <c r="R2604" i="1"/>
  <c r="R2405" i="1"/>
  <c r="R2778" i="1"/>
  <c r="R3846" i="1"/>
  <c r="R3876" i="1"/>
  <c r="R3904" i="1"/>
  <c r="R3932" i="1"/>
  <c r="R3960" i="1"/>
  <c r="R3990" i="1"/>
  <c r="R2053" i="1"/>
  <c r="R2478" i="1"/>
  <c r="R2525" i="1"/>
  <c r="R2263" i="1"/>
  <c r="R3048" i="1"/>
  <c r="R3336" i="1"/>
  <c r="R3592" i="1"/>
  <c r="R3736" i="1"/>
  <c r="R2526" i="1"/>
  <c r="R2351" i="1"/>
  <c r="R2891" i="1"/>
  <c r="R2987" i="1"/>
  <c r="R3083" i="1"/>
  <c r="R3179" i="1"/>
  <c r="R3275" i="1"/>
  <c r="R3371" i="1"/>
  <c r="R3467" i="1"/>
  <c r="R3563" i="1"/>
  <c r="R3659" i="1"/>
  <c r="R3755" i="1"/>
  <c r="R2674" i="1"/>
  <c r="R3851" i="1"/>
  <c r="R3901" i="1"/>
  <c r="R3933" i="1"/>
  <c r="R3965" i="1"/>
  <c r="R3995" i="1"/>
  <c r="R2620" i="1"/>
  <c r="R2469" i="1"/>
  <c r="R2810" i="1"/>
  <c r="R3850" i="1"/>
  <c r="R3878" i="1"/>
  <c r="R3906" i="1"/>
  <c r="R3934" i="1"/>
  <c r="R3962" i="1"/>
  <c r="R3994" i="1"/>
  <c r="R1722" i="1"/>
  <c r="R2173" i="1"/>
  <c r="R2591" i="1"/>
  <c r="R2744" i="1"/>
  <c r="R3098" i="1"/>
  <c r="R3386" i="1"/>
  <c r="R3620" i="1"/>
  <c r="R3764" i="1"/>
  <c r="R2582" i="1"/>
  <c r="R2700" i="1"/>
  <c r="R2909" i="1"/>
  <c r="R3005" i="1"/>
  <c r="R3101" i="1"/>
  <c r="R3197" i="1"/>
  <c r="R3293" i="1"/>
  <c r="R3389" i="1"/>
  <c r="R3485" i="1"/>
  <c r="R3581" i="1"/>
  <c r="R3677" i="1"/>
  <c r="R3773" i="1"/>
  <c r="R2309" i="1"/>
  <c r="R3853" i="1"/>
  <c r="R3903" i="1"/>
  <c r="R3937" i="1"/>
  <c r="R3967" i="1"/>
  <c r="R1431" i="1"/>
  <c r="R2636" i="1"/>
  <c r="R2528" i="1"/>
  <c r="R3822" i="1"/>
  <c r="R3852" i="1"/>
  <c r="R3880" i="1"/>
  <c r="R3908" i="1"/>
  <c r="R3936" i="1"/>
  <c r="R3966" i="1"/>
  <c r="R3996" i="1"/>
  <c r="R1818" i="1"/>
  <c r="R1271" i="1"/>
  <c r="R2617" i="1"/>
  <c r="R2824" i="1"/>
  <c r="R3118" i="1"/>
  <c r="R3406" i="1"/>
  <c r="R3624" i="1"/>
  <c r="R3768" i="1"/>
  <c r="R2590" i="1"/>
  <c r="R2716" i="1"/>
  <c r="R2913" i="1"/>
  <c r="R3009" i="1"/>
  <c r="R3105" i="1"/>
  <c r="R3201" i="1"/>
  <c r="R3297" i="1"/>
  <c r="R3393" i="1"/>
  <c r="R3489" i="1"/>
  <c r="R3585" i="1"/>
  <c r="R3681" i="1"/>
  <c r="R3777" i="1"/>
  <c r="R2437" i="1"/>
  <c r="R3857" i="1"/>
  <c r="R3905" i="1"/>
  <c r="R3941" i="1"/>
  <c r="R3969" i="1"/>
  <c r="R2143" i="1"/>
  <c r="R2652" i="1"/>
  <c r="R2544" i="1"/>
  <c r="R3826" i="1"/>
  <c r="R3854" i="1"/>
  <c r="R3882" i="1"/>
  <c r="R3910" i="1"/>
  <c r="R3938" i="1"/>
  <c r="R3970" i="1"/>
  <c r="R3998" i="1"/>
  <c r="R1912" i="1"/>
  <c r="R1379" i="1"/>
  <c r="R2621" i="1"/>
  <c r="R2832" i="1"/>
  <c r="R3120" i="1"/>
  <c r="R3408" i="1"/>
  <c r="R3626" i="1"/>
  <c r="R3770" i="1"/>
  <c r="R2594" i="1"/>
  <c r="R2724" i="1"/>
  <c r="R2915" i="1"/>
  <c r="R3011" i="1"/>
  <c r="R3107" i="1"/>
  <c r="R3203" i="1"/>
  <c r="R3299" i="1"/>
  <c r="R3395" i="1"/>
  <c r="R3491" i="1"/>
  <c r="R3587" i="1"/>
  <c r="R3683" i="1"/>
  <c r="R3779" i="1"/>
  <c r="R2501" i="1"/>
  <c r="R3859" i="1"/>
  <c r="R3907" i="1"/>
  <c r="R3943" i="1"/>
  <c r="R3971" i="1"/>
  <c r="R2271" i="1"/>
  <c r="R2668" i="1"/>
  <c r="R2576" i="1"/>
  <c r="R3828" i="1"/>
  <c r="R3856" i="1"/>
  <c r="R3884" i="1"/>
  <c r="R3912" i="1"/>
  <c r="R3942" i="1"/>
  <c r="R3972" i="1"/>
  <c r="R4000" i="1"/>
  <c r="R2080" i="1"/>
  <c r="R2251" i="1"/>
  <c r="R2687" i="1"/>
  <c r="R2882" i="1"/>
  <c r="R3170" i="1"/>
  <c r="R3458" i="1"/>
  <c r="R3652" i="1"/>
  <c r="R3796" i="1"/>
  <c r="R2646" i="1"/>
  <c r="R2828" i="1"/>
  <c r="R2933" i="1"/>
  <c r="R3029" i="1"/>
  <c r="R3125" i="1"/>
  <c r="R3221" i="1"/>
  <c r="R3317" i="1"/>
  <c r="R3413" i="1"/>
  <c r="R3509" i="1"/>
  <c r="R3605" i="1"/>
  <c r="R3701" i="1"/>
  <c r="R3797" i="1"/>
  <c r="R2648" i="1"/>
  <c r="R3873" i="1"/>
  <c r="R3909" i="1"/>
  <c r="R3945" i="1"/>
  <c r="R3973" i="1"/>
  <c r="R2293" i="1"/>
  <c r="R2690" i="1"/>
  <c r="R2608" i="1"/>
  <c r="R3830" i="1"/>
  <c r="R3858" i="1"/>
  <c r="R3886" i="1"/>
  <c r="R3914" i="1"/>
  <c r="R3946" i="1"/>
  <c r="R3974" i="1"/>
  <c r="R3993" i="1"/>
  <c r="R2116" i="1"/>
  <c r="R2379" i="1"/>
  <c r="R2711" i="1"/>
  <c r="R2902" i="1"/>
  <c r="R3190" i="1"/>
  <c r="R3478" i="1"/>
  <c r="R3662" i="1"/>
  <c r="R3806" i="1"/>
  <c r="R2666" i="1"/>
  <c r="R2841" i="1"/>
  <c r="R2937" i="1"/>
  <c r="R3033" i="1"/>
  <c r="R3129" i="1"/>
  <c r="R3225" i="1"/>
  <c r="R3321" i="1"/>
  <c r="R3417" i="1"/>
  <c r="R3513" i="1"/>
  <c r="R3609" i="1"/>
  <c r="R3705" i="1"/>
  <c r="R3801" i="1"/>
  <c r="R2698" i="1"/>
  <c r="R3875" i="1"/>
  <c r="R3917" i="1"/>
  <c r="R3947" i="1"/>
  <c r="R3975" i="1"/>
  <c r="R2357" i="1"/>
  <c r="R2754" i="1"/>
  <c r="R2624" i="1"/>
  <c r="R3832" i="1"/>
  <c r="R3860" i="1"/>
  <c r="R3888" i="1"/>
  <c r="R3918" i="1"/>
  <c r="R3948" i="1"/>
  <c r="R3976" i="1"/>
  <c r="R3997" i="1"/>
  <c r="R2296" i="1"/>
  <c r="R1620" i="1"/>
  <c r="R2763" i="1"/>
  <c r="R2954" i="1"/>
  <c r="R3242" i="1"/>
  <c r="R3530" i="1"/>
  <c r="R3692" i="1"/>
  <c r="R2159" i="1"/>
  <c r="R2782" i="1"/>
  <c r="R2861" i="1"/>
  <c r="R2957" i="1"/>
  <c r="R3053" i="1"/>
  <c r="R3149" i="1"/>
  <c r="R3245" i="1"/>
  <c r="R3341" i="1"/>
  <c r="R3437" i="1"/>
  <c r="R3533" i="1"/>
  <c r="R3629" i="1"/>
  <c r="R3725" i="1"/>
  <c r="R2079" i="1"/>
  <c r="R3827" i="1"/>
  <c r="R3881" i="1"/>
  <c r="R3923" i="1"/>
  <c r="R3951" i="1"/>
  <c r="R3979" i="1"/>
  <c r="R2524" i="1"/>
  <c r="R2111" i="1"/>
  <c r="R2656" i="1"/>
  <c r="R3836" i="1"/>
  <c r="R3864" i="1"/>
  <c r="R3894" i="1"/>
  <c r="R3924" i="1"/>
  <c r="R3952" i="1"/>
  <c r="R3980" i="1"/>
  <c r="R2150" i="1"/>
  <c r="R3192" i="1"/>
  <c r="R2670" i="1"/>
  <c r="R3131" i="1"/>
  <c r="R3515" i="1"/>
  <c r="R2730" i="1"/>
  <c r="R3977" i="1"/>
  <c r="R3834" i="1"/>
  <c r="R3930" i="1"/>
  <c r="R2332" i="1"/>
  <c r="R3262" i="1"/>
  <c r="R2798" i="1"/>
  <c r="R3153" i="1"/>
  <c r="R3537" i="1"/>
  <c r="R3829" i="1"/>
  <c r="R3981" i="1"/>
  <c r="R3838" i="1"/>
  <c r="R3950" i="1"/>
  <c r="R2334" i="1"/>
  <c r="R3264" i="1"/>
  <c r="R2806" i="1"/>
  <c r="R3155" i="1"/>
  <c r="R3539" i="1"/>
  <c r="R3833" i="1"/>
  <c r="R3985" i="1"/>
  <c r="R3840" i="1"/>
  <c r="R3954" i="1"/>
  <c r="R2387" i="1"/>
  <c r="R3480" i="1"/>
  <c r="R2843" i="1"/>
  <c r="R3227" i="1"/>
  <c r="R3611" i="1"/>
  <c r="R3877" i="1"/>
  <c r="R2421" i="1"/>
  <c r="R3862" i="1"/>
  <c r="R3956" i="1"/>
  <c r="R2161" i="1"/>
  <c r="R3550" i="1"/>
  <c r="R2865" i="1"/>
  <c r="R3249" i="1"/>
  <c r="R3633" i="1"/>
  <c r="R3883" i="1"/>
  <c r="R2556" i="1"/>
  <c r="R3866" i="1"/>
  <c r="R3958" i="1"/>
  <c r="R2177" i="1"/>
  <c r="R3552" i="1"/>
  <c r="R2867" i="1"/>
  <c r="R3251" i="1"/>
  <c r="R3635" i="1"/>
  <c r="R3885" i="1"/>
  <c r="R2572" i="1"/>
  <c r="R3870" i="1"/>
  <c r="R3978" i="1"/>
  <c r="R2713" i="1"/>
  <c r="R3664" i="1"/>
  <c r="R2939" i="1"/>
  <c r="R3323" i="1"/>
  <c r="R3707" i="1"/>
  <c r="R3921" i="1"/>
  <c r="R2818" i="1"/>
  <c r="R3890" i="1"/>
  <c r="R3982" i="1"/>
  <c r="R2783" i="1"/>
  <c r="R3696" i="1"/>
  <c r="R2961" i="1"/>
  <c r="R3345" i="1"/>
  <c r="R3729" i="1"/>
  <c r="R3925" i="1"/>
  <c r="R2239" i="1"/>
  <c r="R3898" i="1"/>
  <c r="R3984" i="1"/>
  <c r="R2785" i="1"/>
  <c r="R3698" i="1"/>
  <c r="R2963" i="1"/>
  <c r="R3347" i="1"/>
  <c r="R3731" i="1"/>
  <c r="R3927" i="1"/>
  <c r="R2277" i="1"/>
  <c r="R3900" i="1"/>
  <c r="R3986" i="1"/>
  <c r="R2904" i="1"/>
  <c r="R3803" i="1"/>
  <c r="R4001" i="1"/>
  <c r="R2974" i="1"/>
  <c r="R2325" i="1"/>
  <c r="R2976" i="1"/>
  <c r="R2389" i="1"/>
  <c r="R3808" i="1"/>
  <c r="R3949" i="1"/>
  <c r="R2223" i="1"/>
  <c r="R3953" i="1"/>
  <c r="R2255" i="1"/>
  <c r="R3955" i="1"/>
  <c r="R3035" i="1"/>
  <c r="R2640" i="1"/>
  <c r="R3057" i="1"/>
  <c r="R2682" i="1"/>
  <c r="R3059" i="1"/>
  <c r="R2714" i="1"/>
  <c r="R3419" i="1"/>
  <c r="R3922" i="1"/>
  <c r="R3441" i="1"/>
  <c r="R155" i="1"/>
  <c r="R112" i="1"/>
  <c r="R140" i="1"/>
  <c r="R77" i="1"/>
  <c r="R116" i="1"/>
  <c r="R55" i="1"/>
  <c r="R35" i="1"/>
  <c r="R72" i="1"/>
  <c r="R75" i="1"/>
  <c r="R32" i="1"/>
  <c r="R114" i="1"/>
  <c r="R9" i="1"/>
  <c r="R3" i="1"/>
  <c r="R3443" i="1"/>
  <c r="R73" i="1"/>
  <c r="R74" i="1"/>
  <c r="R39" i="1"/>
  <c r="R141" i="1"/>
  <c r="R78" i="1"/>
  <c r="R119" i="1"/>
  <c r="R99" i="1"/>
  <c r="R136" i="1"/>
  <c r="R139" i="1"/>
  <c r="R96" i="1"/>
  <c r="R60" i="1"/>
  <c r="R15" i="1"/>
  <c r="R18" i="1"/>
  <c r="R106" i="1"/>
  <c r="R51" i="1"/>
  <c r="R29" i="1"/>
  <c r="R3926" i="1"/>
  <c r="R137" i="1"/>
  <c r="R138" i="1"/>
  <c r="R103" i="1"/>
  <c r="R83" i="1"/>
  <c r="R142" i="1"/>
  <c r="R37" i="1"/>
  <c r="R81" i="1"/>
  <c r="R34" i="1"/>
  <c r="R57" i="1"/>
  <c r="R58" i="1"/>
  <c r="R124" i="1"/>
  <c r="R13" i="1"/>
  <c r="R22" i="1"/>
  <c r="R151" i="1"/>
  <c r="R25" i="1"/>
  <c r="R134" i="1"/>
  <c r="R4" i="1"/>
  <c r="R89" i="1"/>
  <c r="R47" i="1"/>
  <c r="R31" i="1"/>
  <c r="R14" i="1"/>
  <c r="R3928" i="1"/>
  <c r="R79" i="1"/>
  <c r="R36" i="1"/>
  <c r="R85" i="1"/>
  <c r="R147" i="1"/>
  <c r="R56" i="1"/>
  <c r="R101" i="1"/>
  <c r="R145" i="1"/>
  <c r="R98" i="1"/>
  <c r="R121" i="1"/>
  <c r="R122" i="1"/>
  <c r="R86" i="1"/>
  <c r="R19" i="1"/>
  <c r="R20" i="1"/>
  <c r="R105" i="1"/>
  <c r="R24" i="1"/>
  <c r="R53" i="1"/>
  <c r="R143" i="1"/>
  <c r="R100" i="1"/>
  <c r="R149" i="1"/>
  <c r="R65" i="1"/>
  <c r="R120" i="1"/>
  <c r="R59" i="1"/>
  <c r="R80" i="1"/>
  <c r="R44" i="1"/>
  <c r="R63" i="1"/>
  <c r="R84" i="1"/>
  <c r="R150" i="1"/>
  <c r="R5" i="1"/>
  <c r="R40" i="1"/>
  <c r="R128" i="1"/>
  <c r="R109" i="1"/>
  <c r="R104" i="1"/>
  <c r="R26" i="1"/>
  <c r="R68" i="1"/>
  <c r="R10" i="1"/>
  <c r="R113" i="1"/>
  <c r="R33" i="1"/>
  <c r="R23" i="1"/>
  <c r="R61" i="1"/>
  <c r="R62" i="1"/>
  <c r="R43" i="1"/>
  <c r="R129" i="1"/>
  <c r="R82" i="1"/>
  <c r="R123" i="1"/>
  <c r="R144" i="1"/>
  <c r="R108" i="1"/>
  <c r="R127" i="1"/>
  <c r="R148" i="1"/>
  <c r="R38" i="1"/>
  <c r="R16" i="1"/>
  <c r="R17" i="1"/>
  <c r="R69" i="1"/>
  <c r="R71" i="1"/>
  <c r="R27" i="1"/>
  <c r="R30" i="1"/>
  <c r="R87" i="1"/>
  <c r="R125" i="1"/>
  <c r="R126" i="1"/>
  <c r="R107" i="1"/>
  <c r="R64" i="1"/>
  <c r="R146" i="1"/>
  <c r="R41" i="1"/>
  <c r="R42" i="1"/>
  <c r="R70" i="1"/>
  <c r="R45" i="1"/>
  <c r="R46" i="1"/>
  <c r="R102" i="1"/>
  <c r="R7" i="1"/>
  <c r="R67" i="1"/>
  <c r="R28" i="1"/>
  <c r="R110" i="1"/>
  <c r="R131" i="1"/>
  <c r="R92" i="1"/>
  <c r="R2" i="1"/>
  <c r="R130" i="1"/>
  <c r="R21" i="1"/>
  <c r="R133" i="1"/>
  <c r="R49" i="1"/>
  <c r="R66" i="1"/>
  <c r="R153" i="1"/>
  <c r="R90" i="1"/>
  <c r="R156" i="1"/>
  <c r="R111" i="1"/>
  <c r="R132" i="1"/>
  <c r="R135" i="1"/>
  <c r="R115" i="1"/>
  <c r="R88" i="1"/>
  <c r="R6" i="1"/>
  <c r="R8" i="1"/>
  <c r="R154" i="1"/>
  <c r="R54" i="1"/>
  <c r="R152" i="1"/>
  <c r="R93" i="1"/>
  <c r="R94" i="1"/>
  <c r="R97" i="1"/>
  <c r="R118" i="1"/>
  <c r="R117" i="1"/>
  <c r="R52" i="1"/>
  <c r="R50" i="1"/>
  <c r="R11" i="1"/>
  <c r="R91" i="1"/>
  <c r="R12" i="1"/>
  <c r="R48" i="1"/>
  <c r="R76" i="1"/>
  <c r="R9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Gary</author>
  </authors>
  <commentList>
    <comment ref="D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Gary:</t>
        </r>
        <r>
          <rPr>
            <sz val="9"/>
            <color indexed="81"/>
            <rFont val="Tahoma"/>
            <family val="2"/>
          </rPr>
          <t xml:space="preserve">
These are financial ratios, you would get these from company balance sheets (eg).
Columns A and B are just there for reference (not used in the calculation) and </t>
        </r>
        <r>
          <rPr>
            <b/>
            <sz val="9"/>
            <color indexed="81"/>
            <rFont val="Tahoma"/>
            <family val="2"/>
          </rPr>
          <t xml:space="preserve">column C is the dependent variable. </t>
        </r>
        <r>
          <rPr>
            <sz val="9"/>
            <color indexed="81"/>
            <rFont val="Tahoma"/>
            <family val="2"/>
          </rPr>
          <t>Columns D through H are the original independent (explanatory) variables.
That's what the data need to look like - the rest is the calculation and it's easy to interpret and build the PD generating function so don't panic about columns K onwards.</t>
        </r>
      </text>
    </comment>
  </commentList>
</comments>
</file>

<file path=xl/sharedStrings.xml><?xml version="1.0" encoding="utf-8"?>
<sst xmlns="http://schemas.openxmlformats.org/spreadsheetml/2006/main" count="36" uniqueCount="21">
  <si>
    <t>ID</t>
  </si>
  <si>
    <t>Year</t>
  </si>
  <si>
    <t>Default</t>
  </si>
  <si>
    <t>WC/TA</t>
  </si>
  <si>
    <t>RE/TA</t>
  </si>
  <si>
    <t>EBIT/TA</t>
  </si>
  <si>
    <t>ME/TL</t>
  </si>
  <si>
    <t>S/TA</t>
  </si>
  <si>
    <t>Model 1</t>
  </si>
  <si>
    <t>CONST</t>
  </si>
  <si>
    <t>b</t>
  </si>
  <si>
    <t xml:space="preserve">t </t>
  </si>
  <si>
    <t>p-value</t>
  </si>
  <si>
    <t>LR-test / p-value</t>
  </si>
  <si>
    <t>Model 2</t>
  </si>
  <si>
    <t>MV/TL</t>
  </si>
  <si>
    <t>Pseudo R²/# iter</t>
  </si>
  <si>
    <r>
      <t>PD</t>
    </r>
    <r>
      <rPr>
        <b/>
        <vertAlign val="subscript"/>
        <sz val="12"/>
        <color indexed="8"/>
        <rFont val="Calibri"/>
        <family val="2"/>
        <scheme val="minor"/>
      </rPr>
      <t>1</t>
    </r>
  </si>
  <si>
    <r>
      <t>PD</t>
    </r>
    <r>
      <rPr>
        <b/>
        <vertAlign val="subscript"/>
        <sz val="12"/>
        <color indexed="8"/>
        <rFont val="Calibri"/>
        <family val="2"/>
        <scheme val="minor"/>
      </rPr>
      <t>2</t>
    </r>
  </si>
  <si>
    <r>
      <t>SE(</t>
    </r>
    <r>
      <rPr>
        <sz val="12"/>
        <color indexed="8"/>
        <rFont val="Symbol"/>
        <family val="1"/>
        <charset val="2"/>
      </rPr>
      <t>b</t>
    </r>
    <r>
      <rPr>
        <sz val="12"/>
        <color indexed="8"/>
        <rFont val="Calibri"/>
        <family val="2"/>
        <scheme val="minor"/>
      </rPr>
      <t>)</t>
    </r>
  </si>
  <si>
    <r>
      <t>lnL/lnL</t>
    </r>
    <r>
      <rPr>
        <vertAlign val="subscript"/>
        <sz val="12"/>
        <rFont val="Calibri"/>
        <family val="2"/>
        <scheme val="minor"/>
      </rPr>
      <t>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</si>
</sst>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0.0"/>
    <numFmt numFmtId="166" formatCode="0.000"/>
    <numFmt numFmtId="167" formatCode="0.000000000000000000000000000000"/>
    <numFmt numFmtId="168" formatCode="0.0%"/>
  </numFmts>
  <fonts count="15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indexed="8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vertAlign val="subscript"/>
      <sz val="12"/>
      <color indexed="8"/>
      <name val="Calibri"/>
      <family val="2"/>
      <scheme val="minor"/>
    </font>
    <font>
      <sz val="12"/>
      <color indexed="8"/>
      <name val="Symbol"/>
      <family val="1"/>
      <charset val="2"/>
    </font>
    <font>
      <sz val="12"/>
      <color indexed="8"/>
      <name val="Calibri"/>
      <family val="2"/>
      <scheme val="minor"/>
    </font>
    <font>
      <sz val="12"/>
      <color theme="0"/>
      <name val="Calibri"/>
      <family val="2"/>
      <scheme val="minor"/>
    </font>
    <font>
      <vertAlign val="subscript"/>
      <sz val="12"/>
      <name val="Calibri"/>
      <family val="2"/>
      <scheme val="minor"/>
    </font>
    <font>
      <sz val="12"/>
      <name val="Arial"/>
      <family val="2"/>
    </font>
    <font>
      <b/>
      <sz val="1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00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9">
    <xf numFmtId="0" fontId="0" fillId="0" borderId="0" xfId="0"/>
    <xf numFmtId="0" fontId="5" fillId="5" borderId="1" xfId="0" applyFont="1" applyFill="1" applyBorder="1" applyAlignment="1">
      <alignment horizontal="center" vertical="center" wrapText="1"/>
    </xf>
    <xf numFmtId="0" fontId="6" fillId="4" borderId="0" xfId="0" applyFont="1" applyFill="1" applyAlignment="1">
      <alignment vertical="center"/>
    </xf>
    <xf numFmtId="0" fontId="7" fillId="3" borderId="0" xfId="0" applyFont="1" applyFill="1" applyAlignment="1">
      <alignment horizontal="center" vertical="center" wrapText="1"/>
    </xf>
    <xf numFmtId="0" fontId="5" fillId="5" borderId="2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6" fillId="6" borderId="1" xfId="0" applyFont="1" applyFill="1" applyBorder="1" applyAlignment="1">
      <alignment horizontal="center" vertical="center"/>
    </xf>
    <xf numFmtId="1" fontId="6" fillId="6" borderId="1" xfId="0" applyNumberFormat="1" applyFont="1" applyFill="1" applyBorder="1" applyAlignment="1">
      <alignment horizontal="center" vertical="center"/>
    </xf>
    <xf numFmtId="166" fontId="6" fillId="6" borderId="1" xfId="0" applyNumberFormat="1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right" vertical="center" wrapText="1"/>
    </xf>
    <xf numFmtId="166" fontId="6" fillId="0" borderId="1" xfId="0" applyNumberFormat="1" applyFont="1" applyBorder="1" applyAlignment="1">
      <alignment horizontal="center" vertical="center"/>
    </xf>
    <xf numFmtId="10" fontId="6" fillId="0" borderId="0" xfId="2" applyNumberFormat="1" applyFont="1" applyAlignment="1">
      <alignment horizontal="center" vertical="center"/>
    </xf>
    <xf numFmtId="2" fontId="6" fillId="6" borderId="1" xfId="0" applyNumberFormat="1" applyFont="1" applyFill="1" applyBorder="1" applyAlignment="1">
      <alignment horizontal="center" vertical="center"/>
    </xf>
    <xf numFmtId="0" fontId="10" fillId="5" borderId="2" xfId="0" applyFont="1" applyFill="1" applyBorder="1" applyAlignment="1">
      <alignment horizontal="right" vertical="center" wrapText="1"/>
    </xf>
    <xf numFmtId="2" fontId="6" fillId="0" borderId="1" xfId="0" applyNumberFormat="1" applyFont="1" applyBorder="1" applyAlignment="1">
      <alignment horizontal="center" vertical="center"/>
    </xf>
    <xf numFmtId="168" fontId="6" fillId="0" borderId="1" xfId="2" applyNumberFormat="1" applyFont="1" applyBorder="1" applyAlignment="1">
      <alignment horizontal="center" vertical="center"/>
    </xf>
    <xf numFmtId="168" fontId="11" fillId="9" borderId="1" xfId="2" applyNumberFormat="1" applyFont="1" applyFill="1" applyBorder="1" applyAlignment="1">
      <alignment horizontal="center" vertical="center"/>
    </xf>
    <xf numFmtId="1" fontId="6" fillId="0" borderId="1" xfId="0" applyNumberFormat="1" applyFont="1" applyBorder="1" applyAlignment="1">
      <alignment horizontal="center" vertical="center"/>
    </xf>
    <xf numFmtId="165" fontId="6" fillId="0" borderId="1" xfId="0" applyNumberFormat="1" applyFont="1" applyBorder="1" applyAlignment="1">
      <alignment horizontal="center" vertical="center"/>
    </xf>
    <xf numFmtId="4" fontId="6" fillId="0" borderId="1" xfId="1" applyNumberFormat="1" applyFont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1" fontId="6" fillId="7" borderId="1" xfId="0" applyNumberFormat="1" applyFont="1" applyFill="1" applyBorder="1" applyAlignment="1">
      <alignment horizontal="center" vertical="center"/>
    </xf>
    <xf numFmtId="2" fontId="6" fillId="7" borderId="1" xfId="0" applyNumberFormat="1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right" vertical="center" wrapText="1"/>
    </xf>
    <xf numFmtId="49" fontId="6" fillId="4" borderId="0" xfId="0" applyNumberFormat="1" applyFont="1" applyFill="1" applyAlignment="1">
      <alignment vertical="center"/>
    </xf>
    <xf numFmtId="49" fontId="6" fillId="0" borderId="0" xfId="0" applyNumberFormat="1" applyFont="1" applyAlignment="1">
      <alignment vertical="center"/>
    </xf>
    <xf numFmtId="0" fontId="13" fillId="0" borderId="0" xfId="0" applyFont="1"/>
    <xf numFmtId="0" fontId="10" fillId="0" borderId="0" xfId="0" applyFont="1" applyAlignment="1">
      <alignment horizontal="center" vertical="center" wrapText="1"/>
    </xf>
    <xf numFmtId="166" fontId="6" fillId="0" borderId="0" xfId="0" applyNumberFormat="1" applyFont="1" applyAlignment="1">
      <alignment vertical="center"/>
    </xf>
    <xf numFmtId="0" fontId="6" fillId="2" borderId="1" xfId="0" applyFont="1" applyFill="1" applyBorder="1" applyAlignment="1">
      <alignment horizontal="center" vertical="center"/>
    </xf>
    <xf numFmtId="1" fontId="6" fillId="2" borderId="1" xfId="0" applyNumberFormat="1" applyFont="1" applyFill="1" applyBorder="1" applyAlignment="1">
      <alignment horizontal="center" vertical="center"/>
    </xf>
    <xf numFmtId="2" fontId="6" fillId="2" borderId="1" xfId="0" applyNumberFormat="1" applyFont="1" applyFill="1" applyBorder="1" applyAlignment="1">
      <alignment horizontal="center" vertical="center"/>
    </xf>
    <xf numFmtId="1" fontId="6" fillId="4" borderId="0" xfId="0" applyNumberFormat="1" applyFont="1" applyFill="1" applyAlignment="1">
      <alignment vertical="center"/>
    </xf>
    <xf numFmtId="2" fontId="6" fillId="0" borderId="0" xfId="0" applyNumberFormat="1" applyFont="1" applyAlignment="1">
      <alignment vertical="center"/>
    </xf>
    <xf numFmtId="2" fontId="6" fillId="4" borderId="0" xfId="0" applyNumberFormat="1" applyFont="1" applyFill="1" applyAlignment="1">
      <alignment vertical="center"/>
    </xf>
    <xf numFmtId="10" fontId="6" fillId="0" borderId="0" xfId="2" applyNumberFormat="1" applyFont="1" applyAlignment="1">
      <alignment vertical="center"/>
    </xf>
    <xf numFmtId="0" fontId="6" fillId="8" borderId="1" xfId="0" applyFont="1" applyFill="1" applyBorder="1" applyAlignment="1">
      <alignment horizontal="center" vertical="center"/>
    </xf>
    <xf numFmtId="1" fontId="6" fillId="8" borderId="1" xfId="0" applyNumberFormat="1" applyFont="1" applyFill="1" applyBorder="1" applyAlignment="1">
      <alignment horizontal="center" vertical="center"/>
    </xf>
    <xf numFmtId="2" fontId="6" fillId="8" borderId="1" xfId="0" applyNumberFormat="1" applyFont="1" applyFill="1" applyBorder="1" applyAlignment="1">
      <alignment horizontal="center"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vertical="center" wrapText="1"/>
    </xf>
    <xf numFmtId="0" fontId="6" fillId="0" borderId="0" xfId="0" applyFont="1" applyAlignment="1">
      <alignment horizontal="right" vertical="center" wrapText="1"/>
    </xf>
    <xf numFmtId="2" fontId="6" fillId="0" borderId="0" xfId="0" applyNumberFormat="1" applyFont="1" applyAlignment="1">
      <alignment horizontal="right" vertical="center" wrapText="1"/>
    </xf>
    <xf numFmtId="167" fontId="6" fillId="0" borderId="0" xfId="0" applyNumberFormat="1" applyFont="1" applyAlignment="1">
      <alignment vertical="center"/>
    </xf>
    <xf numFmtId="10" fontId="6" fillId="0" borderId="0" xfId="0" applyNumberFormat="1" applyFont="1" applyAlignment="1">
      <alignment horizontal="right" vertical="center" wrapText="1"/>
    </xf>
    <xf numFmtId="0" fontId="6" fillId="0" borderId="1" xfId="0" applyFont="1" applyBorder="1" applyAlignment="1">
      <alignment horizontal="center" vertical="center"/>
    </xf>
    <xf numFmtId="1" fontId="6" fillId="0" borderId="0" xfId="0" applyNumberFormat="1" applyFont="1" applyAlignment="1">
      <alignment vertical="center"/>
    </xf>
    <xf numFmtId="0" fontId="6" fillId="0" borderId="0" xfId="0" applyFont="1" applyAlignment="1">
      <alignment horizontal="center" vertical="center"/>
    </xf>
    <xf numFmtId="166" fontId="6" fillId="0" borderId="0" xfId="0" applyNumberFormat="1" applyFont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1"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4004"/>
  <sheetViews>
    <sheetView showGridLines="0" tabSelected="1" workbookViewId="0">
      <selection activeCell="J19" sqref="J19"/>
    </sheetView>
  </sheetViews>
  <sheetFormatPr defaultColWidth="8.85546875" defaultRowHeight="15.75" x14ac:dyDescent="0.2"/>
  <cols>
    <col min="1" max="1" width="4.28515625" style="47" bestFit="1" customWidth="1"/>
    <col min="2" max="2" width="5.42578125" style="47" bestFit="1" customWidth="1"/>
    <col min="3" max="3" width="7.85546875" style="47" bestFit="1" customWidth="1"/>
    <col min="4" max="4" width="7.7109375" style="47" bestFit="1" customWidth="1"/>
    <col min="5" max="5" width="6.7109375" style="47" bestFit="1" customWidth="1"/>
    <col min="6" max="6" width="8.42578125" style="47" bestFit="1" customWidth="1"/>
    <col min="7" max="7" width="7" style="47" bestFit="1" customWidth="1"/>
    <col min="8" max="8" width="6" style="47" bestFit="1" customWidth="1"/>
    <col min="9" max="9" width="1.7109375" style="2" customWidth="1"/>
    <col min="10" max="10" width="12.28515625" style="5" bestFit="1" customWidth="1"/>
    <col min="11" max="11" width="7.28515625" style="5" bestFit="1" customWidth="1"/>
    <col min="12" max="12" width="7.7109375" style="5" bestFit="1" customWidth="1"/>
    <col min="13" max="13" width="6.7109375" style="5" bestFit="1" customWidth="1"/>
    <col min="14" max="14" width="8.42578125" style="5" bestFit="1" customWidth="1"/>
    <col min="15" max="15" width="7" style="5" bestFit="1" customWidth="1"/>
    <col min="16" max="16" width="6" style="5" bestFit="1" customWidth="1"/>
    <col min="17" max="17" width="1.7109375" style="2" customWidth="1"/>
    <col min="18" max="18" width="7.5703125" style="47" bestFit="1" customWidth="1"/>
    <col min="19" max="19" width="1.7109375" style="2" customWidth="1"/>
    <col min="20" max="20" width="12.28515625" style="26" bestFit="1" customWidth="1"/>
    <col min="21" max="21" width="7.28515625" style="26" bestFit="1" customWidth="1"/>
    <col min="22" max="22" width="6.7109375" style="26" bestFit="1" customWidth="1"/>
    <col min="23" max="23" width="8.42578125" style="26" bestFit="1" customWidth="1"/>
    <col min="24" max="24" width="7.28515625" style="26" bestFit="1" customWidth="1"/>
    <col min="25" max="25" width="1.7109375" style="2" customWidth="1"/>
    <col min="26" max="26" width="7.5703125" style="47" bestFit="1" customWidth="1"/>
    <col min="27" max="27" width="1.7109375" style="2" customWidth="1"/>
    <col min="28" max="16384" width="8.85546875" style="5"/>
  </cols>
  <sheetData>
    <row r="1" spans="1:27" ht="25.9" customHeigh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J1" s="3" t="s">
        <v>8</v>
      </c>
      <c r="K1" s="4" t="s">
        <v>9</v>
      </c>
      <c r="L1" s="4" t="s">
        <v>3</v>
      </c>
      <c r="M1" s="4" t="s">
        <v>4</v>
      </c>
      <c r="N1" s="4" t="s">
        <v>5</v>
      </c>
      <c r="O1" s="4" t="s">
        <v>6</v>
      </c>
      <c r="P1" s="4" t="s">
        <v>7</v>
      </c>
      <c r="R1" s="1" t="s">
        <v>17</v>
      </c>
      <c r="T1" s="3" t="s">
        <v>14</v>
      </c>
      <c r="U1" s="4" t="s">
        <v>9</v>
      </c>
      <c r="V1" s="4" t="s">
        <v>4</v>
      </c>
      <c r="W1" s="4" t="s">
        <v>5</v>
      </c>
      <c r="X1" s="4" t="s">
        <v>15</v>
      </c>
      <c r="Z1" s="1" t="s">
        <v>18</v>
      </c>
    </row>
    <row r="2" spans="1:27" x14ac:dyDescent="0.2">
      <c r="A2" s="6">
        <v>1</v>
      </c>
      <c r="B2" s="6">
        <v>1999</v>
      </c>
      <c r="C2" s="7">
        <v>0</v>
      </c>
      <c r="D2" s="8">
        <v>0.50079859999999998</v>
      </c>
      <c r="E2" s="8">
        <v>0.3068458</v>
      </c>
      <c r="F2" s="8">
        <v>4.3373399999999999E-2</v>
      </c>
      <c r="G2" s="8">
        <v>0.95627079999999998</v>
      </c>
      <c r="H2" s="8">
        <v>0.33477380000000001</v>
      </c>
      <c r="J2" s="9" t="s">
        <v>10</v>
      </c>
      <c r="K2" s="10">
        <f t="array" ref="K2:P8">logit(C2:C4001,D2:H4001,1,1)</f>
        <v>-2.5434763914177547</v>
      </c>
      <c r="L2" s="10">
        <v>0.41439410128417592</v>
      </c>
      <c r="M2" s="10">
        <v>-1.4540206502370625</v>
      </c>
      <c r="N2" s="10">
        <v>-7.9990594865573668</v>
      </c>
      <c r="O2" s="10">
        <v>-1.59359420921132</v>
      </c>
      <c r="P2" s="10">
        <v>0.61972076129084475</v>
      </c>
      <c r="R2" s="11">
        <f t="shared" ref="R2:R22" si="0">1/(1+EXP(-(K$2+$M$2*E2+$N$2*F2+$O$2*G2)))</f>
        <v>7.6871331404839956E-3</v>
      </c>
      <c r="T2" s="9" t="s">
        <v>10</v>
      </c>
      <c r="U2" s="10">
        <f t="array" ref="U2:X8">logit(C2:C4001,E2:G4001,1,1)</f>
        <v>-2.318334754175102</v>
      </c>
      <c r="V2" s="10">
        <v>-1.4197443707022934</v>
      </c>
      <c r="W2" s="10">
        <v>-7.1793608452430071</v>
      </c>
      <c r="X2" s="10">
        <v>-1.6156155259630014</v>
      </c>
      <c r="Z2" s="11">
        <f t="shared" ref="Z2:Z65" si="1">1/(1+EXP(-(U$2+$V$2*E2+$W$2*F2+$X$2*G2)))</f>
        <v>9.8504720458490042E-3</v>
      </c>
    </row>
    <row r="3" spans="1:27" x14ac:dyDescent="0.2">
      <c r="A3" s="6">
        <v>1</v>
      </c>
      <c r="B3" s="6">
        <v>2000</v>
      </c>
      <c r="C3" s="7">
        <v>0</v>
      </c>
      <c r="D3" s="12">
        <v>0.54778020000000005</v>
      </c>
      <c r="E3" s="12">
        <v>0.32221369999999999</v>
      </c>
      <c r="F3" s="12">
        <v>5.1842600000000003E-2</v>
      </c>
      <c r="G3" s="12">
        <v>1.0645450000000001</v>
      </c>
      <c r="H3" s="12">
        <v>0.33459129999999998</v>
      </c>
      <c r="J3" s="13" t="s">
        <v>19</v>
      </c>
      <c r="K3" s="10">
        <v>0.26602938277551064</v>
      </c>
      <c r="L3" s="10">
        <v>0.57247783232659899</v>
      </c>
      <c r="M3" s="10">
        <v>0.22948616901319649</v>
      </c>
      <c r="N3" s="10">
        <v>2.7024041970893693</v>
      </c>
      <c r="O3" s="10">
        <v>0.32340546490117394</v>
      </c>
      <c r="P3" s="10">
        <v>0.34919851189780776</v>
      </c>
      <c r="R3" s="11">
        <f t="shared" si="0"/>
        <v>5.9220876625282774E-3</v>
      </c>
      <c r="T3" s="13" t="s">
        <v>19</v>
      </c>
      <c r="U3" s="10">
        <v>0.23563530254708823</v>
      </c>
      <c r="V3" s="10">
        <v>0.22876714552969435</v>
      </c>
      <c r="W3" s="10">
        <v>2.7253736205333747</v>
      </c>
      <c r="X3" s="10">
        <v>0.32476274203655053</v>
      </c>
      <c r="Z3" s="11">
        <f t="shared" si="1"/>
        <v>7.6309099759387464E-3</v>
      </c>
    </row>
    <row r="4" spans="1:27" x14ac:dyDescent="0.2">
      <c r="A4" s="6">
        <v>1</v>
      </c>
      <c r="B4" s="6">
        <v>2001</v>
      </c>
      <c r="C4" s="7">
        <v>0</v>
      </c>
      <c r="D4" s="12">
        <v>0.45100050000000003</v>
      </c>
      <c r="E4" s="12">
        <v>0.2251504</v>
      </c>
      <c r="F4" s="12">
        <v>2.6813199999999999E-2</v>
      </c>
      <c r="G4" s="12">
        <v>0.80409589999999997</v>
      </c>
      <c r="H4" s="12">
        <v>0.2455852</v>
      </c>
      <c r="J4" s="13" t="s">
        <v>11</v>
      </c>
      <c r="K4" s="14">
        <v>-9.560885210804221</v>
      </c>
      <c r="L4" s="14">
        <v>0.72386051980395949</v>
      </c>
      <c r="M4" s="14">
        <v>-6.3359838045553403</v>
      </c>
      <c r="N4" s="14">
        <v>-2.959978931046944</v>
      </c>
      <c r="O4" s="14">
        <v>-4.9275426118673957</v>
      </c>
      <c r="P4" s="14">
        <v>1.7746947371648731</v>
      </c>
      <c r="R4" s="11">
        <f t="shared" si="0"/>
        <v>1.2533559883347447E-2</v>
      </c>
      <c r="T4" s="13" t="s">
        <v>11</v>
      </c>
      <c r="U4" s="14">
        <v>-9.8386563011364441</v>
      </c>
      <c r="V4" s="14">
        <v>-6.2060676038728131</v>
      </c>
      <c r="W4" s="14">
        <v>-2.6342666528921477</v>
      </c>
      <c r="X4" s="14">
        <v>-4.9747563893310502</v>
      </c>
      <c r="Z4" s="11">
        <f t="shared" si="1"/>
        <v>1.5834511599670691E-2</v>
      </c>
    </row>
    <row r="5" spans="1:27" x14ac:dyDescent="0.2">
      <c r="A5" s="6">
        <v>1</v>
      </c>
      <c r="B5" s="6">
        <v>2002</v>
      </c>
      <c r="C5" s="7">
        <v>0</v>
      </c>
      <c r="D5" s="12">
        <v>0.30688690000000002</v>
      </c>
      <c r="E5" s="12">
        <v>0.1919362</v>
      </c>
      <c r="F5" s="12">
        <v>3.00583E-2</v>
      </c>
      <c r="G5" s="12">
        <v>0.38701049999999998</v>
      </c>
      <c r="H5" s="12">
        <v>0.25343759999999999</v>
      </c>
      <c r="J5" s="13" t="s">
        <v>12</v>
      </c>
      <c r="K5" s="15">
        <v>0</v>
      </c>
      <c r="L5" s="16">
        <v>0.46915137004551011</v>
      </c>
      <c r="M5" s="15">
        <v>2.3583157648943143E-10</v>
      </c>
      <c r="N5" s="15">
        <v>3.07660082035488E-3</v>
      </c>
      <c r="O5" s="15">
        <v>8.3270266992840902E-7</v>
      </c>
      <c r="P5" s="16">
        <v>7.5948304782557097E-2</v>
      </c>
      <c r="R5" s="11">
        <f t="shared" si="0"/>
        <v>2.4608874590874141E-2</v>
      </c>
      <c r="T5" s="13" t="s">
        <v>12</v>
      </c>
      <c r="U5" s="15">
        <v>0</v>
      </c>
      <c r="V5" s="15">
        <v>5.4326809717508695E-10</v>
      </c>
      <c r="W5" s="15">
        <v>8.431923946789599E-3</v>
      </c>
      <c r="X5" s="15">
        <v>6.53297449249024E-7</v>
      </c>
      <c r="Z5" s="11">
        <f t="shared" si="1"/>
        <v>3.1313411045816322E-2</v>
      </c>
    </row>
    <row r="6" spans="1:27" ht="31.5" x14ac:dyDescent="0.2">
      <c r="A6" s="6">
        <v>1</v>
      </c>
      <c r="B6" s="6">
        <v>2003</v>
      </c>
      <c r="C6" s="7">
        <v>0</v>
      </c>
      <c r="D6" s="12">
        <v>0.44724619999999998</v>
      </c>
      <c r="E6" s="12">
        <v>0.21736800000000001</v>
      </c>
      <c r="F6" s="12">
        <v>3.2458000000000001E-2</v>
      </c>
      <c r="G6" s="12">
        <v>0.79163850000000002</v>
      </c>
      <c r="H6" s="12">
        <v>0.27553070000000002</v>
      </c>
      <c r="J6" s="13" t="s">
        <v>16</v>
      </c>
      <c r="K6" s="10">
        <v>0.22205783344270311</v>
      </c>
      <c r="L6" s="17">
        <v>12</v>
      </c>
      <c r="M6" s="10" t="str">
        <v/>
      </c>
      <c r="N6" s="10" t="str">
        <v/>
      </c>
      <c r="O6" s="10" t="str">
        <v/>
      </c>
      <c r="P6" s="10" t="str">
        <v/>
      </c>
      <c r="R6" s="11">
        <f t="shared" si="0"/>
        <v>1.2361646284123543E-2</v>
      </c>
      <c r="T6" s="13" t="s">
        <v>16</v>
      </c>
      <c r="U6" s="10">
        <v>0.21736149866139615</v>
      </c>
      <c r="V6" s="17">
        <v>11</v>
      </c>
      <c r="W6" s="10" t="str">
        <v/>
      </c>
      <c r="X6" s="10" t="str">
        <v/>
      </c>
      <c r="Z6" s="11">
        <f t="shared" si="1"/>
        <v>1.5689450625266443E-2</v>
      </c>
    </row>
    <row r="7" spans="1:27" ht="31.5" x14ac:dyDescent="0.2">
      <c r="A7" s="6">
        <v>1</v>
      </c>
      <c r="B7" s="6">
        <v>2004</v>
      </c>
      <c r="C7" s="7">
        <v>0</v>
      </c>
      <c r="D7" s="12">
        <v>0.45761869999999999</v>
      </c>
      <c r="E7" s="12">
        <v>0.2240644</v>
      </c>
      <c r="F7" s="12">
        <v>3.18383E-2</v>
      </c>
      <c r="G7" s="12">
        <v>1.2881370000000001</v>
      </c>
      <c r="H7" s="12">
        <v>0.31819269999999999</v>
      </c>
      <c r="J7" s="13" t="s">
        <v>13</v>
      </c>
      <c r="K7" s="18">
        <v>160.14797186683234</v>
      </c>
      <c r="L7" s="19">
        <v>9.2049308428638438E-33</v>
      </c>
      <c r="M7" s="10" t="str">
        <v/>
      </c>
      <c r="N7" s="10" t="str">
        <v/>
      </c>
      <c r="O7" s="10" t="str">
        <v/>
      </c>
      <c r="P7" s="10" t="str">
        <v/>
      </c>
      <c r="R7" s="11">
        <f t="shared" si="0"/>
        <v>5.6148218448170079E-3</v>
      </c>
      <c r="T7" s="13" t="s">
        <v>13</v>
      </c>
      <c r="U7" s="18">
        <v>156.76097813293177</v>
      </c>
      <c r="V7" s="19">
        <v>9.1640941743657055E-34</v>
      </c>
      <c r="W7" s="10" t="str">
        <v/>
      </c>
      <c r="X7" s="10" t="str">
        <v/>
      </c>
      <c r="Z7" s="11">
        <f t="shared" si="1"/>
        <v>7.0604450315345868E-3</v>
      </c>
    </row>
    <row r="8" spans="1:27" ht="18.75" x14ac:dyDescent="0.2">
      <c r="A8" s="20">
        <v>2</v>
      </c>
      <c r="B8" s="20">
        <v>1999</v>
      </c>
      <c r="C8" s="21">
        <v>0</v>
      </c>
      <c r="D8" s="22">
        <v>6.0337999999999998E-3</v>
      </c>
      <c r="E8" s="22">
        <v>-2.8400100000000001E-2</v>
      </c>
      <c r="F8" s="22">
        <v>6.764E-3</v>
      </c>
      <c r="G8" s="22">
        <v>0.1102698</v>
      </c>
      <c r="H8" s="22">
        <v>0.2549882</v>
      </c>
      <c r="J8" s="23" t="s">
        <v>20</v>
      </c>
      <c r="K8" s="18">
        <v>-280.52570421026621</v>
      </c>
      <c r="L8" s="18">
        <v>-360.59969014368238</v>
      </c>
      <c r="M8" s="10" t="str">
        <v/>
      </c>
      <c r="N8" s="10" t="str">
        <v/>
      </c>
      <c r="O8" s="10" t="str">
        <v/>
      </c>
      <c r="P8" s="10" t="str">
        <v/>
      </c>
      <c r="R8" s="11">
        <f t="shared" si="0"/>
        <v>6.1110561989936002E-2</v>
      </c>
      <c r="T8" s="23" t="s">
        <v>20</v>
      </c>
      <c r="U8" s="18">
        <v>-282.2192010772165</v>
      </c>
      <c r="V8" s="18">
        <v>-360.59969014368238</v>
      </c>
      <c r="W8" s="10" t="str">
        <v/>
      </c>
      <c r="X8" s="10" t="str">
        <v/>
      </c>
      <c r="Z8" s="11">
        <f t="shared" si="1"/>
        <v>7.5527346841404441E-2</v>
      </c>
    </row>
    <row r="9" spans="1:27" x14ac:dyDescent="0.2">
      <c r="A9" s="20">
        <v>2</v>
      </c>
      <c r="B9" s="20">
        <v>2000</v>
      </c>
      <c r="C9" s="21">
        <v>0</v>
      </c>
      <c r="D9" s="22">
        <v>-0.11472830000000001</v>
      </c>
      <c r="E9" s="22">
        <v>-0.1186598</v>
      </c>
      <c r="F9" s="22">
        <v>3.08919E-2</v>
      </c>
      <c r="G9" s="22">
        <v>0.14964459999999999</v>
      </c>
      <c r="H9" s="22">
        <v>0.31572230000000001</v>
      </c>
      <c r="I9" s="24"/>
      <c r="K9" s="25"/>
      <c r="Q9" s="24"/>
      <c r="R9" s="11">
        <f t="shared" si="0"/>
        <v>5.4345189658855195E-2</v>
      </c>
      <c r="S9" s="24"/>
      <c r="Y9" s="24"/>
      <c r="Z9" s="11">
        <f t="shared" si="1"/>
        <v>6.8279684132290727E-2</v>
      </c>
      <c r="AA9" s="24"/>
    </row>
    <row r="10" spans="1:27" x14ac:dyDescent="0.2">
      <c r="A10" s="20">
        <v>2</v>
      </c>
      <c r="B10" s="20">
        <v>2001</v>
      </c>
      <c r="C10" s="21">
        <v>0</v>
      </c>
      <c r="D10" s="22">
        <v>6.1305199999999997E-2</v>
      </c>
      <c r="E10" s="22">
        <v>-0.1094951</v>
      </c>
      <c r="F10" s="22">
        <v>3.9947400000000001E-2</v>
      </c>
      <c r="G10" s="22">
        <v>0.41015030000000002</v>
      </c>
      <c r="H10" s="22">
        <v>0.28602539999999999</v>
      </c>
      <c r="R10" s="11">
        <f t="shared" si="0"/>
        <v>3.3652926860256505E-2</v>
      </c>
      <c r="Z10" s="11">
        <f t="shared" si="1"/>
        <v>4.2601848803276873E-2</v>
      </c>
    </row>
    <row r="11" spans="1:27" x14ac:dyDescent="0.2">
      <c r="A11" s="20">
        <v>2</v>
      </c>
      <c r="B11" s="20">
        <v>2002</v>
      </c>
      <c r="C11" s="21">
        <v>0</v>
      </c>
      <c r="D11" s="22">
        <v>5.06413E-2</v>
      </c>
      <c r="E11" s="22">
        <v>-8.6698899999999995E-2</v>
      </c>
      <c r="F11" s="22">
        <v>4.5355199999999998E-2</v>
      </c>
      <c r="G11" s="22">
        <v>0.25335439999999998</v>
      </c>
      <c r="H11" s="22">
        <v>0.34205629999999998</v>
      </c>
      <c r="O11" s="27"/>
      <c r="P11" s="27"/>
      <c r="R11" s="11">
        <f t="shared" si="0"/>
        <v>3.9773915707499399E-2</v>
      </c>
      <c r="Z11" s="11">
        <f t="shared" si="1"/>
        <v>5.0681224702585577E-2</v>
      </c>
    </row>
    <row r="12" spans="1:27" x14ac:dyDescent="0.2">
      <c r="A12" s="20">
        <v>2</v>
      </c>
      <c r="B12" s="20">
        <v>2003</v>
      </c>
      <c r="C12" s="21">
        <v>0</v>
      </c>
      <c r="D12" s="22">
        <v>0.1210532</v>
      </c>
      <c r="E12" s="22">
        <v>-0.1140413</v>
      </c>
      <c r="F12" s="22">
        <v>3.72976E-2</v>
      </c>
      <c r="G12" s="22">
        <v>0.45717649999999999</v>
      </c>
      <c r="H12" s="22">
        <v>0.31212220000000002</v>
      </c>
      <c r="O12" s="28"/>
      <c r="P12" s="28"/>
      <c r="R12" s="11">
        <f t="shared" si="0"/>
        <v>3.2153333838149285E-2</v>
      </c>
      <c r="Z12" s="11">
        <f t="shared" si="1"/>
        <v>4.0589109796756492E-2</v>
      </c>
    </row>
    <row r="13" spans="1:27" x14ac:dyDescent="0.2">
      <c r="A13" s="29">
        <v>3</v>
      </c>
      <c r="B13" s="29">
        <v>1999</v>
      </c>
      <c r="C13" s="30">
        <v>0</v>
      </c>
      <c r="D13" s="31">
        <v>-3.6352700000000002E-2</v>
      </c>
      <c r="E13" s="31">
        <v>0.26696360000000002</v>
      </c>
      <c r="F13" s="31">
        <v>4.7610699999999999E-2</v>
      </c>
      <c r="G13" s="31">
        <v>0.58529940000000003</v>
      </c>
      <c r="H13" s="31">
        <v>0.21168239999999999</v>
      </c>
      <c r="I13" s="32"/>
      <c r="O13" s="28"/>
      <c r="P13" s="28"/>
      <c r="Q13" s="32"/>
      <c r="R13" s="11">
        <f t="shared" si="0"/>
        <v>1.4130094290638882E-2</v>
      </c>
      <c r="S13" s="32"/>
      <c r="Y13" s="32"/>
      <c r="Z13" s="11">
        <f t="shared" si="1"/>
        <v>1.8256874164484672E-2</v>
      </c>
      <c r="AA13" s="32"/>
    </row>
    <row r="14" spans="1:27" x14ac:dyDescent="0.2">
      <c r="A14" s="29">
        <v>3</v>
      </c>
      <c r="B14" s="29">
        <v>2000</v>
      </c>
      <c r="C14" s="30">
        <v>0</v>
      </c>
      <c r="D14" s="31">
        <v>-3.5422700000000001E-2</v>
      </c>
      <c r="E14" s="31">
        <v>0.25279299999999999</v>
      </c>
      <c r="F14" s="31">
        <v>3.1855300000000003E-2</v>
      </c>
      <c r="G14" s="31">
        <v>0.3274492</v>
      </c>
      <c r="H14" s="31">
        <v>0.2120515</v>
      </c>
      <c r="I14" s="32"/>
      <c r="O14" s="33"/>
      <c r="P14" s="33"/>
      <c r="Q14" s="32"/>
      <c r="R14" s="11">
        <f t="shared" si="0"/>
        <v>2.4418891628526118E-2</v>
      </c>
      <c r="S14" s="32"/>
      <c r="Y14" s="32"/>
      <c r="Z14" s="11">
        <f t="shared" si="1"/>
        <v>3.1220294437850155E-2</v>
      </c>
      <c r="AA14" s="32"/>
    </row>
    <row r="15" spans="1:27" x14ac:dyDescent="0.2">
      <c r="A15" s="29">
        <v>3</v>
      </c>
      <c r="B15" s="29">
        <v>2001</v>
      </c>
      <c r="C15" s="30">
        <v>0</v>
      </c>
      <c r="D15" s="31">
        <v>1.5918E-3</v>
      </c>
      <c r="E15" s="31">
        <v>0.14866099999999999</v>
      </c>
      <c r="F15" s="31">
        <v>-2.6662999999999999E-3</v>
      </c>
      <c r="G15" s="31">
        <v>0.16205120000000001</v>
      </c>
      <c r="H15" s="31">
        <v>0.15609219999999999</v>
      </c>
      <c r="I15" s="34"/>
      <c r="O15" s="28"/>
      <c r="P15" s="28"/>
      <c r="Q15" s="34"/>
      <c r="R15" s="11">
        <f t="shared" si="0"/>
        <v>4.7582043445755284E-2</v>
      </c>
      <c r="S15" s="34"/>
      <c r="Y15" s="34"/>
      <c r="Z15" s="11">
        <f t="shared" si="1"/>
        <v>5.8852504696257919E-2</v>
      </c>
      <c r="AA15" s="34"/>
    </row>
    <row r="16" spans="1:27" x14ac:dyDescent="0.2">
      <c r="A16" s="29">
        <v>3</v>
      </c>
      <c r="B16" s="29">
        <v>2002</v>
      </c>
      <c r="C16" s="30">
        <v>0</v>
      </c>
      <c r="D16" s="31">
        <v>-4.87345E-2</v>
      </c>
      <c r="E16" s="31">
        <v>1.6938700000000001E-2</v>
      </c>
      <c r="F16" s="31">
        <v>8.6358000000000008E-3</v>
      </c>
      <c r="G16" s="31">
        <v>7.3447499999999999E-2</v>
      </c>
      <c r="H16" s="31">
        <v>0.1641156</v>
      </c>
      <c r="I16" s="34"/>
      <c r="O16" s="28"/>
      <c r="P16" s="28"/>
      <c r="Q16" s="34"/>
      <c r="R16" s="11">
        <f t="shared" si="0"/>
        <v>5.9848233513567564E-2</v>
      </c>
      <c r="S16" s="34"/>
      <c r="Y16" s="34"/>
      <c r="Z16" s="11">
        <f t="shared" si="1"/>
        <v>7.4258291353739847E-2</v>
      </c>
      <c r="AA16" s="34"/>
    </row>
    <row r="17" spans="1:27" x14ac:dyDescent="0.2">
      <c r="A17" s="29">
        <v>3</v>
      </c>
      <c r="B17" s="29">
        <v>2003</v>
      </c>
      <c r="C17" s="30">
        <v>0</v>
      </c>
      <c r="D17" s="31">
        <v>-3.41435E-2</v>
      </c>
      <c r="E17" s="31">
        <v>-1.33432E-2</v>
      </c>
      <c r="F17" s="31">
        <v>2.3561700000000001E-2</v>
      </c>
      <c r="G17" s="31">
        <v>0.10368819999999999</v>
      </c>
      <c r="H17" s="31">
        <v>0.17739460000000001</v>
      </c>
      <c r="I17" s="34"/>
      <c r="O17" s="28"/>
      <c r="P17" s="35"/>
      <c r="Q17" s="34"/>
      <c r="R17" s="11">
        <f t="shared" si="0"/>
        <v>5.3262796843219447E-2</v>
      </c>
      <c r="S17" s="34"/>
      <c r="Y17" s="34"/>
      <c r="Z17" s="11">
        <f t="shared" si="1"/>
        <v>6.685284605483599E-2</v>
      </c>
      <c r="AA17" s="34"/>
    </row>
    <row r="18" spans="1:27" x14ac:dyDescent="0.2">
      <c r="A18" s="29">
        <v>3</v>
      </c>
      <c r="B18" s="29">
        <v>2004</v>
      </c>
      <c r="C18" s="30">
        <v>0</v>
      </c>
      <c r="D18" s="31">
        <v>-3.4844300000000002E-2</v>
      </c>
      <c r="E18" s="31">
        <v>-4.1509200000000003E-2</v>
      </c>
      <c r="F18" s="31">
        <v>1.73981E-2</v>
      </c>
      <c r="G18" s="31">
        <v>8.6528999999999995E-2</v>
      </c>
      <c r="H18" s="31">
        <v>0.18687509999999999</v>
      </c>
      <c r="I18" s="34"/>
      <c r="O18" s="28"/>
      <c r="P18" s="35"/>
      <c r="Q18" s="34"/>
      <c r="R18" s="11">
        <f t="shared" si="0"/>
        <v>5.9514194576860524E-2</v>
      </c>
      <c r="S18" s="34"/>
      <c r="Y18" s="34"/>
      <c r="Z18" s="11">
        <f t="shared" si="1"/>
        <v>7.4185365548694898E-2</v>
      </c>
      <c r="AA18" s="34"/>
    </row>
    <row r="19" spans="1:27" x14ac:dyDescent="0.2">
      <c r="A19" s="36">
        <v>4</v>
      </c>
      <c r="B19" s="36">
        <v>1995</v>
      </c>
      <c r="C19" s="37">
        <v>0</v>
      </c>
      <c r="D19" s="38">
        <v>2.37284E-2</v>
      </c>
      <c r="E19" s="38">
        <v>4.6904599999999998E-2</v>
      </c>
      <c r="F19" s="38">
        <v>4.72968E-2</v>
      </c>
      <c r="G19" s="38">
        <v>0.55471930000000003</v>
      </c>
      <c r="H19" s="38">
        <v>7.2571899999999995E-2</v>
      </c>
      <c r="I19" s="34"/>
      <c r="K19" s="25"/>
      <c r="L19" s="33"/>
      <c r="M19" s="33"/>
      <c r="N19" s="33"/>
      <c r="O19" s="33"/>
      <c r="P19" s="35"/>
      <c r="Q19" s="34"/>
      <c r="R19" s="11">
        <f t="shared" si="0"/>
        <v>2.0352201511506497E-2</v>
      </c>
      <c r="S19" s="34"/>
      <c r="Y19" s="34"/>
      <c r="Z19" s="11">
        <f t="shared" si="1"/>
        <v>2.6066267900397753E-2</v>
      </c>
      <c r="AA19" s="34"/>
    </row>
    <row r="20" spans="1:27" x14ac:dyDescent="0.2">
      <c r="A20" s="36">
        <v>4</v>
      </c>
      <c r="B20" s="36">
        <v>1996</v>
      </c>
      <c r="C20" s="37">
        <v>0</v>
      </c>
      <c r="D20" s="38">
        <v>1.53945E-2</v>
      </c>
      <c r="E20" s="38">
        <v>7.6581200000000002E-2</v>
      </c>
      <c r="F20" s="38">
        <v>3.4475400000000003E-2</v>
      </c>
      <c r="G20" s="38">
        <v>0.6033657</v>
      </c>
      <c r="H20" s="38">
        <v>9.4719200000000003E-2</v>
      </c>
      <c r="P20" s="35"/>
      <c r="R20" s="11">
        <f t="shared" si="0"/>
        <v>1.9994167863223063E-2</v>
      </c>
      <c r="Z20" s="11">
        <f t="shared" si="1"/>
        <v>2.5348045491055737E-2</v>
      </c>
    </row>
    <row r="21" spans="1:27" x14ac:dyDescent="0.2">
      <c r="A21" s="36">
        <v>4</v>
      </c>
      <c r="B21" s="36">
        <v>1997</v>
      </c>
      <c r="C21" s="37">
        <v>0</v>
      </c>
      <c r="D21" s="38">
        <v>2.5840800000000001E-2</v>
      </c>
      <c r="E21" s="38">
        <v>0.1059324</v>
      </c>
      <c r="F21" s="38">
        <v>4.3509800000000001E-2</v>
      </c>
      <c r="G21" s="38">
        <v>0.7934194</v>
      </c>
      <c r="H21" s="38">
        <v>9.9376999999999993E-2</v>
      </c>
      <c r="P21" s="35"/>
      <c r="R21" s="11">
        <f t="shared" si="0"/>
        <v>1.3256392747923798E-2</v>
      </c>
      <c r="Z21" s="11">
        <f t="shared" si="1"/>
        <v>1.6907183634214382E-2</v>
      </c>
    </row>
    <row r="22" spans="1:27" x14ac:dyDescent="0.2">
      <c r="A22" s="36">
        <v>4</v>
      </c>
      <c r="B22" s="36">
        <v>1998</v>
      </c>
      <c r="C22" s="37">
        <v>0</v>
      </c>
      <c r="D22" s="38">
        <v>9.5810000000000003E-4</v>
      </c>
      <c r="E22" s="38">
        <v>0.1224919</v>
      </c>
      <c r="F22" s="38">
        <v>3.6776299999999998E-2</v>
      </c>
      <c r="G22" s="38">
        <v>0.81861150000000005</v>
      </c>
      <c r="H22" s="38">
        <v>9.2793899999999999E-2</v>
      </c>
      <c r="J22" s="39"/>
      <c r="K22" s="40"/>
      <c r="L22" s="40"/>
      <c r="M22" s="40"/>
      <c r="P22" s="35"/>
      <c r="R22" s="11">
        <f t="shared" si="0"/>
        <v>1.3121530099566103E-2</v>
      </c>
      <c r="Z22" s="11">
        <f t="shared" si="1"/>
        <v>1.6645435495256228E-2</v>
      </c>
    </row>
    <row r="23" spans="1:27" x14ac:dyDescent="0.2">
      <c r="A23" s="36">
        <v>4</v>
      </c>
      <c r="B23" s="36">
        <v>1999</v>
      </c>
      <c r="C23" s="37">
        <v>0</v>
      </c>
      <c r="D23" s="38">
        <v>3.9468799999999998E-2</v>
      </c>
      <c r="E23" s="38">
        <v>0.14383109999999999</v>
      </c>
      <c r="F23" s="38">
        <v>2.4667000000000001E-2</v>
      </c>
      <c r="G23" s="38">
        <v>0.6260791</v>
      </c>
      <c r="H23" s="38">
        <v>0.1224316</v>
      </c>
      <c r="J23" s="41"/>
      <c r="K23" s="42"/>
      <c r="L23" s="25"/>
      <c r="N23" s="43"/>
      <c r="P23" s="35"/>
      <c r="R23" s="11">
        <f t="shared" ref="R23:R86" si="2">1/(1+EXP(-(K$2+$M$2*E23+$N$2*F23+$O$2*G23)))</f>
        <v>1.8934777926108967E-2</v>
      </c>
      <c r="Z23" s="11">
        <f t="shared" si="1"/>
        <v>2.386624375114987E-2</v>
      </c>
    </row>
    <row r="24" spans="1:27" x14ac:dyDescent="0.2">
      <c r="A24" s="36">
        <v>4</v>
      </c>
      <c r="B24" s="36">
        <v>2000</v>
      </c>
      <c r="C24" s="37">
        <v>0</v>
      </c>
      <c r="D24" s="38">
        <v>-4.5802000000000002E-2</v>
      </c>
      <c r="E24" s="38">
        <v>0.14746719999999999</v>
      </c>
      <c r="F24" s="38">
        <v>4.2033500000000001E-2</v>
      </c>
      <c r="G24" s="38">
        <v>0.89065989999999995</v>
      </c>
      <c r="H24" s="38">
        <v>0.14724019999999999</v>
      </c>
      <c r="J24" s="41"/>
      <c r="K24" s="41"/>
      <c r="L24" s="25"/>
      <c r="N24" s="43"/>
      <c r="R24" s="11">
        <f t="shared" si="2"/>
        <v>1.0841473699046689E-2</v>
      </c>
      <c r="Z24" s="11">
        <f t="shared" si="1"/>
        <v>1.3810244580870181E-2</v>
      </c>
    </row>
    <row r="25" spans="1:27" x14ac:dyDescent="0.2">
      <c r="A25" s="36">
        <v>4</v>
      </c>
      <c r="B25" s="36">
        <v>2001</v>
      </c>
      <c r="C25" s="37">
        <v>0</v>
      </c>
      <c r="D25" s="38">
        <v>-1.2081400000000001E-2</v>
      </c>
      <c r="E25" s="38">
        <v>0.14284669999999999</v>
      </c>
      <c r="F25" s="38">
        <v>3.6204699999999999E-2</v>
      </c>
      <c r="G25" s="38">
        <v>0.68315539999999997</v>
      </c>
      <c r="H25" s="38">
        <v>0.1103368</v>
      </c>
      <c r="J25" s="41"/>
      <c r="K25" s="44"/>
      <c r="L25" s="25"/>
      <c r="R25" s="11">
        <f t="shared" si="2"/>
        <v>1.5836814178941682E-2</v>
      </c>
      <c r="Z25" s="11">
        <f t="shared" si="1"/>
        <v>2.013838555767675E-2</v>
      </c>
    </row>
    <row r="26" spans="1:27" x14ac:dyDescent="0.2">
      <c r="A26" s="36">
        <v>4</v>
      </c>
      <c r="B26" s="36">
        <v>2002</v>
      </c>
      <c r="C26" s="37">
        <v>0</v>
      </c>
      <c r="D26" s="38">
        <v>-1.0013000000000001E-3</v>
      </c>
      <c r="E26" s="38">
        <v>0.15111330000000001</v>
      </c>
      <c r="F26" s="38">
        <v>3.3298899999999999E-2</v>
      </c>
      <c r="G26" s="38">
        <v>0.5751773</v>
      </c>
      <c r="H26" s="38">
        <v>8.8600200000000004E-2</v>
      </c>
      <c r="R26" s="11">
        <f t="shared" si="2"/>
        <v>1.8962313856877203E-2</v>
      </c>
      <c r="Z26" s="11">
        <f t="shared" si="1"/>
        <v>2.4098614183557413E-2</v>
      </c>
    </row>
    <row r="27" spans="1:27" x14ac:dyDescent="0.2">
      <c r="A27" s="36">
        <v>4</v>
      </c>
      <c r="B27" s="36">
        <v>2003</v>
      </c>
      <c r="C27" s="37">
        <v>0</v>
      </c>
      <c r="D27" s="38">
        <v>9.7894999999999996E-3</v>
      </c>
      <c r="E27" s="38">
        <v>0.14604919999999999</v>
      </c>
      <c r="F27" s="38">
        <v>4.2586600000000002E-2</v>
      </c>
      <c r="G27" s="38">
        <v>0.57736209999999999</v>
      </c>
      <c r="H27" s="38">
        <v>0.1117286</v>
      </c>
      <c r="R27" s="11">
        <f t="shared" si="2"/>
        <v>1.7695889051365453E-2</v>
      </c>
      <c r="Z27" s="11">
        <f t="shared" si="1"/>
        <v>2.266013985223295E-2</v>
      </c>
    </row>
    <row r="28" spans="1:27" x14ac:dyDescent="0.2">
      <c r="A28" s="36">
        <v>4</v>
      </c>
      <c r="B28" s="36">
        <v>2004</v>
      </c>
      <c r="C28" s="37">
        <v>0</v>
      </c>
      <c r="D28" s="38">
        <v>-7.9076000000000007E-3</v>
      </c>
      <c r="E28" s="38">
        <v>0.16433829999999999</v>
      </c>
      <c r="F28" s="38">
        <v>4.5520600000000001E-2</v>
      </c>
      <c r="G28" s="38">
        <v>0.62229690000000004</v>
      </c>
      <c r="H28" s="38">
        <v>0.10629379999999999</v>
      </c>
      <c r="R28" s="11">
        <f t="shared" si="2"/>
        <v>1.5700488640118502E-2</v>
      </c>
      <c r="Z28" s="11">
        <f t="shared" si="1"/>
        <v>2.0156728527718871E-2</v>
      </c>
    </row>
    <row r="29" spans="1:27" x14ac:dyDescent="0.2">
      <c r="A29" s="45">
        <v>5</v>
      </c>
      <c r="B29" s="45">
        <v>1999</v>
      </c>
      <c r="C29" s="17">
        <v>0</v>
      </c>
      <c r="D29" s="14">
        <v>0.1523052</v>
      </c>
      <c r="E29" s="14">
        <v>0.42399959999999998</v>
      </c>
      <c r="F29" s="14">
        <v>9.6685999999999994E-2</v>
      </c>
      <c r="G29" s="14">
        <v>7.9581249999999999</v>
      </c>
      <c r="H29" s="14">
        <v>0.27485520000000002</v>
      </c>
      <c r="I29" s="34"/>
      <c r="L29" s="46"/>
      <c r="M29" s="33"/>
      <c r="N29" s="33"/>
      <c r="O29" s="33"/>
      <c r="P29" s="33"/>
      <c r="Q29" s="34"/>
      <c r="R29" s="11">
        <f t="shared" si="2"/>
        <v>6.0816809872334076E-8</v>
      </c>
      <c r="S29" s="34"/>
      <c r="Y29" s="34"/>
      <c r="Z29" s="11">
        <f t="shared" si="1"/>
        <v>7.0213877525285338E-8</v>
      </c>
      <c r="AA29" s="34"/>
    </row>
    <row r="30" spans="1:27" x14ac:dyDescent="0.2">
      <c r="A30" s="45">
        <v>5</v>
      </c>
      <c r="B30" s="45">
        <v>2000</v>
      </c>
      <c r="C30" s="17">
        <v>0</v>
      </c>
      <c r="D30" s="14">
        <v>0.23382030000000001</v>
      </c>
      <c r="E30" s="14">
        <v>0.46695249999999999</v>
      </c>
      <c r="F30" s="14">
        <v>9.2200799999999999E-2</v>
      </c>
      <c r="G30" s="14">
        <v>11.16999</v>
      </c>
      <c r="H30" s="14">
        <v>0.2733042</v>
      </c>
      <c r="I30" s="34"/>
      <c r="L30" s="46"/>
      <c r="M30" s="33"/>
      <c r="N30" s="33"/>
      <c r="O30" s="33"/>
      <c r="P30" s="33"/>
      <c r="Q30" s="34"/>
      <c r="R30" s="11">
        <f t="shared" si="2"/>
        <v>3.544740287385344E-10</v>
      </c>
      <c r="S30" s="34"/>
      <c r="Y30" s="34"/>
      <c r="Z30" s="11">
        <f t="shared" si="1"/>
        <v>3.8046001860490508E-10</v>
      </c>
      <c r="AA30" s="34"/>
    </row>
    <row r="31" spans="1:27" x14ac:dyDescent="0.2">
      <c r="A31" s="45">
        <v>5</v>
      </c>
      <c r="B31" s="45">
        <v>2001</v>
      </c>
      <c r="C31" s="17">
        <v>0</v>
      </c>
      <c r="D31" s="14">
        <v>4.7898799999999998E-2</v>
      </c>
      <c r="E31" s="14">
        <v>0.31650410000000001</v>
      </c>
      <c r="F31" s="14">
        <v>8.3631700000000003E-2</v>
      </c>
      <c r="G31" s="14">
        <v>6.1182309999999998</v>
      </c>
      <c r="H31" s="14">
        <v>0.2136721</v>
      </c>
      <c r="R31" s="11">
        <f t="shared" si="2"/>
        <v>1.481235819535041E-6</v>
      </c>
      <c r="Z31" s="11">
        <f t="shared" si="1"/>
        <v>1.7553846148969317E-6</v>
      </c>
    </row>
    <row r="32" spans="1:27" x14ac:dyDescent="0.2">
      <c r="A32" s="45">
        <v>5</v>
      </c>
      <c r="B32" s="45">
        <v>2002</v>
      </c>
      <c r="C32" s="17">
        <v>0</v>
      </c>
      <c r="D32" s="14">
        <v>0.1230267</v>
      </c>
      <c r="E32" s="14">
        <v>0.36383959999999999</v>
      </c>
      <c r="F32" s="14">
        <v>7.2795799999999994E-2</v>
      </c>
      <c r="G32" s="14">
        <v>4.6303539999999996</v>
      </c>
      <c r="H32" s="14">
        <v>0.2169732</v>
      </c>
      <c r="R32" s="11">
        <f t="shared" si="2"/>
        <v>1.6147810557149621E-5</v>
      </c>
      <c r="Z32" s="11">
        <f t="shared" si="1"/>
        <v>1.9630761880302035E-5</v>
      </c>
    </row>
    <row r="33" spans="1:26" x14ac:dyDescent="0.2">
      <c r="A33" s="45">
        <v>5</v>
      </c>
      <c r="B33" s="45">
        <v>2003</v>
      </c>
      <c r="C33" s="17">
        <v>0</v>
      </c>
      <c r="D33" s="14">
        <v>0.13820850000000001</v>
      </c>
      <c r="E33" s="14">
        <v>0.41132210000000002</v>
      </c>
      <c r="F33" s="14">
        <v>7.6402200000000003E-2</v>
      </c>
      <c r="G33" s="14">
        <v>5.3768060000000002</v>
      </c>
      <c r="H33" s="14">
        <v>0.22068779999999999</v>
      </c>
      <c r="R33" s="11">
        <f t="shared" si="2"/>
        <v>4.4565112739844938E-6</v>
      </c>
      <c r="Z33" s="11">
        <f t="shared" si="1"/>
        <v>5.3539146144473066E-6</v>
      </c>
    </row>
    <row r="34" spans="1:26" x14ac:dyDescent="0.2">
      <c r="A34" s="45">
        <v>5</v>
      </c>
      <c r="B34" s="45">
        <v>2004</v>
      </c>
      <c r="C34" s="17">
        <v>0</v>
      </c>
      <c r="D34" s="14">
        <v>0.15924140000000001</v>
      </c>
      <c r="E34" s="14">
        <v>0.42921550000000003</v>
      </c>
      <c r="F34" s="14">
        <v>6.9641900000000007E-2</v>
      </c>
      <c r="G34" s="14">
        <v>5.0608820000000003</v>
      </c>
      <c r="H34" s="14">
        <v>0.22095290000000001</v>
      </c>
      <c r="R34" s="11">
        <f t="shared" si="2"/>
        <v>7.5827538149602067E-6</v>
      </c>
      <c r="Z34" s="11">
        <f t="shared" si="1"/>
        <v>9.128181728859098E-6</v>
      </c>
    </row>
    <row r="35" spans="1:26" x14ac:dyDescent="0.2">
      <c r="A35" s="45">
        <v>6</v>
      </c>
      <c r="B35" s="45">
        <v>1998</v>
      </c>
      <c r="C35" s="17">
        <v>0</v>
      </c>
      <c r="D35" s="14">
        <v>7.9795599999999994E-2</v>
      </c>
      <c r="E35" s="14">
        <v>9.5275899999999997E-2</v>
      </c>
      <c r="F35" s="14">
        <v>1.5059899999999999E-2</v>
      </c>
      <c r="G35" s="14">
        <v>0.74610019999999999</v>
      </c>
      <c r="H35" s="14">
        <v>0.14264550000000001</v>
      </c>
      <c r="R35" s="11">
        <f t="shared" si="2"/>
        <v>1.8137751962391615E-2</v>
      </c>
      <c r="Z35" s="11">
        <f t="shared" si="1"/>
        <v>2.259585594948128E-2</v>
      </c>
    </row>
    <row r="36" spans="1:26" x14ac:dyDescent="0.2">
      <c r="A36" s="45">
        <v>6</v>
      </c>
      <c r="B36" s="45">
        <v>1999</v>
      </c>
      <c r="C36" s="17">
        <v>0</v>
      </c>
      <c r="D36" s="14">
        <v>2.9503499999999998E-2</v>
      </c>
      <c r="E36" s="14">
        <v>4.1026199999999999E-2</v>
      </c>
      <c r="F36" s="14">
        <v>3.1301900000000001E-2</v>
      </c>
      <c r="G36" s="14">
        <v>0.80747400000000003</v>
      </c>
      <c r="H36" s="14">
        <v>0.13550599999999999</v>
      </c>
      <c r="R36" s="11">
        <f t="shared" si="2"/>
        <v>1.566864527049586E-2</v>
      </c>
      <c r="Z36" s="11">
        <f t="shared" si="1"/>
        <v>1.9726346612033693E-2</v>
      </c>
    </row>
    <row r="37" spans="1:26" x14ac:dyDescent="0.2">
      <c r="A37" s="45">
        <v>6</v>
      </c>
      <c r="B37" s="45">
        <v>2000</v>
      </c>
      <c r="C37" s="17">
        <v>0</v>
      </c>
      <c r="D37" s="14">
        <v>2.5676899999999999E-2</v>
      </c>
      <c r="E37" s="14">
        <v>-8.6209000000000008E-3</v>
      </c>
      <c r="F37" s="14">
        <v>6.2634499999999996E-2</v>
      </c>
      <c r="G37" s="14">
        <v>0.76515540000000004</v>
      </c>
      <c r="H37" s="14">
        <v>0.18306990000000001</v>
      </c>
      <c r="R37" s="11">
        <f t="shared" si="2"/>
        <v>1.4045533470108451E-2</v>
      </c>
      <c r="Z37" s="11">
        <f t="shared" si="1"/>
        <v>1.8128629192574713E-2</v>
      </c>
    </row>
    <row r="38" spans="1:26" x14ac:dyDescent="0.2">
      <c r="A38" s="45">
        <v>6</v>
      </c>
      <c r="B38" s="45">
        <v>2001</v>
      </c>
      <c r="C38" s="17">
        <v>0</v>
      </c>
      <c r="D38" s="14">
        <v>4.1828400000000002E-2</v>
      </c>
      <c r="E38" s="14">
        <v>1.4074000000000001E-3</v>
      </c>
      <c r="F38" s="14">
        <v>4.2676600000000002E-2</v>
      </c>
      <c r="G38" s="14">
        <v>0.64149829999999997</v>
      </c>
      <c r="H38" s="14">
        <v>0.13342509999999999</v>
      </c>
      <c r="R38" s="11">
        <f t="shared" si="2"/>
        <v>1.9662504115087014E-2</v>
      </c>
      <c r="Z38" s="11">
        <f t="shared" si="1"/>
        <v>2.501032292196604E-2</v>
      </c>
    </row>
    <row r="39" spans="1:26" x14ac:dyDescent="0.2">
      <c r="A39" s="45">
        <v>6</v>
      </c>
      <c r="B39" s="45">
        <v>2002</v>
      </c>
      <c r="C39" s="17">
        <v>0</v>
      </c>
      <c r="D39" s="14">
        <v>4.15267E-2</v>
      </c>
      <c r="E39" s="14">
        <v>-3.9614000000000003E-3</v>
      </c>
      <c r="F39" s="14">
        <v>2.5697899999999999E-2</v>
      </c>
      <c r="G39" s="14">
        <v>0.71072610000000003</v>
      </c>
      <c r="H39" s="14">
        <v>0.15321080000000001</v>
      </c>
      <c r="R39" s="11">
        <f t="shared" si="2"/>
        <v>2.0314743259827128E-2</v>
      </c>
      <c r="Z39" s="11">
        <f t="shared" si="1"/>
        <v>2.5444913177880848E-2</v>
      </c>
    </row>
    <row r="40" spans="1:26" x14ac:dyDescent="0.2">
      <c r="A40" s="45">
        <v>6</v>
      </c>
      <c r="B40" s="45">
        <v>2003</v>
      </c>
      <c r="C40" s="17">
        <v>0</v>
      </c>
      <c r="D40" s="14">
        <v>2.1824400000000001E-2</v>
      </c>
      <c r="E40" s="14">
        <v>-2.86293E-2</v>
      </c>
      <c r="F40" s="14">
        <v>3.01915E-2</v>
      </c>
      <c r="G40" s="14">
        <v>0.64877669999999998</v>
      </c>
      <c r="H40" s="14">
        <v>0.1750746</v>
      </c>
      <c r="R40" s="11">
        <f t="shared" si="2"/>
        <v>2.2373746678684969E-2</v>
      </c>
      <c r="Z40" s="11">
        <f t="shared" si="1"/>
        <v>2.8123646611740705E-2</v>
      </c>
    </row>
    <row r="41" spans="1:26" x14ac:dyDescent="0.2">
      <c r="A41" s="45">
        <v>6</v>
      </c>
      <c r="B41" s="45">
        <v>2004</v>
      </c>
      <c r="C41" s="17">
        <v>0</v>
      </c>
      <c r="D41" s="14">
        <v>8.0377000000000001E-3</v>
      </c>
      <c r="E41" s="14">
        <v>-4.7379400000000002E-2</v>
      </c>
      <c r="F41" s="14">
        <v>4.3104700000000003E-2</v>
      </c>
      <c r="G41" s="14">
        <v>0.55162690000000003</v>
      </c>
      <c r="H41" s="14">
        <v>0.2016917</v>
      </c>
      <c r="R41" s="11">
        <f t="shared" si="2"/>
        <v>2.4163489705299437E-2</v>
      </c>
      <c r="Z41" s="11">
        <f t="shared" si="1"/>
        <v>3.0716734371524963E-2</v>
      </c>
    </row>
    <row r="42" spans="1:26" x14ac:dyDescent="0.2">
      <c r="A42" s="45">
        <v>7</v>
      </c>
      <c r="B42" s="45">
        <v>1998</v>
      </c>
      <c r="C42" s="17">
        <v>0</v>
      </c>
      <c r="D42" s="14">
        <v>8.6693300000000001E-2</v>
      </c>
      <c r="E42" s="14">
        <v>-4.6342000000000001E-2</v>
      </c>
      <c r="F42" s="14">
        <v>4.7951500000000001E-2</v>
      </c>
      <c r="G42" s="14">
        <v>1.13462</v>
      </c>
      <c r="H42" s="14">
        <v>0.1896871</v>
      </c>
      <c r="R42" s="11">
        <f t="shared" si="2"/>
        <v>9.3056443697756147E-3</v>
      </c>
      <c r="Z42" s="11">
        <f t="shared" si="1"/>
        <v>1.177523266554862E-2</v>
      </c>
    </row>
    <row r="43" spans="1:26" x14ac:dyDescent="0.2">
      <c r="A43" s="45">
        <v>7</v>
      </c>
      <c r="B43" s="45">
        <v>1999</v>
      </c>
      <c r="C43" s="17">
        <v>0</v>
      </c>
      <c r="D43" s="14">
        <v>6.7510000000000001E-2</v>
      </c>
      <c r="E43" s="14">
        <v>-1.17479E-2</v>
      </c>
      <c r="F43" s="14">
        <v>6.7293599999999995E-2</v>
      </c>
      <c r="G43" s="14">
        <v>0.88055850000000002</v>
      </c>
      <c r="H43" s="14">
        <v>0.1836091</v>
      </c>
      <c r="R43" s="11">
        <f t="shared" si="2"/>
        <v>1.1340908770344429E-2</v>
      </c>
      <c r="Z43" s="11">
        <f t="shared" si="1"/>
        <v>1.4666347114021507E-2</v>
      </c>
    </row>
    <row r="44" spans="1:26" x14ac:dyDescent="0.2">
      <c r="A44" s="45">
        <v>7</v>
      </c>
      <c r="B44" s="45">
        <v>2000</v>
      </c>
      <c r="C44" s="17">
        <v>0</v>
      </c>
      <c r="D44" s="14">
        <v>5.31902E-2</v>
      </c>
      <c r="E44" s="14">
        <v>0.2398293</v>
      </c>
      <c r="F44" s="14">
        <v>2.7088399999999999E-2</v>
      </c>
      <c r="G44" s="14">
        <v>0.46290029999999999</v>
      </c>
      <c r="H44" s="14">
        <v>0.1379696</v>
      </c>
      <c r="R44" s="11">
        <f t="shared" si="2"/>
        <v>2.0906846376419711E-2</v>
      </c>
      <c r="Z44" s="11">
        <f t="shared" si="1"/>
        <v>2.6566529117188598E-2</v>
      </c>
    </row>
    <row r="45" spans="1:26" x14ac:dyDescent="0.2">
      <c r="A45" s="45">
        <v>7</v>
      </c>
      <c r="B45" s="45">
        <v>2001</v>
      </c>
      <c r="C45" s="17">
        <v>0</v>
      </c>
      <c r="D45" s="14">
        <v>-0.38003550000000003</v>
      </c>
      <c r="E45" s="14">
        <v>0.32729910000000001</v>
      </c>
      <c r="F45" s="14">
        <v>1.52205E-2</v>
      </c>
      <c r="G45" s="14">
        <v>1.216094</v>
      </c>
      <c r="H45" s="14">
        <v>0.1131646</v>
      </c>
      <c r="R45" s="11">
        <f t="shared" si="2"/>
        <v>6.1870778484790249E-3</v>
      </c>
      <c r="Z45" s="11">
        <f t="shared" si="1"/>
        <v>7.7135782050788693E-3</v>
      </c>
    </row>
    <row r="46" spans="1:26" x14ac:dyDescent="0.2">
      <c r="A46" s="45">
        <v>8</v>
      </c>
      <c r="B46" s="45">
        <v>1999</v>
      </c>
      <c r="C46" s="17">
        <v>0</v>
      </c>
      <c r="D46" s="14">
        <v>0.14048840000000001</v>
      </c>
      <c r="E46" s="14">
        <v>0.23074790000000001</v>
      </c>
      <c r="F46" s="14">
        <v>5.3958800000000001E-2</v>
      </c>
      <c r="G46" s="14">
        <v>1.802133</v>
      </c>
      <c r="H46" s="14">
        <v>0.25492979999999998</v>
      </c>
      <c r="R46" s="11">
        <f t="shared" si="2"/>
        <v>2.0610491224557579E-3</v>
      </c>
      <c r="Z46" s="11">
        <f t="shared" si="1"/>
        <v>2.6123702569691939E-3</v>
      </c>
    </row>
    <row r="47" spans="1:26" x14ac:dyDescent="0.2">
      <c r="A47" s="45">
        <v>8</v>
      </c>
      <c r="B47" s="45">
        <v>2000</v>
      </c>
      <c r="C47" s="17">
        <v>0</v>
      </c>
      <c r="D47" s="14">
        <v>0.27805530000000001</v>
      </c>
      <c r="E47" s="14">
        <v>0.33973609999999999</v>
      </c>
      <c r="F47" s="14">
        <v>6.0129299999999997E-2</v>
      </c>
      <c r="G47" s="14">
        <v>1.6977789999999999</v>
      </c>
      <c r="H47" s="14">
        <v>0.2373005</v>
      </c>
      <c r="R47" s="11">
        <f t="shared" si="2"/>
        <v>1.9773698924900832E-3</v>
      </c>
      <c r="Z47" s="11">
        <f t="shared" si="1"/>
        <v>2.5342471012262421E-3</v>
      </c>
    </row>
    <row r="48" spans="1:26" x14ac:dyDescent="0.2">
      <c r="A48" s="45">
        <v>8</v>
      </c>
      <c r="B48" s="45">
        <v>2001</v>
      </c>
      <c r="C48" s="17">
        <v>0</v>
      </c>
      <c r="D48" s="14">
        <v>0.21298790000000001</v>
      </c>
      <c r="E48" s="14">
        <v>0.31702010000000003</v>
      </c>
      <c r="F48" s="14">
        <v>2.3677199999999999E-2</v>
      </c>
      <c r="G48" s="14">
        <v>2.6131120000000001</v>
      </c>
      <c r="H48" s="14">
        <v>0.19518360000000001</v>
      </c>
      <c r="R48" s="11">
        <f t="shared" si="2"/>
        <v>6.3702422514201032E-4</v>
      </c>
      <c r="Z48" s="11">
        <f t="shared" si="1"/>
        <v>7.76300911942123E-4</v>
      </c>
    </row>
    <row r="49" spans="1:26" x14ac:dyDescent="0.2">
      <c r="A49" s="45">
        <v>8</v>
      </c>
      <c r="B49" s="45">
        <v>2002</v>
      </c>
      <c r="C49" s="17">
        <v>0</v>
      </c>
      <c r="D49" s="14">
        <v>0.1541534</v>
      </c>
      <c r="E49" s="14">
        <v>0.1474664</v>
      </c>
      <c r="F49" s="14">
        <v>-2.0901400000000001E-2</v>
      </c>
      <c r="G49" s="14">
        <v>0.74257200000000001</v>
      </c>
      <c r="H49" s="14">
        <v>0.1434946</v>
      </c>
      <c r="R49" s="11">
        <f t="shared" si="2"/>
        <v>2.2443337017012174E-2</v>
      </c>
      <c r="Z49" s="11">
        <f t="shared" si="1"/>
        <v>2.7189683310225653E-2</v>
      </c>
    </row>
    <row r="50" spans="1:26" x14ac:dyDescent="0.2">
      <c r="A50" s="45">
        <v>8</v>
      </c>
      <c r="B50" s="45">
        <v>2003</v>
      </c>
      <c r="C50" s="17">
        <v>0</v>
      </c>
      <c r="D50" s="14">
        <v>0.23069190000000001</v>
      </c>
      <c r="E50" s="14">
        <v>0.10470930000000001</v>
      </c>
      <c r="F50" s="14">
        <v>4.61991E-2</v>
      </c>
      <c r="G50" s="14">
        <v>1.142992</v>
      </c>
      <c r="H50" s="14">
        <v>0.2065941</v>
      </c>
      <c r="R50" s="11">
        <f t="shared" si="2"/>
        <v>7.4894620513162686E-3</v>
      </c>
      <c r="Z50" s="11">
        <f t="shared" si="1"/>
        <v>9.5151356861258047E-3</v>
      </c>
    </row>
    <row r="51" spans="1:26" x14ac:dyDescent="0.2">
      <c r="A51" s="45">
        <v>8</v>
      </c>
      <c r="B51" s="45">
        <v>2004</v>
      </c>
      <c r="C51" s="17">
        <v>0</v>
      </c>
      <c r="D51" s="14">
        <v>0.2059725</v>
      </c>
      <c r="E51" s="14">
        <v>0.1323696</v>
      </c>
      <c r="F51" s="14">
        <v>3.8961700000000002E-2</v>
      </c>
      <c r="G51" s="14">
        <v>1.7049510000000001</v>
      </c>
      <c r="H51" s="14">
        <v>0.19177230000000001</v>
      </c>
      <c r="R51" s="11">
        <f t="shared" si="2"/>
        <v>3.1268372271306623E-3</v>
      </c>
      <c r="Z51" s="11">
        <f t="shared" si="1"/>
        <v>3.9091007450008982E-3</v>
      </c>
    </row>
    <row r="52" spans="1:26" x14ac:dyDescent="0.2">
      <c r="A52" s="45">
        <v>9</v>
      </c>
      <c r="B52" s="45">
        <v>1995</v>
      </c>
      <c r="C52" s="17">
        <v>0</v>
      </c>
      <c r="D52" s="14">
        <v>-0.1696203</v>
      </c>
      <c r="E52" s="14">
        <v>7.3403599999999999E-2</v>
      </c>
      <c r="F52" s="14">
        <v>7.2735400000000006E-2</v>
      </c>
      <c r="G52" s="14">
        <v>1.572166</v>
      </c>
      <c r="H52" s="14">
        <v>0.1643561</v>
      </c>
      <c r="R52" s="11">
        <f t="shared" si="2"/>
        <v>3.2127305366553074E-3</v>
      </c>
      <c r="Z52" s="11">
        <f t="shared" si="1"/>
        <v>4.1323892225984598E-3</v>
      </c>
    </row>
    <row r="53" spans="1:26" x14ac:dyDescent="0.2">
      <c r="A53" s="45">
        <v>9</v>
      </c>
      <c r="B53" s="45">
        <v>1996</v>
      </c>
      <c r="C53" s="17">
        <v>0</v>
      </c>
      <c r="D53" s="14">
        <v>3.4947800000000001E-2</v>
      </c>
      <c r="E53" s="14">
        <v>-6.9583699999999998E-2</v>
      </c>
      <c r="F53" s="14">
        <v>3.96081E-2</v>
      </c>
      <c r="G53" s="14">
        <v>3.3700730000000001</v>
      </c>
      <c r="H53" s="14">
        <v>8.6247500000000005E-2</v>
      </c>
      <c r="R53" s="11">
        <f t="shared" si="2"/>
        <v>2.9458256249646937E-4</v>
      </c>
      <c r="Z53" s="11">
        <f t="shared" si="1"/>
        <v>3.5301504910851812E-4</v>
      </c>
    </row>
    <row r="54" spans="1:26" x14ac:dyDescent="0.2">
      <c r="A54" s="45">
        <v>9</v>
      </c>
      <c r="B54" s="45">
        <v>1997</v>
      </c>
      <c r="C54" s="17">
        <v>0</v>
      </c>
      <c r="D54" s="14">
        <v>1.2264199999999999E-2</v>
      </c>
      <c r="E54" s="14">
        <v>-3.5246E-2</v>
      </c>
      <c r="F54" s="14">
        <v>4.3407000000000001E-2</v>
      </c>
      <c r="G54" s="14">
        <v>3.1268359999999999</v>
      </c>
      <c r="H54" s="14">
        <v>0.11553629999999999</v>
      </c>
      <c r="R54" s="11">
        <f t="shared" si="2"/>
        <v>4.0051814130657098E-4</v>
      </c>
      <c r="Z54" s="11">
        <f t="shared" si="1"/>
        <v>4.8460401205706967E-4</v>
      </c>
    </row>
    <row r="55" spans="1:26" x14ac:dyDescent="0.2">
      <c r="A55" s="45">
        <v>10</v>
      </c>
      <c r="B55" s="45">
        <v>2001</v>
      </c>
      <c r="C55" s="17">
        <v>0</v>
      </c>
      <c r="D55" s="14">
        <v>0.28196789999999999</v>
      </c>
      <c r="E55" s="14">
        <v>0.17731520000000001</v>
      </c>
      <c r="F55" s="14">
        <v>3.9518999999999999E-2</v>
      </c>
      <c r="G55" s="14">
        <v>0.1706754</v>
      </c>
      <c r="H55" s="14">
        <v>0.1653472</v>
      </c>
      <c r="R55" s="11">
        <f t="shared" si="2"/>
        <v>3.2628435142616243E-2</v>
      </c>
      <c r="Z55" s="11">
        <f t="shared" si="1"/>
        <v>4.1904911183831169E-2</v>
      </c>
    </row>
    <row r="56" spans="1:26" x14ac:dyDescent="0.2">
      <c r="A56" s="45">
        <v>10</v>
      </c>
      <c r="B56" s="45">
        <v>2002</v>
      </c>
      <c r="C56" s="17">
        <v>0</v>
      </c>
      <c r="D56" s="14">
        <v>0.31087480000000001</v>
      </c>
      <c r="E56" s="14">
        <v>9.1051900000000005E-2</v>
      </c>
      <c r="F56" s="14">
        <v>4.2808300000000001E-2</v>
      </c>
      <c r="G56" s="14">
        <v>0.21950410000000001</v>
      </c>
      <c r="H56" s="14">
        <v>0.1543339</v>
      </c>
      <c r="R56" s="11">
        <f t="shared" si="2"/>
        <v>3.3307613308474843E-2</v>
      </c>
      <c r="Z56" s="11">
        <f t="shared" si="1"/>
        <v>4.2713992662178388E-2</v>
      </c>
    </row>
    <row r="57" spans="1:26" x14ac:dyDescent="0.2">
      <c r="A57" s="45">
        <v>10</v>
      </c>
      <c r="B57" s="45">
        <v>2003</v>
      </c>
      <c r="C57" s="17">
        <v>0</v>
      </c>
      <c r="D57" s="14">
        <v>0.33444119999999999</v>
      </c>
      <c r="E57" s="14">
        <v>0.13198679999999999</v>
      </c>
      <c r="F57" s="14">
        <v>3.3724400000000002E-2</v>
      </c>
      <c r="G57" s="14">
        <v>0.33308850000000001</v>
      </c>
      <c r="H57" s="14">
        <v>0.1422774</v>
      </c>
      <c r="R57" s="11">
        <f t="shared" si="2"/>
        <v>2.8306215448126369E-2</v>
      </c>
      <c r="Z57" s="11">
        <f t="shared" si="1"/>
        <v>3.6055133083567975E-2</v>
      </c>
    </row>
    <row r="58" spans="1:26" x14ac:dyDescent="0.2">
      <c r="A58" s="45">
        <v>10</v>
      </c>
      <c r="B58" s="45">
        <v>2004</v>
      </c>
      <c r="C58" s="17">
        <v>0</v>
      </c>
      <c r="D58" s="14">
        <v>0.33730349999999998</v>
      </c>
      <c r="E58" s="14">
        <v>0.1626406</v>
      </c>
      <c r="F58" s="14">
        <v>3.6683899999999998E-2</v>
      </c>
      <c r="G58" s="14">
        <v>0.58507589999999998</v>
      </c>
      <c r="H58" s="14">
        <v>0.15916939999999999</v>
      </c>
      <c r="R58" s="11">
        <f t="shared" si="2"/>
        <v>1.7884588802513705E-2</v>
      </c>
      <c r="Z58" s="11">
        <f t="shared" si="1"/>
        <v>2.2801410593593186E-2</v>
      </c>
    </row>
    <row r="59" spans="1:26" x14ac:dyDescent="0.2">
      <c r="A59" s="45">
        <v>11</v>
      </c>
      <c r="B59" s="45">
        <v>1995</v>
      </c>
      <c r="C59" s="17">
        <v>0</v>
      </c>
      <c r="D59" s="14">
        <v>0.38702789999999998</v>
      </c>
      <c r="E59" s="14">
        <v>8.9696300000000007E-2</v>
      </c>
      <c r="F59" s="14">
        <v>4.5290200000000003E-2</v>
      </c>
      <c r="G59" s="14">
        <v>3.0248210000000002</v>
      </c>
      <c r="H59" s="14">
        <v>7.5812299999999999E-2</v>
      </c>
      <c r="R59" s="11">
        <f t="shared" si="2"/>
        <v>3.8707191931480924E-4</v>
      </c>
      <c r="Z59" s="11">
        <f t="shared" si="1"/>
        <v>4.7213043155853231E-4</v>
      </c>
    </row>
    <row r="60" spans="1:26" x14ac:dyDescent="0.2">
      <c r="A60" s="45">
        <v>11</v>
      </c>
      <c r="B60" s="45">
        <v>1996</v>
      </c>
      <c r="C60" s="17">
        <v>0</v>
      </c>
      <c r="D60" s="14">
        <v>0.32800509999999999</v>
      </c>
      <c r="E60" s="14">
        <v>0.1210137</v>
      </c>
      <c r="F60" s="14">
        <v>2.05971E-2</v>
      </c>
      <c r="G60" s="14">
        <v>3.564794</v>
      </c>
      <c r="H60" s="14">
        <v>6.7744399999999996E-2</v>
      </c>
      <c r="R60" s="11">
        <f t="shared" si="2"/>
        <v>1.9062241824060051E-4</v>
      </c>
      <c r="Z60" s="11">
        <f t="shared" si="1"/>
        <v>2.2541232939414502E-4</v>
      </c>
    </row>
    <row r="61" spans="1:26" x14ac:dyDescent="0.2">
      <c r="A61" s="45">
        <v>11</v>
      </c>
      <c r="B61" s="45">
        <v>1997</v>
      </c>
      <c r="C61" s="17">
        <v>0</v>
      </c>
      <c r="D61" s="14">
        <v>0.35149849999999999</v>
      </c>
      <c r="E61" s="14">
        <v>-0.24085329999999999</v>
      </c>
      <c r="F61" s="14">
        <v>-0.36208269999999998</v>
      </c>
      <c r="G61" s="14">
        <v>1.715727</v>
      </c>
      <c r="H61" s="14">
        <v>3.6211599999999997E-2</v>
      </c>
      <c r="R61" s="11">
        <f t="shared" si="2"/>
        <v>0.1159738124778288</v>
      </c>
      <c r="Z61" s="11">
        <f t="shared" si="1"/>
        <v>0.10444177893866559</v>
      </c>
    </row>
    <row r="62" spans="1:26" x14ac:dyDescent="0.2">
      <c r="A62" s="45">
        <v>11</v>
      </c>
      <c r="B62" s="45">
        <v>1998</v>
      </c>
      <c r="C62" s="17">
        <v>0</v>
      </c>
      <c r="D62" s="14">
        <v>0.36121989999999998</v>
      </c>
      <c r="E62" s="14">
        <v>5.2343599999999997E-2</v>
      </c>
      <c r="F62" s="14">
        <v>2.41485E-2</v>
      </c>
      <c r="G62" s="14">
        <v>1.7078500000000001</v>
      </c>
      <c r="H62" s="14">
        <v>6.1494300000000002E-2</v>
      </c>
      <c r="R62" s="11">
        <f t="shared" si="2"/>
        <v>3.9331637797603361E-3</v>
      </c>
      <c r="Z62" s="11">
        <f t="shared" si="1"/>
        <v>4.8435643688544451E-3</v>
      </c>
    </row>
    <row r="63" spans="1:26" x14ac:dyDescent="0.2">
      <c r="A63" s="45">
        <v>11</v>
      </c>
      <c r="B63" s="45">
        <v>1999</v>
      </c>
      <c r="C63" s="17">
        <v>0</v>
      </c>
      <c r="D63" s="14">
        <v>0.10967200000000001</v>
      </c>
      <c r="E63" s="14">
        <v>-7.6169000000000002E-3</v>
      </c>
      <c r="F63" s="14">
        <v>1.34921E-2</v>
      </c>
      <c r="G63" s="14">
        <v>2.632863</v>
      </c>
      <c r="H63" s="14">
        <v>4.6391700000000001E-2</v>
      </c>
      <c r="R63" s="11">
        <f t="shared" si="2"/>
        <v>1.0731957768340334E-3</v>
      </c>
      <c r="Z63" s="11">
        <f t="shared" si="1"/>
        <v>1.2819633820033139E-3</v>
      </c>
    </row>
    <row r="64" spans="1:26" x14ac:dyDescent="0.2">
      <c r="A64" s="45">
        <v>11</v>
      </c>
      <c r="B64" s="45">
        <v>2000</v>
      </c>
      <c r="C64" s="17">
        <v>0</v>
      </c>
      <c r="D64" s="14">
        <v>8.9144200000000007E-2</v>
      </c>
      <c r="E64" s="14">
        <v>-4.0670400000000002E-2</v>
      </c>
      <c r="F64" s="14">
        <v>5.64997E-2</v>
      </c>
      <c r="G64" s="14">
        <v>1.4708319999999999</v>
      </c>
      <c r="H64" s="14">
        <v>0.1056923</v>
      </c>
      <c r="R64" s="11">
        <f t="shared" si="2"/>
        <v>5.0656484112330076E-3</v>
      </c>
      <c r="Z64" s="11">
        <f t="shared" si="1"/>
        <v>6.4159987599269556E-3</v>
      </c>
    </row>
    <row r="65" spans="1:26" x14ac:dyDescent="0.2">
      <c r="A65" s="45">
        <v>11</v>
      </c>
      <c r="B65" s="45">
        <v>2001</v>
      </c>
      <c r="C65" s="17">
        <v>0</v>
      </c>
      <c r="D65" s="14">
        <v>0.14077780000000001</v>
      </c>
      <c r="E65" s="14">
        <v>-7.6318300000000006E-2</v>
      </c>
      <c r="F65" s="14">
        <v>2.0041099999999999E-2</v>
      </c>
      <c r="G65" s="14">
        <v>3.606862</v>
      </c>
      <c r="H65" s="14">
        <v>8.8765200000000002E-2</v>
      </c>
      <c r="R65" s="11">
        <f t="shared" si="2"/>
        <v>2.3855016518452575E-4</v>
      </c>
      <c r="Z65" s="11">
        <f t="shared" si="1"/>
        <v>2.7979687926616781E-4</v>
      </c>
    </row>
    <row r="66" spans="1:26" x14ac:dyDescent="0.2">
      <c r="A66" s="45">
        <v>12</v>
      </c>
      <c r="B66" s="45">
        <v>1995</v>
      </c>
      <c r="C66" s="17">
        <v>0</v>
      </c>
      <c r="D66" s="14">
        <v>0.19167039999999999</v>
      </c>
      <c r="E66" s="14">
        <v>0.21642729999999999</v>
      </c>
      <c r="F66" s="14">
        <v>5.5042300000000002E-2</v>
      </c>
      <c r="G66" s="14">
        <v>1.2926029999999999</v>
      </c>
      <c r="H66" s="14">
        <v>0.70639359999999995</v>
      </c>
      <c r="R66" s="11">
        <f t="shared" si="2"/>
        <v>4.6866599274129461E-3</v>
      </c>
      <c r="Z66" s="11">
        <f t="shared" ref="Z66:Z129" si="3">1/(1+EXP(-(U$2+$V$2*E66+$W$2*F66+$X$2*G66)))</f>
        <v>6.0050926192952219E-3</v>
      </c>
    </row>
    <row r="67" spans="1:26" x14ac:dyDescent="0.2">
      <c r="A67" s="45">
        <v>13</v>
      </c>
      <c r="B67" s="45">
        <v>1999</v>
      </c>
      <c r="C67" s="17">
        <v>0</v>
      </c>
      <c r="D67" s="14">
        <v>2.3951500000000001E-2</v>
      </c>
      <c r="E67" s="14">
        <v>0.45487460000000002</v>
      </c>
      <c r="F67" s="14">
        <v>5.9613399999999997E-2</v>
      </c>
      <c r="G67" s="14">
        <v>1.2943929999999999</v>
      </c>
      <c r="H67" s="14">
        <v>0.18229290000000001</v>
      </c>
      <c r="R67" s="11">
        <f t="shared" si="2"/>
        <v>3.1902464081990018E-3</v>
      </c>
      <c r="Z67" s="11">
        <f t="shared" si="3"/>
        <v>4.1381160876924313E-3</v>
      </c>
    </row>
    <row r="68" spans="1:26" x14ac:dyDescent="0.2">
      <c r="A68" s="45">
        <v>13</v>
      </c>
      <c r="B68" s="45">
        <v>2000</v>
      </c>
      <c r="C68" s="17">
        <v>0</v>
      </c>
      <c r="D68" s="14">
        <v>8.8529899999999995E-2</v>
      </c>
      <c r="E68" s="14">
        <v>0.41931970000000002</v>
      </c>
      <c r="F68" s="14">
        <v>6.30526E-2</v>
      </c>
      <c r="G68" s="14">
        <v>1.540535</v>
      </c>
      <c r="H68" s="14">
        <v>0.20213700000000001</v>
      </c>
      <c r="R68" s="11">
        <f t="shared" si="2"/>
        <v>2.2100557245533494E-3</v>
      </c>
      <c r="Z68" s="11">
        <f t="shared" si="3"/>
        <v>2.8566322301991896E-3</v>
      </c>
    </row>
    <row r="69" spans="1:26" x14ac:dyDescent="0.2">
      <c r="A69" s="45">
        <v>13</v>
      </c>
      <c r="B69" s="45">
        <v>2001</v>
      </c>
      <c r="C69" s="17">
        <v>0</v>
      </c>
      <c r="D69" s="14">
        <v>6.96933E-2</v>
      </c>
      <c r="E69" s="14">
        <v>0.44534899999999999</v>
      </c>
      <c r="F69" s="14">
        <v>6.2195899999999998E-2</v>
      </c>
      <c r="G69" s="14">
        <v>1.788964</v>
      </c>
      <c r="H69" s="14">
        <v>0.19909969999999999</v>
      </c>
      <c r="R69" s="11">
        <f t="shared" si="2"/>
        <v>1.4432486492626658E-3</v>
      </c>
      <c r="Z69" s="11">
        <f t="shared" si="3"/>
        <v>1.8560974603168874E-3</v>
      </c>
    </row>
    <row r="70" spans="1:26" x14ac:dyDescent="0.2">
      <c r="A70" s="45">
        <v>13</v>
      </c>
      <c r="B70" s="45">
        <v>2002</v>
      </c>
      <c r="C70" s="17">
        <v>0</v>
      </c>
      <c r="D70" s="14">
        <v>0.11142730000000001</v>
      </c>
      <c r="E70" s="14">
        <v>0.47041830000000001</v>
      </c>
      <c r="F70" s="14">
        <v>5.1393500000000002E-2</v>
      </c>
      <c r="G70" s="14">
        <v>1.916847</v>
      </c>
      <c r="H70" s="14">
        <v>0.1895075</v>
      </c>
      <c r="R70" s="11">
        <f t="shared" si="2"/>
        <v>1.2377145091152695E-3</v>
      </c>
      <c r="Z70" s="11">
        <f t="shared" si="3"/>
        <v>1.5747720356290005E-3</v>
      </c>
    </row>
    <row r="71" spans="1:26" x14ac:dyDescent="0.2">
      <c r="A71" s="45">
        <v>13</v>
      </c>
      <c r="B71" s="45">
        <v>2003</v>
      </c>
      <c r="C71" s="17">
        <v>0</v>
      </c>
      <c r="D71" s="14">
        <v>8.5650100000000007E-2</v>
      </c>
      <c r="E71" s="14">
        <v>0.4603256</v>
      </c>
      <c r="F71" s="14">
        <v>3.8619300000000002E-2</v>
      </c>
      <c r="G71" s="14">
        <v>1.82931</v>
      </c>
      <c r="H71" s="14">
        <v>0.19447719999999999</v>
      </c>
      <c r="R71" s="11">
        <f t="shared" si="2"/>
        <v>1.5988105849679525E-3</v>
      </c>
      <c r="Z71" s="11">
        <f t="shared" si="3"/>
        <v>2.0160380910395955E-3</v>
      </c>
    </row>
    <row r="72" spans="1:26" x14ac:dyDescent="0.2">
      <c r="A72" s="45">
        <v>13</v>
      </c>
      <c r="B72" s="45">
        <v>2004</v>
      </c>
      <c r="C72" s="17">
        <v>0</v>
      </c>
      <c r="D72" s="14">
        <v>9.3437999999999993E-2</v>
      </c>
      <c r="E72" s="14">
        <v>0.46251769999999998</v>
      </c>
      <c r="F72" s="14">
        <v>5.15556E-2</v>
      </c>
      <c r="G72" s="14">
        <v>2.2356940000000001</v>
      </c>
      <c r="H72" s="14">
        <v>0.233375</v>
      </c>
      <c r="R72" s="11">
        <f t="shared" si="2"/>
        <v>7.5263895251789022E-4</v>
      </c>
      <c r="Z72" s="11">
        <f t="shared" si="3"/>
        <v>9.5090042961769046E-4</v>
      </c>
    </row>
    <row r="73" spans="1:26" x14ac:dyDescent="0.2">
      <c r="A73" s="45">
        <v>14</v>
      </c>
      <c r="B73" s="45">
        <v>2002</v>
      </c>
      <c r="C73" s="17">
        <v>0</v>
      </c>
      <c r="D73" s="14">
        <v>0.15534010000000001</v>
      </c>
      <c r="E73" s="14">
        <v>0.3207796</v>
      </c>
      <c r="F73" s="14">
        <v>6.3444E-2</v>
      </c>
      <c r="G73" s="14">
        <v>0.73070619999999997</v>
      </c>
      <c r="H73" s="14">
        <v>0.51307950000000002</v>
      </c>
      <c r="R73" s="11">
        <f t="shared" si="2"/>
        <v>9.1769773049987426E-3</v>
      </c>
      <c r="Z73" s="11">
        <f t="shared" si="3"/>
        <v>1.2011726632582469E-2</v>
      </c>
    </row>
    <row r="74" spans="1:26" x14ac:dyDescent="0.2">
      <c r="A74" s="45">
        <v>15</v>
      </c>
      <c r="B74" s="45">
        <v>1999</v>
      </c>
      <c r="C74" s="17">
        <v>0</v>
      </c>
      <c r="D74" s="14">
        <v>2.28159E-2</v>
      </c>
      <c r="E74" s="14">
        <v>0.23840059999999999</v>
      </c>
      <c r="F74" s="14">
        <v>3.8064899999999999E-2</v>
      </c>
      <c r="G74" s="14">
        <v>0.76666429999999997</v>
      </c>
      <c r="H74" s="14">
        <v>0.26658749999999998</v>
      </c>
      <c r="R74" s="11">
        <f t="shared" si="2"/>
        <v>1.1934083164537181E-2</v>
      </c>
      <c r="Z74" s="11">
        <f t="shared" si="3"/>
        <v>1.5236328693492486E-2</v>
      </c>
    </row>
    <row r="75" spans="1:26" x14ac:dyDescent="0.2">
      <c r="A75" s="45">
        <v>15</v>
      </c>
      <c r="B75" s="45">
        <v>2000</v>
      </c>
      <c r="C75" s="17">
        <v>0</v>
      </c>
      <c r="D75" s="14">
        <v>6.9240899999999994E-2</v>
      </c>
      <c r="E75" s="14">
        <v>0.18902430000000001</v>
      </c>
      <c r="F75" s="14">
        <v>1.00061E-2</v>
      </c>
      <c r="G75" s="14">
        <v>0.48543770000000003</v>
      </c>
      <c r="H75" s="14">
        <v>0.23297380000000001</v>
      </c>
      <c r="R75" s="11">
        <f t="shared" si="2"/>
        <v>2.4796304835458149E-2</v>
      </c>
      <c r="Z75" s="11">
        <f t="shared" si="3"/>
        <v>3.0983734403541789E-2</v>
      </c>
    </row>
    <row r="76" spans="1:26" x14ac:dyDescent="0.2">
      <c r="A76" s="45">
        <v>15</v>
      </c>
      <c r="B76" s="45">
        <v>2001</v>
      </c>
      <c r="C76" s="17">
        <v>0</v>
      </c>
      <c r="D76" s="14">
        <v>8.7579000000000004E-2</v>
      </c>
      <c r="E76" s="14">
        <v>0.1637554</v>
      </c>
      <c r="F76" s="14">
        <v>-1.03053E-2</v>
      </c>
      <c r="G76" s="14">
        <v>0.4010454</v>
      </c>
      <c r="H76" s="14">
        <v>0.19163160000000001</v>
      </c>
      <c r="R76" s="11">
        <f t="shared" si="2"/>
        <v>3.4282012815413807E-2</v>
      </c>
      <c r="Z76" s="11">
        <f t="shared" si="3"/>
        <v>4.2096789180540675E-2</v>
      </c>
    </row>
    <row r="77" spans="1:26" x14ac:dyDescent="0.2">
      <c r="A77" s="45">
        <v>15</v>
      </c>
      <c r="B77" s="45">
        <v>2002</v>
      </c>
      <c r="C77" s="17">
        <v>0</v>
      </c>
      <c r="D77" s="14">
        <v>0.11168889999999999</v>
      </c>
      <c r="E77" s="14">
        <v>9.0468900000000005E-2</v>
      </c>
      <c r="F77" s="14">
        <v>2.44342E-2</v>
      </c>
      <c r="G77" s="14">
        <v>0.28836260000000002</v>
      </c>
      <c r="H77" s="14">
        <v>0.20753720000000001</v>
      </c>
      <c r="R77" s="11">
        <f t="shared" si="2"/>
        <v>3.4556109214044062E-2</v>
      </c>
      <c r="Z77" s="11">
        <f t="shared" si="3"/>
        <v>4.3601525673404681E-2</v>
      </c>
    </row>
    <row r="78" spans="1:26" x14ac:dyDescent="0.2">
      <c r="A78" s="45">
        <v>15</v>
      </c>
      <c r="B78" s="45">
        <v>2003</v>
      </c>
      <c r="C78" s="17">
        <v>0</v>
      </c>
      <c r="D78" s="14">
        <v>6.4659599999999998E-2</v>
      </c>
      <c r="E78" s="14">
        <v>0.1111962</v>
      </c>
      <c r="F78" s="14">
        <v>3.02283E-2</v>
      </c>
      <c r="G78" s="14">
        <v>0.31462000000000001</v>
      </c>
      <c r="H78" s="14">
        <v>0.2226321</v>
      </c>
      <c r="R78" s="11">
        <f t="shared" si="2"/>
        <v>3.0818625431394315E-2</v>
      </c>
      <c r="Z78" s="11">
        <f t="shared" si="3"/>
        <v>3.9108195660467145E-2</v>
      </c>
    </row>
    <row r="79" spans="1:26" x14ac:dyDescent="0.2">
      <c r="A79" s="45">
        <v>15</v>
      </c>
      <c r="B79" s="45">
        <v>2004</v>
      </c>
      <c r="C79" s="17">
        <v>0</v>
      </c>
      <c r="D79" s="14">
        <v>0.1132281</v>
      </c>
      <c r="E79" s="14">
        <v>9.2595700000000003E-2</v>
      </c>
      <c r="F79" s="14">
        <v>2.49997E-2</v>
      </c>
      <c r="G79" s="14">
        <v>0.36672589999999999</v>
      </c>
      <c r="H79" s="14">
        <v>0.23938100000000001</v>
      </c>
      <c r="R79" s="11">
        <f t="shared" si="2"/>
        <v>3.0398296269242748E-2</v>
      </c>
      <c r="Z79" s="11">
        <f t="shared" si="3"/>
        <v>3.835476243681276E-2</v>
      </c>
    </row>
    <row r="80" spans="1:26" x14ac:dyDescent="0.2">
      <c r="A80" s="45">
        <v>16</v>
      </c>
      <c r="B80" s="45">
        <v>1999</v>
      </c>
      <c r="C80" s="17">
        <v>0</v>
      </c>
      <c r="D80" s="14">
        <v>6.3924499999999995E-2</v>
      </c>
      <c r="E80" s="14">
        <v>0.12465859999999999</v>
      </c>
      <c r="F80" s="14">
        <v>6.0095200000000001E-2</v>
      </c>
      <c r="G80" s="14">
        <v>1.6773480000000001</v>
      </c>
      <c r="H80" s="14">
        <v>0.14597460000000001</v>
      </c>
      <c r="R80" s="11">
        <f t="shared" si="2"/>
        <v>2.7913081544965273E-3</v>
      </c>
      <c r="Z80" s="11">
        <f t="shared" si="3"/>
        <v>3.5519059726645584E-3</v>
      </c>
    </row>
    <row r="81" spans="1:26" x14ac:dyDescent="0.2">
      <c r="A81" s="45">
        <v>16</v>
      </c>
      <c r="B81" s="45">
        <v>2000</v>
      </c>
      <c r="C81" s="17">
        <v>0</v>
      </c>
      <c r="D81" s="14">
        <v>5.1132999999999998E-2</v>
      </c>
      <c r="E81" s="14">
        <v>0.13222829999999999</v>
      </c>
      <c r="F81" s="14">
        <v>9.2651899999999995E-2</v>
      </c>
      <c r="G81" s="14">
        <v>1.458126</v>
      </c>
      <c r="H81" s="14">
        <v>0.19800329999999999</v>
      </c>
      <c r="R81" s="11">
        <f t="shared" si="2"/>
        <v>3.0168269869986718E-3</v>
      </c>
      <c r="Z81" s="11">
        <f t="shared" si="3"/>
        <v>3.9620745658313482E-3</v>
      </c>
    </row>
    <row r="82" spans="1:26" x14ac:dyDescent="0.2">
      <c r="A82" s="45">
        <v>16</v>
      </c>
      <c r="B82" s="45">
        <v>2001</v>
      </c>
      <c r="C82" s="17">
        <v>0</v>
      </c>
      <c r="D82" s="14">
        <v>3.07389E-2</v>
      </c>
      <c r="E82" s="14">
        <v>0.17539379999999999</v>
      </c>
      <c r="F82" s="14">
        <v>4.8001500000000002E-2</v>
      </c>
      <c r="G82" s="14">
        <v>1.1125259999999999</v>
      </c>
      <c r="H82" s="14">
        <v>0.1241582</v>
      </c>
      <c r="R82" s="11">
        <f t="shared" si="2"/>
        <v>6.9960812212490602E-3</v>
      </c>
      <c r="Z82" s="11">
        <f t="shared" si="3"/>
        <v>8.9298698140140836E-3</v>
      </c>
    </row>
    <row r="83" spans="1:26" x14ac:dyDescent="0.2">
      <c r="A83" s="45">
        <v>17</v>
      </c>
      <c r="B83" s="45">
        <v>1999</v>
      </c>
      <c r="C83" s="17">
        <v>0</v>
      </c>
      <c r="D83" s="14">
        <v>0.29315479999999999</v>
      </c>
      <c r="E83" s="14">
        <v>0.50737189999999999</v>
      </c>
      <c r="F83" s="14">
        <v>6.8256899999999995E-2</v>
      </c>
      <c r="G83" s="14">
        <v>1.9777420000000001</v>
      </c>
      <c r="H83" s="14">
        <v>0.47353469999999998</v>
      </c>
      <c r="R83" s="11">
        <f t="shared" si="2"/>
        <v>9.3044676634446404E-4</v>
      </c>
      <c r="Z83" s="11">
        <f t="shared" si="3"/>
        <v>1.2002975814435796E-3</v>
      </c>
    </row>
    <row r="84" spans="1:26" x14ac:dyDescent="0.2">
      <c r="A84" s="45">
        <v>17</v>
      </c>
      <c r="B84" s="45">
        <v>2000</v>
      </c>
      <c r="C84" s="17">
        <v>0</v>
      </c>
      <c r="D84" s="14">
        <v>0.3133628</v>
      </c>
      <c r="E84" s="14">
        <v>0.49182189999999998</v>
      </c>
      <c r="F84" s="14">
        <v>5.5807299999999997E-2</v>
      </c>
      <c r="G84" s="14">
        <v>2.0479020000000001</v>
      </c>
      <c r="H84" s="14">
        <v>0.46735890000000002</v>
      </c>
      <c r="R84" s="11">
        <f t="shared" si="2"/>
        <v>9.4015399918907598E-4</v>
      </c>
      <c r="Z84" s="11">
        <f t="shared" si="3"/>
        <v>1.198028624176453E-3</v>
      </c>
    </row>
    <row r="85" spans="1:26" x14ac:dyDescent="0.2">
      <c r="A85" s="45">
        <v>17</v>
      </c>
      <c r="B85" s="45">
        <v>2001</v>
      </c>
      <c r="C85" s="17">
        <v>0</v>
      </c>
      <c r="D85" s="14">
        <v>0.36146739999999999</v>
      </c>
      <c r="E85" s="14">
        <v>0.51378829999999998</v>
      </c>
      <c r="F85" s="14">
        <v>7.0034700000000005E-2</v>
      </c>
      <c r="G85" s="14">
        <v>2.677962</v>
      </c>
      <c r="H85" s="14">
        <v>0.44641140000000001</v>
      </c>
      <c r="R85" s="11">
        <f t="shared" si="2"/>
        <v>2.9793666201208339E-4</v>
      </c>
      <c r="Z85" s="11">
        <f t="shared" si="3"/>
        <v>3.7917094520691037E-4</v>
      </c>
    </row>
    <row r="86" spans="1:26" x14ac:dyDescent="0.2">
      <c r="A86" s="45">
        <v>17</v>
      </c>
      <c r="B86" s="45">
        <v>2002</v>
      </c>
      <c r="C86" s="17">
        <v>0</v>
      </c>
      <c r="D86" s="14">
        <v>0.31594909999999998</v>
      </c>
      <c r="E86" s="14">
        <v>0.50615540000000003</v>
      </c>
      <c r="F86" s="14">
        <v>8.3096699999999996E-2</v>
      </c>
      <c r="G86" s="14">
        <v>3.2221000000000002</v>
      </c>
      <c r="H86" s="14">
        <v>0.43442340000000002</v>
      </c>
      <c r="R86" s="11">
        <f t="shared" si="2"/>
        <v>1.140394417518345E-4</v>
      </c>
      <c r="Z86" s="11">
        <f t="shared" si="3"/>
        <v>1.4491735516178222E-4</v>
      </c>
    </row>
    <row r="87" spans="1:26" x14ac:dyDescent="0.2">
      <c r="A87" s="45">
        <v>17</v>
      </c>
      <c r="B87" s="45">
        <v>2003</v>
      </c>
      <c r="C87" s="17">
        <v>0</v>
      </c>
      <c r="D87" s="14">
        <v>0.38294689999999998</v>
      </c>
      <c r="E87" s="14">
        <v>0.53937539999999995</v>
      </c>
      <c r="F87" s="14">
        <v>6.0338999999999997E-2</v>
      </c>
      <c r="G87" s="14">
        <v>3.8905500000000002</v>
      </c>
      <c r="H87" s="14">
        <v>0.4134912</v>
      </c>
      <c r="R87" s="11">
        <f t="shared" ref="R87:R150" si="4">1/(1+EXP(-(K$2+$M$2*E87+$N$2*F87+$O$2*G87)))</f>
        <v>4.4930329845318612E-5</v>
      </c>
      <c r="Z87" s="11">
        <f t="shared" si="3"/>
        <v>5.5285843987292533E-5</v>
      </c>
    </row>
    <row r="88" spans="1:26" x14ac:dyDescent="0.2">
      <c r="A88" s="45">
        <v>17</v>
      </c>
      <c r="B88" s="45">
        <v>2004</v>
      </c>
      <c r="C88" s="17">
        <v>0</v>
      </c>
      <c r="D88" s="14">
        <v>0.30503479999999999</v>
      </c>
      <c r="E88" s="14">
        <v>0.58095090000000005</v>
      </c>
      <c r="F88" s="14">
        <v>7.0576700000000006E-2</v>
      </c>
      <c r="G88" s="14">
        <v>5.3113760000000001</v>
      </c>
      <c r="H88" s="14">
        <v>0.44750600000000001</v>
      </c>
      <c r="R88" s="11">
        <f t="shared" si="4"/>
        <v>4.0494871904860278E-6</v>
      </c>
      <c r="Z88" s="11">
        <f t="shared" si="3"/>
        <v>4.8770085528885009E-6</v>
      </c>
    </row>
    <row r="89" spans="1:26" x14ac:dyDescent="0.2">
      <c r="A89" s="45">
        <v>18</v>
      </c>
      <c r="B89" s="45">
        <v>1999</v>
      </c>
      <c r="C89" s="17">
        <v>0</v>
      </c>
      <c r="D89" s="14">
        <v>6.8725700000000001E-2</v>
      </c>
      <c r="E89" s="14">
        <v>0.35258</v>
      </c>
      <c r="F89" s="14">
        <v>6.6547499999999996E-2</v>
      </c>
      <c r="G89" s="14">
        <v>1.318611</v>
      </c>
      <c r="H89" s="14">
        <v>0.66784520000000003</v>
      </c>
      <c r="R89" s="11">
        <f t="shared" si="4"/>
        <v>3.3689374456696937E-3</v>
      </c>
      <c r="Z89" s="11">
        <f t="shared" si="3"/>
        <v>4.3768255551871263E-3</v>
      </c>
    </row>
    <row r="90" spans="1:26" x14ac:dyDescent="0.2">
      <c r="A90" s="45">
        <v>18</v>
      </c>
      <c r="B90" s="45">
        <v>2000</v>
      </c>
      <c r="C90" s="17">
        <v>0</v>
      </c>
      <c r="D90" s="14">
        <v>9.4128299999999998E-2</v>
      </c>
      <c r="E90" s="14">
        <v>0.36691410000000002</v>
      </c>
      <c r="F90" s="14">
        <v>6.6572900000000004E-2</v>
      </c>
      <c r="G90" s="14">
        <v>1.158839</v>
      </c>
      <c r="H90" s="14">
        <v>0.63224800000000003</v>
      </c>
      <c r="R90" s="11">
        <f t="shared" si="4"/>
        <v>4.2515257267390916E-3</v>
      </c>
      <c r="Z90" s="11">
        <f t="shared" si="3"/>
        <v>5.5441734378680243E-3</v>
      </c>
    </row>
    <row r="91" spans="1:26" x14ac:dyDescent="0.2">
      <c r="A91" s="45">
        <v>18</v>
      </c>
      <c r="B91" s="45">
        <v>2001</v>
      </c>
      <c r="C91" s="17">
        <v>0</v>
      </c>
      <c r="D91" s="14">
        <v>8.6307300000000003E-2</v>
      </c>
      <c r="E91" s="14">
        <v>0.37169000000000002</v>
      </c>
      <c r="F91" s="14">
        <v>5.8963399999999999E-2</v>
      </c>
      <c r="G91" s="14">
        <v>1.1861900000000001</v>
      </c>
      <c r="H91" s="14">
        <v>0.59691749999999999</v>
      </c>
      <c r="R91" s="11">
        <f t="shared" si="4"/>
        <v>4.2955170126918072E-3</v>
      </c>
      <c r="Z91" s="11">
        <f t="shared" si="3"/>
        <v>5.5644007332314865E-3</v>
      </c>
    </row>
    <row r="92" spans="1:26" x14ac:dyDescent="0.2">
      <c r="A92" s="45">
        <v>18</v>
      </c>
      <c r="B92" s="45">
        <v>2002</v>
      </c>
      <c r="C92" s="17">
        <v>0</v>
      </c>
      <c r="D92" s="14">
        <v>8.6618600000000004E-2</v>
      </c>
      <c r="E92" s="14">
        <v>0.33599000000000001</v>
      </c>
      <c r="F92" s="14">
        <v>6.4488199999999996E-2</v>
      </c>
      <c r="G92" s="14">
        <v>0.83912659999999994</v>
      </c>
      <c r="H92" s="14">
        <v>0.63721240000000001</v>
      </c>
      <c r="R92" s="11">
        <f t="shared" si="4"/>
        <v>7.5017789960875629E-3</v>
      </c>
      <c r="Z92" s="11">
        <f t="shared" si="3"/>
        <v>9.8143710286165264E-3</v>
      </c>
    </row>
    <row r="93" spans="1:26" x14ac:dyDescent="0.2">
      <c r="A93" s="45">
        <v>18</v>
      </c>
      <c r="B93" s="45">
        <v>2003</v>
      </c>
      <c r="C93" s="17">
        <v>0</v>
      </c>
      <c r="D93" s="14">
        <v>7.3771900000000001E-2</v>
      </c>
      <c r="E93" s="14">
        <v>0.35523470000000001</v>
      </c>
      <c r="F93" s="14">
        <v>5.8707099999999998E-2</v>
      </c>
      <c r="G93" s="14">
        <v>0.89436789999999999</v>
      </c>
      <c r="H93" s="14">
        <v>0.59177429999999998</v>
      </c>
      <c r="R93" s="11">
        <f t="shared" si="4"/>
        <v>6.9997528445920323E-3</v>
      </c>
      <c r="Z93" s="11">
        <f t="shared" si="3"/>
        <v>9.1110785910924891E-3</v>
      </c>
    </row>
    <row r="94" spans="1:26" x14ac:dyDescent="0.2">
      <c r="A94" s="45">
        <v>18</v>
      </c>
      <c r="B94" s="45">
        <v>2004</v>
      </c>
      <c r="C94" s="17">
        <v>0</v>
      </c>
      <c r="D94" s="14">
        <v>1.4996199999999999E-2</v>
      </c>
      <c r="E94" s="14">
        <v>0.29602040000000002</v>
      </c>
      <c r="F94" s="14">
        <v>6.2027800000000001E-2</v>
      </c>
      <c r="G94" s="14">
        <v>0.68640619999999997</v>
      </c>
      <c r="H94" s="14">
        <v>0.63324389999999997</v>
      </c>
      <c r="R94" s="11">
        <f t="shared" si="4"/>
        <v>1.031371778408501E-2</v>
      </c>
      <c r="Z94" s="11">
        <f t="shared" si="3"/>
        <v>1.3481063509664935E-2</v>
      </c>
    </row>
    <row r="95" spans="1:26" x14ac:dyDescent="0.2">
      <c r="A95" s="45">
        <v>19</v>
      </c>
      <c r="B95" s="45">
        <v>1999</v>
      </c>
      <c r="C95" s="17">
        <v>0</v>
      </c>
      <c r="D95" s="14">
        <v>0.14446990000000001</v>
      </c>
      <c r="E95" s="14">
        <v>0.45690599999999998</v>
      </c>
      <c r="F95" s="14">
        <v>5.39351E-2</v>
      </c>
      <c r="G95" s="14">
        <v>2.1071740000000001</v>
      </c>
      <c r="H95" s="14">
        <v>0.22463379999999999</v>
      </c>
      <c r="R95" s="11">
        <f t="shared" si="4"/>
        <v>9.135691429611062E-4</v>
      </c>
      <c r="Z95" s="11">
        <f t="shared" si="3"/>
        <v>1.1594758845371834E-3</v>
      </c>
    </row>
    <row r="96" spans="1:26" x14ac:dyDescent="0.2">
      <c r="A96" s="45">
        <v>19</v>
      </c>
      <c r="B96" s="45">
        <v>2000</v>
      </c>
      <c r="C96" s="17">
        <v>0</v>
      </c>
      <c r="D96" s="14">
        <v>6.6354999999999997E-2</v>
      </c>
      <c r="E96" s="14">
        <v>0.25948890000000002</v>
      </c>
      <c r="F96" s="14">
        <v>4.3819700000000003E-2</v>
      </c>
      <c r="G96" s="14">
        <v>1.2103120000000001</v>
      </c>
      <c r="H96" s="14">
        <v>0.1879266</v>
      </c>
      <c r="R96" s="11">
        <f t="shared" si="4"/>
        <v>5.4860741520047669E-3</v>
      </c>
      <c r="Z96" s="11">
        <f t="shared" si="3"/>
        <v>6.9866775202208839E-3</v>
      </c>
    </row>
    <row r="97" spans="1:26" x14ac:dyDescent="0.2">
      <c r="A97" s="45">
        <v>19</v>
      </c>
      <c r="B97" s="45">
        <v>2001</v>
      </c>
      <c r="C97" s="17">
        <v>0</v>
      </c>
      <c r="D97" s="14">
        <v>4.85055E-2</v>
      </c>
      <c r="E97" s="14">
        <v>0.26421830000000002</v>
      </c>
      <c r="F97" s="14">
        <v>4.0108900000000003E-2</v>
      </c>
      <c r="G97" s="14">
        <v>1.3496159999999999</v>
      </c>
      <c r="H97" s="14">
        <v>0.20859140000000001</v>
      </c>
      <c r="R97" s="11">
        <f t="shared" si="4"/>
        <v>4.4997256309877182E-3</v>
      </c>
      <c r="Z97" s="11">
        <f t="shared" si="3"/>
        <v>5.698293024559392E-3</v>
      </c>
    </row>
    <row r="98" spans="1:26" x14ac:dyDescent="0.2">
      <c r="A98" s="45">
        <v>19</v>
      </c>
      <c r="B98" s="45">
        <v>2002</v>
      </c>
      <c r="C98" s="17">
        <v>0</v>
      </c>
      <c r="D98" s="14">
        <v>8.5588899999999996E-2</v>
      </c>
      <c r="E98" s="14">
        <v>0.25644640000000002</v>
      </c>
      <c r="F98" s="14">
        <v>5.0042200000000002E-2</v>
      </c>
      <c r="G98" s="14">
        <v>1.0840989999999999</v>
      </c>
      <c r="H98" s="14">
        <v>0.20877589999999999</v>
      </c>
      <c r="R98" s="11">
        <f t="shared" si="4"/>
        <v>6.4049463370462797E-3</v>
      </c>
      <c r="Z98" s="11">
        <f t="shared" si="3"/>
        <v>8.2179607171042109E-3</v>
      </c>
    </row>
    <row r="99" spans="1:26" x14ac:dyDescent="0.2">
      <c r="A99" s="45">
        <v>19</v>
      </c>
      <c r="B99" s="45">
        <v>2003</v>
      </c>
      <c r="C99" s="17">
        <v>0</v>
      </c>
      <c r="D99" s="14">
        <v>8.6010900000000001E-2</v>
      </c>
      <c r="E99" s="14">
        <v>0.16406200000000001</v>
      </c>
      <c r="F99" s="14">
        <v>3.8055899999999997E-2</v>
      </c>
      <c r="G99" s="14">
        <v>0.83648909999999999</v>
      </c>
      <c r="H99" s="14">
        <v>0.13193469999999999</v>
      </c>
      <c r="R99" s="11">
        <f t="shared" si="4"/>
        <v>1.1897460290972821E-2</v>
      </c>
      <c r="Z99" s="11">
        <f t="shared" si="3"/>
        <v>1.5128621029159331E-2</v>
      </c>
    </row>
    <row r="100" spans="1:26" x14ac:dyDescent="0.2">
      <c r="A100" s="45">
        <v>19</v>
      </c>
      <c r="B100" s="45">
        <v>2004</v>
      </c>
      <c r="C100" s="17">
        <v>0</v>
      </c>
      <c r="D100" s="14">
        <v>2.6790399999999999E-2</v>
      </c>
      <c r="E100" s="14">
        <v>0.14789079999999999</v>
      </c>
      <c r="F100" s="14">
        <v>4.1846599999999998E-2</v>
      </c>
      <c r="G100" s="14">
        <v>0.83006919999999995</v>
      </c>
      <c r="H100" s="14">
        <v>0.2355286</v>
      </c>
      <c r="R100" s="11">
        <f t="shared" si="4"/>
        <v>1.1937755569328299E-2</v>
      </c>
      <c r="Z100" s="11">
        <f t="shared" si="3"/>
        <v>1.5220022480960447E-2</v>
      </c>
    </row>
    <row r="101" spans="1:26" x14ac:dyDescent="0.2">
      <c r="A101" s="45">
        <v>20</v>
      </c>
      <c r="B101" s="45">
        <v>1999</v>
      </c>
      <c r="C101" s="17">
        <v>0</v>
      </c>
      <c r="D101" s="14">
        <v>4.8959999999999997E-2</v>
      </c>
      <c r="E101" s="14">
        <v>0.101476</v>
      </c>
      <c r="F101" s="14">
        <v>5.6789199999999998E-2</v>
      </c>
      <c r="G101" s="14">
        <v>0.40002919999999997</v>
      </c>
      <c r="H101" s="14">
        <v>0.27312370000000002</v>
      </c>
      <c r="R101" s="11">
        <f t="shared" si="4"/>
        <v>2.2253111352955539E-2</v>
      </c>
      <c r="Z101" s="11">
        <f t="shared" si="3"/>
        <v>2.8848953953652598E-2</v>
      </c>
    </row>
    <row r="102" spans="1:26" x14ac:dyDescent="0.2">
      <c r="A102" s="45">
        <v>20</v>
      </c>
      <c r="B102" s="45">
        <v>2000</v>
      </c>
      <c r="C102" s="17">
        <v>0</v>
      </c>
      <c r="D102" s="14">
        <v>6.6028799999999999E-2</v>
      </c>
      <c r="E102" s="14">
        <v>0.1081949</v>
      </c>
      <c r="F102" s="14">
        <v>4.3270700000000002E-2</v>
      </c>
      <c r="G102" s="14">
        <v>0.14238719999999999</v>
      </c>
      <c r="H102" s="14">
        <v>0.24721019999999999</v>
      </c>
      <c r="R102" s="11">
        <f t="shared" si="4"/>
        <v>3.6480096629109005E-2</v>
      </c>
      <c r="Z102" s="11">
        <f t="shared" si="3"/>
        <v>4.6857970930388515E-2</v>
      </c>
    </row>
    <row r="103" spans="1:26" x14ac:dyDescent="0.2">
      <c r="A103" s="45">
        <v>20</v>
      </c>
      <c r="B103" s="45">
        <v>2001</v>
      </c>
      <c r="C103" s="17">
        <v>0</v>
      </c>
      <c r="D103" s="14">
        <v>6.5885100000000002E-2</v>
      </c>
      <c r="E103" s="14">
        <v>0.1044736</v>
      </c>
      <c r="F103" s="14">
        <v>4.7061499999999999E-2</v>
      </c>
      <c r="G103" s="14">
        <v>0.24623819999999999</v>
      </c>
      <c r="H103" s="14">
        <v>0.23633709999999999</v>
      </c>
      <c r="R103" s="11">
        <f t="shared" si="4"/>
        <v>3.0347174757422674E-2</v>
      </c>
      <c r="Z103" s="11">
        <f t="shared" si="3"/>
        <v>3.9077071840158302E-2</v>
      </c>
    </row>
    <row r="104" spans="1:26" x14ac:dyDescent="0.2">
      <c r="A104" s="45">
        <v>20</v>
      </c>
      <c r="B104" s="45">
        <v>2002</v>
      </c>
      <c r="C104" s="17">
        <v>0</v>
      </c>
      <c r="D104" s="14">
        <v>0.1005847</v>
      </c>
      <c r="E104" s="14">
        <v>0.10475230000000001</v>
      </c>
      <c r="F104" s="14">
        <v>3.1094E-2</v>
      </c>
      <c r="G104" s="14">
        <v>0.28263830000000001</v>
      </c>
      <c r="H104" s="14">
        <v>0.20954410000000001</v>
      </c>
      <c r="R104" s="11">
        <f t="shared" si="4"/>
        <v>3.2454544940427772E-2</v>
      </c>
      <c r="Z104" s="11">
        <f t="shared" si="3"/>
        <v>4.1212568860983199E-2</v>
      </c>
    </row>
    <row r="105" spans="1:26" x14ac:dyDescent="0.2">
      <c r="A105" s="45">
        <v>20</v>
      </c>
      <c r="B105" s="45">
        <v>2003</v>
      </c>
      <c r="C105" s="17">
        <v>0</v>
      </c>
      <c r="D105" s="14">
        <v>8.2943900000000001E-2</v>
      </c>
      <c r="E105" s="14">
        <v>0.13491980000000001</v>
      </c>
      <c r="F105" s="14">
        <v>3.2888800000000003E-2</v>
      </c>
      <c r="G105" s="14">
        <v>0.23090649999999999</v>
      </c>
      <c r="H105" s="14">
        <v>0.20024020000000001</v>
      </c>
      <c r="R105" s="11">
        <f t="shared" si="4"/>
        <v>3.3223711638443724E-2</v>
      </c>
      <c r="Z105" s="11">
        <f t="shared" si="3"/>
        <v>4.232773504113254E-2</v>
      </c>
    </row>
    <row r="106" spans="1:26" x14ac:dyDescent="0.2">
      <c r="A106" s="45">
        <v>20</v>
      </c>
      <c r="B106" s="45">
        <v>2004</v>
      </c>
      <c r="C106" s="17">
        <v>0</v>
      </c>
      <c r="D106" s="14">
        <v>0.19778509999999999</v>
      </c>
      <c r="E106" s="14">
        <v>0.20185420000000001</v>
      </c>
      <c r="F106" s="14">
        <v>3.9045799999999999E-2</v>
      </c>
      <c r="G106" s="14">
        <v>0.66248130000000005</v>
      </c>
      <c r="H106" s="14">
        <v>0.2909679</v>
      </c>
      <c r="R106" s="11">
        <f t="shared" si="4"/>
        <v>1.4700956876847974E-2</v>
      </c>
      <c r="Z106" s="11">
        <f t="shared" si="3"/>
        <v>1.878827826207426E-2</v>
      </c>
    </row>
    <row r="107" spans="1:26" x14ac:dyDescent="0.2">
      <c r="A107" s="45">
        <v>21</v>
      </c>
      <c r="B107" s="45">
        <v>1995</v>
      </c>
      <c r="C107" s="17">
        <v>0</v>
      </c>
      <c r="D107" s="14">
        <v>0.33645589999999997</v>
      </c>
      <c r="E107" s="14">
        <v>0.2327593</v>
      </c>
      <c r="F107" s="14">
        <v>3.31329E-2</v>
      </c>
      <c r="G107" s="14">
        <v>2.268726</v>
      </c>
      <c r="H107" s="14">
        <v>0.30270150000000001</v>
      </c>
      <c r="R107" s="11">
        <f t="shared" si="4"/>
        <v>1.1551446711252995E-3</v>
      </c>
      <c r="Z107" s="11">
        <f t="shared" si="3"/>
        <v>1.4251451420028423E-3</v>
      </c>
    </row>
    <row r="108" spans="1:26" x14ac:dyDescent="0.2">
      <c r="A108" s="45">
        <v>21</v>
      </c>
      <c r="B108" s="45">
        <v>1996</v>
      </c>
      <c r="C108" s="17">
        <v>1</v>
      </c>
      <c r="D108" s="14">
        <v>0.35730079999999997</v>
      </c>
      <c r="E108" s="14">
        <v>6.0466499999999999E-2</v>
      </c>
      <c r="F108" s="14">
        <v>2.8341399999999999E-2</v>
      </c>
      <c r="G108" s="14">
        <v>3.1962860000000002</v>
      </c>
      <c r="H108" s="14">
        <v>0.28351080000000001</v>
      </c>
      <c r="R108" s="11">
        <f t="shared" si="4"/>
        <v>3.5194510605525132E-4</v>
      </c>
      <c r="Z108" s="11">
        <f t="shared" si="3"/>
        <v>4.2135047394957281E-4</v>
      </c>
    </row>
    <row r="109" spans="1:26" x14ac:dyDescent="0.2">
      <c r="A109" s="45">
        <v>22</v>
      </c>
      <c r="B109" s="45">
        <v>2000</v>
      </c>
      <c r="C109" s="17">
        <v>0</v>
      </c>
      <c r="D109" s="14">
        <v>-4.7036000000000001E-2</v>
      </c>
      <c r="E109" s="14">
        <v>0.14442740000000001</v>
      </c>
      <c r="F109" s="14">
        <v>6.2082600000000002E-2</v>
      </c>
      <c r="G109" s="14">
        <v>0.94148109999999996</v>
      </c>
      <c r="H109" s="14">
        <v>0.18403849999999999</v>
      </c>
      <c r="R109" s="11">
        <f t="shared" si="4"/>
        <v>8.5739310579849137E-3</v>
      </c>
      <c r="Z109" s="11">
        <f t="shared" si="3"/>
        <v>1.1094276991803577E-2</v>
      </c>
    </row>
    <row r="110" spans="1:26" x14ac:dyDescent="0.2">
      <c r="A110" s="45">
        <v>22</v>
      </c>
      <c r="B110" s="45">
        <v>2001</v>
      </c>
      <c r="C110" s="17">
        <v>0</v>
      </c>
      <c r="D110" s="14">
        <v>-0.12290769999999999</v>
      </c>
      <c r="E110" s="14">
        <v>0.118628</v>
      </c>
      <c r="F110" s="14">
        <v>4.05248E-2</v>
      </c>
      <c r="G110" s="14">
        <v>0.58002969999999998</v>
      </c>
      <c r="H110" s="14">
        <v>0.20367979999999999</v>
      </c>
      <c r="R110" s="11">
        <f t="shared" si="4"/>
        <v>1.8624884394368116E-2</v>
      </c>
      <c r="Z110" s="11">
        <f t="shared" si="3"/>
        <v>2.3780922538512491E-2</v>
      </c>
    </row>
    <row r="111" spans="1:26" x14ac:dyDescent="0.2">
      <c r="A111" s="45">
        <v>22</v>
      </c>
      <c r="B111" s="45">
        <v>2002</v>
      </c>
      <c r="C111" s="17">
        <v>0</v>
      </c>
      <c r="D111" s="14">
        <v>-0.39540110000000001</v>
      </c>
      <c r="E111" s="14">
        <v>6.8777900000000003E-2</v>
      </c>
      <c r="F111" s="14">
        <v>1.8374000000000001E-3</v>
      </c>
      <c r="G111" s="14">
        <v>0.1440341</v>
      </c>
      <c r="H111" s="14">
        <v>9.15908E-2</v>
      </c>
      <c r="R111" s="11">
        <f t="shared" si="4"/>
        <v>5.2764443438477929E-2</v>
      </c>
      <c r="Z111" s="11">
        <f t="shared" si="3"/>
        <v>6.5260747158855562E-2</v>
      </c>
    </row>
    <row r="112" spans="1:26" x14ac:dyDescent="0.2">
      <c r="A112" s="45">
        <v>22</v>
      </c>
      <c r="B112" s="45">
        <v>2003</v>
      </c>
      <c r="C112" s="17">
        <v>0</v>
      </c>
      <c r="D112" s="14">
        <v>4.9218600000000001E-2</v>
      </c>
      <c r="E112" s="14">
        <v>2.9295700000000001E-2</v>
      </c>
      <c r="F112" s="14">
        <v>3.5263700000000002E-2</v>
      </c>
      <c r="G112" s="14">
        <v>0.20485690000000001</v>
      </c>
      <c r="H112" s="14">
        <v>8.8149099999999994E-2</v>
      </c>
      <c r="R112" s="11">
        <f t="shared" si="4"/>
        <v>3.9369132664664672E-2</v>
      </c>
      <c r="Z112" s="11">
        <f t="shared" si="3"/>
        <v>5.0017625658634345E-2</v>
      </c>
    </row>
    <row r="113" spans="1:26" x14ac:dyDescent="0.2">
      <c r="A113" s="45">
        <v>22</v>
      </c>
      <c r="B113" s="45">
        <v>2004</v>
      </c>
      <c r="C113" s="17">
        <v>0</v>
      </c>
      <c r="D113" s="14">
        <v>5.0847200000000002E-2</v>
      </c>
      <c r="E113" s="14">
        <v>-2.97468E-2</v>
      </c>
      <c r="F113" s="14">
        <v>5.6477399999999997E-2</v>
      </c>
      <c r="G113" s="14">
        <v>0.39562039999999998</v>
      </c>
      <c r="H113" s="14">
        <v>0.1195929</v>
      </c>
      <c r="R113" s="11">
        <f t="shared" si="4"/>
        <v>2.7055193017286303E-2</v>
      </c>
      <c r="Z113" s="11">
        <f t="shared" si="3"/>
        <v>3.4866363840443657E-2</v>
      </c>
    </row>
    <row r="114" spans="1:26" x14ac:dyDescent="0.2">
      <c r="A114" s="45">
        <v>23</v>
      </c>
      <c r="B114" s="45">
        <v>1999</v>
      </c>
      <c r="C114" s="17">
        <v>0</v>
      </c>
      <c r="D114" s="14">
        <v>0.1157979</v>
      </c>
      <c r="E114" s="14">
        <v>0.44529970000000002</v>
      </c>
      <c r="F114" s="14">
        <v>6.1388600000000001E-2</v>
      </c>
      <c r="G114" s="14">
        <v>3.0831719999999998</v>
      </c>
      <c r="H114" s="14">
        <v>0.28503699999999998</v>
      </c>
      <c r="R114" s="11">
        <f t="shared" si="4"/>
        <v>1.8493384154686637E-4</v>
      </c>
      <c r="Z114" s="11">
        <f t="shared" si="3"/>
        <v>2.3108404767323775E-4</v>
      </c>
    </row>
    <row r="115" spans="1:26" x14ac:dyDescent="0.2">
      <c r="A115" s="45">
        <v>23</v>
      </c>
      <c r="B115" s="45">
        <v>2000</v>
      </c>
      <c r="C115" s="17">
        <v>0</v>
      </c>
      <c r="D115" s="14">
        <v>0.1816072</v>
      </c>
      <c r="E115" s="14">
        <v>0.43985419999999997</v>
      </c>
      <c r="F115" s="14">
        <v>7.1866799999999995E-2</v>
      </c>
      <c r="G115" s="14">
        <v>2.4908610000000002</v>
      </c>
      <c r="H115" s="14">
        <v>0.2897941</v>
      </c>
      <c r="R115" s="11">
        <f t="shared" si="4"/>
        <v>4.4042848266617572E-4</v>
      </c>
      <c r="Z115" s="11">
        <f t="shared" si="3"/>
        <v>5.6222464939619822E-4</v>
      </c>
    </row>
    <row r="116" spans="1:26" x14ac:dyDescent="0.2">
      <c r="A116" s="45">
        <v>23</v>
      </c>
      <c r="B116" s="45">
        <v>2001</v>
      </c>
      <c r="C116" s="17">
        <v>0</v>
      </c>
      <c r="D116" s="14">
        <v>0.17474390000000001</v>
      </c>
      <c r="E116" s="14">
        <v>0.41811589999999998</v>
      </c>
      <c r="F116" s="14">
        <v>5.2374999999999998E-2</v>
      </c>
      <c r="G116" s="14">
        <v>1.869866</v>
      </c>
      <c r="H116" s="14">
        <v>0.26083990000000001</v>
      </c>
      <c r="R116" s="11">
        <f t="shared" si="4"/>
        <v>1.4278110442732651E-3</v>
      </c>
      <c r="Z116" s="11">
        <f t="shared" si="3"/>
        <v>1.8166260936392123E-3</v>
      </c>
    </row>
    <row r="117" spans="1:26" x14ac:dyDescent="0.2">
      <c r="A117" s="45">
        <v>23</v>
      </c>
      <c r="B117" s="45">
        <v>2002</v>
      </c>
      <c r="C117" s="17">
        <v>0</v>
      </c>
      <c r="D117" s="14">
        <v>0.15496799999999999</v>
      </c>
      <c r="E117" s="14">
        <v>0.3215787</v>
      </c>
      <c r="F117" s="14">
        <v>4.5709800000000002E-2</v>
      </c>
      <c r="G117" s="14">
        <v>1.092049</v>
      </c>
      <c r="H117" s="14">
        <v>0.24097080000000001</v>
      </c>
      <c r="R117" s="11">
        <f t="shared" si="4"/>
        <v>5.958401388559075E-3</v>
      </c>
      <c r="Z117" s="11">
        <f t="shared" si="3"/>
        <v>7.6346611269317716E-3</v>
      </c>
    </row>
    <row r="118" spans="1:26" x14ac:dyDescent="0.2">
      <c r="A118" s="45">
        <v>23</v>
      </c>
      <c r="B118" s="45">
        <v>2003</v>
      </c>
      <c r="C118" s="17">
        <v>0</v>
      </c>
      <c r="D118" s="14">
        <v>0.1810416</v>
      </c>
      <c r="E118" s="14">
        <v>0.36532340000000002</v>
      </c>
      <c r="F118" s="14">
        <v>4.8873300000000001E-2</v>
      </c>
      <c r="G118" s="14">
        <v>1.581415</v>
      </c>
      <c r="H118" s="14">
        <v>0.25884889999999999</v>
      </c>
      <c r="R118" s="11">
        <f t="shared" si="4"/>
        <v>2.508050351204718E-3</v>
      </c>
      <c r="Z118" s="11">
        <f t="shared" si="3"/>
        <v>3.1954134064232247E-3</v>
      </c>
    </row>
    <row r="119" spans="1:26" x14ac:dyDescent="0.2">
      <c r="A119" s="45">
        <v>23</v>
      </c>
      <c r="B119" s="45">
        <v>2004</v>
      </c>
      <c r="C119" s="17">
        <v>0</v>
      </c>
      <c r="D119" s="14">
        <v>0.1695805</v>
      </c>
      <c r="E119" s="14">
        <v>0.3774517</v>
      </c>
      <c r="F119" s="14">
        <v>5.2468000000000001E-2</v>
      </c>
      <c r="G119" s="14">
        <v>1.569448</v>
      </c>
      <c r="H119" s="14">
        <v>0.24853629999999999</v>
      </c>
      <c r="R119" s="11">
        <f t="shared" si="4"/>
        <v>2.4406266104662943E-3</v>
      </c>
      <c r="Z119" s="11">
        <f t="shared" si="3"/>
        <v>3.1208288665390813E-3</v>
      </c>
    </row>
    <row r="120" spans="1:26" x14ac:dyDescent="0.2">
      <c r="A120" s="45">
        <v>24</v>
      </c>
      <c r="B120" s="45">
        <v>1995</v>
      </c>
      <c r="C120" s="17">
        <v>0</v>
      </c>
      <c r="D120" s="14">
        <v>6.9555900000000004E-2</v>
      </c>
      <c r="E120" s="14">
        <v>0.30270849999999999</v>
      </c>
      <c r="F120" s="14">
        <v>6.4552700000000005E-2</v>
      </c>
      <c r="G120" s="14">
        <v>1.814792</v>
      </c>
      <c r="H120" s="14">
        <v>0.1734155</v>
      </c>
      <c r="R120" s="11">
        <f t="shared" si="4"/>
        <v>1.6720628535804613E-3</v>
      </c>
      <c r="Z120" s="11">
        <f t="shared" si="3"/>
        <v>2.1426719110985344E-3</v>
      </c>
    </row>
    <row r="121" spans="1:26" x14ac:dyDescent="0.2">
      <c r="A121" s="45">
        <v>24</v>
      </c>
      <c r="B121" s="45">
        <v>1996</v>
      </c>
      <c r="C121" s="17">
        <v>0</v>
      </c>
      <c r="D121" s="14">
        <v>5.3870000000000001E-2</v>
      </c>
      <c r="E121" s="14">
        <v>0.33828629999999998</v>
      </c>
      <c r="F121" s="14">
        <v>7.2233099999999995E-2</v>
      </c>
      <c r="G121" s="14">
        <v>1.826908</v>
      </c>
      <c r="H121" s="14">
        <v>0.18357670000000001</v>
      </c>
      <c r="R121" s="11">
        <f t="shared" si="4"/>
        <v>1.464905549031255E-3</v>
      </c>
      <c r="Z121" s="11">
        <f t="shared" si="3"/>
        <v>1.890949900208028E-3</v>
      </c>
    </row>
    <row r="122" spans="1:26" x14ac:dyDescent="0.2">
      <c r="A122" s="45">
        <v>24</v>
      </c>
      <c r="B122" s="45">
        <v>1997</v>
      </c>
      <c r="C122" s="17">
        <v>0</v>
      </c>
      <c r="D122" s="14">
        <v>3.3646500000000003E-2</v>
      </c>
      <c r="E122" s="14">
        <v>0.35680220000000001</v>
      </c>
      <c r="F122" s="14">
        <v>8.2138699999999995E-2</v>
      </c>
      <c r="G122" s="14">
        <v>2.2385929999999998</v>
      </c>
      <c r="H122" s="14">
        <v>0.2353855</v>
      </c>
      <c r="R122" s="11">
        <f t="shared" si="4"/>
        <v>6.841046287491163E-4</v>
      </c>
      <c r="Z122" s="11">
        <f t="shared" si="3"/>
        <v>8.8299146406180858E-4</v>
      </c>
    </row>
    <row r="123" spans="1:26" x14ac:dyDescent="0.2">
      <c r="A123" s="45">
        <v>24</v>
      </c>
      <c r="B123" s="45">
        <v>1998</v>
      </c>
      <c r="C123" s="17">
        <v>0</v>
      </c>
      <c r="D123" s="14">
        <v>5.0508000000000003E-3</v>
      </c>
      <c r="E123" s="14">
        <v>0.26083499999999998</v>
      </c>
      <c r="F123" s="14">
        <v>7.0438000000000001E-2</v>
      </c>
      <c r="G123" s="14">
        <v>2.7149369999999999</v>
      </c>
      <c r="H123" s="14">
        <v>0.1951107</v>
      </c>
      <c r="R123" s="11">
        <f t="shared" si="4"/>
        <v>4.0440812022836972E-4</v>
      </c>
      <c r="Z123" s="11">
        <f t="shared" si="3"/>
        <v>5.0997030169264927E-4</v>
      </c>
    </row>
    <row r="124" spans="1:26" x14ac:dyDescent="0.2">
      <c r="A124" s="45">
        <v>24</v>
      </c>
      <c r="B124" s="45">
        <v>1999</v>
      </c>
      <c r="C124" s="17">
        <v>0</v>
      </c>
      <c r="D124" s="14">
        <v>2.6503100000000002E-2</v>
      </c>
      <c r="E124" s="14">
        <v>0.30154219999999998</v>
      </c>
      <c r="F124" s="14">
        <v>8.1707199999999994E-2</v>
      </c>
      <c r="G124" s="14">
        <v>3.9731160000000001</v>
      </c>
      <c r="H124" s="14">
        <v>0.17607800000000001</v>
      </c>
      <c r="R124" s="11">
        <f t="shared" si="4"/>
        <v>4.6919025646503227E-5</v>
      </c>
      <c r="Z124" s="11">
        <f t="shared" si="3"/>
        <v>5.8170096829402298E-5</v>
      </c>
    </row>
    <row r="125" spans="1:26" x14ac:dyDescent="0.2">
      <c r="A125" s="45">
        <v>24</v>
      </c>
      <c r="B125" s="45">
        <v>2000</v>
      </c>
      <c r="C125" s="17">
        <v>0</v>
      </c>
      <c r="D125" s="14">
        <v>4.8872699999999998E-2</v>
      </c>
      <c r="E125" s="14">
        <v>0.35017569999999998</v>
      </c>
      <c r="F125" s="14">
        <v>5.7734199999999999E-2</v>
      </c>
      <c r="G125" s="14">
        <v>2.8020640000000001</v>
      </c>
      <c r="H125" s="14">
        <v>0.17753050000000001</v>
      </c>
      <c r="R125" s="11">
        <f t="shared" si="4"/>
        <v>3.4218685847579655E-4</v>
      </c>
      <c r="Z125" s="11">
        <f t="shared" si="3"/>
        <v>4.275346940647714E-4</v>
      </c>
    </row>
    <row r="126" spans="1:26" x14ac:dyDescent="0.2">
      <c r="A126" s="45">
        <v>24</v>
      </c>
      <c r="B126" s="45">
        <v>2001</v>
      </c>
      <c r="C126" s="17">
        <v>0</v>
      </c>
      <c r="D126" s="14">
        <v>5.6824E-2</v>
      </c>
      <c r="E126" s="14">
        <v>0.39108530000000002</v>
      </c>
      <c r="F126" s="14">
        <v>6.8927100000000005E-2</v>
      </c>
      <c r="G126" s="14">
        <v>2.7371210000000001</v>
      </c>
      <c r="H126" s="14">
        <v>0.18327080000000001</v>
      </c>
      <c r="R126" s="11">
        <f t="shared" si="4"/>
        <v>3.2696361598818054E-4</v>
      </c>
      <c r="Z126" s="11">
        <f t="shared" si="3"/>
        <v>4.1344868578791985E-4</v>
      </c>
    </row>
    <row r="127" spans="1:26" x14ac:dyDescent="0.2">
      <c r="A127" s="45">
        <v>24</v>
      </c>
      <c r="B127" s="45">
        <v>2002</v>
      </c>
      <c r="C127" s="17">
        <v>0</v>
      </c>
      <c r="D127" s="14">
        <v>3.4862700000000003E-2</v>
      </c>
      <c r="E127" s="14">
        <v>0.32329580000000002</v>
      </c>
      <c r="F127" s="14">
        <v>6.6376199999999996E-2</v>
      </c>
      <c r="G127" s="14">
        <v>1.5504169999999999</v>
      </c>
      <c r="H127" s="14">
        <v>0.14436460000000001</v>
      </c>
      <c r="R127" s="11">
        <f t="shared" si="4"/>
        <v>2.4353222785790012E-3</v>
      </c>
      <c r="Z127" s="11">
        <f t="shared" si="3"/>
        <v>3.1451342431240217E-3</v>
      </c>
    </row>
    <row r="128" spans="1:26" x14ac:dyDescent="0.2">
      <c r="A128" s="45">
        <v>24</v>
      </c>
      <c r="B128" s="45">
        <v>2003</v>
      </c>
      <c r="C128" s="17">
        <v>0</v>
      </c>
      <c r="D128" s="14">
        <v>4.3758100000000001E-2</v>
      </c>
      <c r="E128" s="14">
        <v>0.39491999999999999</v>
      </c>
      <c r="F128" s="14">
        <v>4.36625E-2</v>
      </c>
      <c r="G128" s="14">
        <v>1.5446200000000001</v>
      </c>
      <c r="H128" s="14">
        <v>0.1434598</v>
      </c>
      <c r="R128" s="11">
        <f t="shared" si="4"/>
        <v>2.6555228751016869E-3</v>
      </c>
      <c r="Z128" s="11">
        <f t="shared" si="3"/>
        <v>3.3749265019869658E-3</v>
      </c>
    </row>
    <row r="129" spans="1:26" x14ac:dyDescent="0.2">
      <c r="A129" s="45">
        <v>24</v>
      </c>
      <c r="B129" s="45">
        <v>2004</v>
      </c>
      <c r="C129" s="17">
        <v>0</v>
      </c>
      <c r="D129" s="14">
        <v>4.3872800000000003E-2</v>
      </c>
      <c r="E129" s="14">
        <v>0.43121579999999998</v>
      </c>
      <c r="F129" s="14">
        <v>5.85981E-2</v>
      </c>
      <c r="G129" s="14">
        <v>1.907273</v>
      </c>
      <c r="H129" s="14">
        <v>0.1557239</v>
      </c>
      <c r="R129" s="11">
        <f t="shared" si="4"/>
        <v>1.2559303266606559E-3</v>
      </c>
      <c r="Z129" s="11">
        <f t="shared" si="3"/>
        <v>1.6055729661363105E-3</v>
      </c>
    </row>
    <row r="130" spans="1:26" x14ac:dyDescent="0.2">
      <c r="A130" s="45">
        <v>25</v>
      </c>
      <c r="B130" s="45">
        <v>1999</v>
      </c>
      <c r="C130" s="17">
        <v>0</v>
      </c>
      <c r="D130" s="14">
        <v>0.1451007</v>
      </c>
      <c r="E130" s="14">
        <v>0.35458190000000001</v>
      </c>
      <c r="F130" s="14">
        <v>5.89574E-2</v>
      </c>
      <c r="G130" s="14">
        <v>2.8607580000000001</v>
      </c>
      <c r="H130" s="14">
        <v>0.27418940000000003</v>
      </c>
      <c r="R130" s="11">
        <f t="shared" si="4"/>
        <v>3.0663770738881252E-4</v>
      </c>
      <c r="Z130" s="11">
        <f t="shared" ref="Z130:Z193" si="5">1/(1+EXP(-(U$2+$V$2*E130+$W$2*F130+$X$2*G130)))</f>
        <v>3.8306914757406786E-4</v>
      </c>
    </row>
    <row r="131" spans="1:26" x14ac:dyDescent="0.2">
      <c r="A131" s="45">
        <v>25</v>
      </c>
      <c r="B131" s="45">
        <v>2000</v>
      </c>
      <c r="C131" s="17">
        <v>0</v>
      </c>
      <c r="D131" s="14">
        <v>2.7224000000000002E-2</v>
      </c>
      <c r="E131" s="14">
        <v>0.2412387</v>
      </c>
      <c r="F131" s="14">
        <v>6.9867499999999999E-2</v>
      </c>
      <c r="G131" s="14">
        <v>1.454542</v>
      </c>
      <c r="H131" s="14">
        <v>0.22447520000000001</v>
      </c>
      <c r="R131" s="11">
        <f t="shared" si="4"/>
        <v>3.1067502772705122E-3</v>
      </c>
      <c r="Z131" s="11">
        <f t="shared" si="5"/>
        <v>4.0201145183030289E-3</v>
      </c>
    </row>
    <row r="132" spans="1:26" x14ac:dyDescent="0.2">
      <c r="A132" s="45">
        <v>25</v>
      </c>
      <c r="B132" s="45">
        <v>2001</v>
      </c>
      <c r="C132" s="17">
        <v>0</v>
      </c>
      <c r="D132" s="14">
        <v>8.7961700000000004E-2</v>
      </c>
      <c r="E132" s="14">
        <v>0.24824679999999999</v>
      </c>
      <c r="F132" s="14">
        <v>2.45603E-2</v>
      </c>
      <c r="G132" s="14">
        <v>1.7273430000000001</v>
      </c>
      <c r="H132" s="14">
        <v>0.21225669999999999</v>
      </c>
      <c r="R132" s="11">
        <f t="shared" si="4"/>
        <v>2.861409398492699E-3</v>
      </c>
      <c r="Z132" s="11">
        <f t="shared" si="5"/>
        <v>3.5479495458056857E-3</v>
      </c>
    </row>
    <row r="133" spans="1:26" x14ac:dyDescent="0.2">
      <c r="A133" s="45">
        <v>25</v>
      </c>
      <c r="B133" s="45">
        <v>2002</v>
      </c>
      <c r="C133" s="17">
        <v>0</v>
      </c>
      <c r="D133" s="14">
        <v>9.3647499999999995E-2</v>
      </c>
      <c r="E133" s="14">
        <v>0.22809660000000001</v>
      </c>
      <c r="F133" s="14">
        <v>3.9419000000000003E-2</v>
      </c>
      <c r="G133" s="14">
        <v>1.0046619999999999</v>
      </c>
      <c r="H133" s="14">
        <v>0.1979361</v>
      </c>
      <c r="R133" s="11">
        <f t="shared" si="4"/>
        <v>8.2319035078968848E-3</v>
      </c>
      <c r="Z133" s="11">
        <f t="shared" si="5"/>
        <v>1.0474058828234614E-2</v>
      </c>
    </row>
    <row r="134" spans="1:26" x14ac:dyDescent="0.2">
      <c r="A134" s="45">
        <v>25</v>
      </c>
      <c r="B134" s="45">
        <v>2003</v>
      </c>
      <c r="C134" s="17">
        <v>0</v>
      </c>
      <c r="D134" s="14">
        <v>9.3577800000000003E-2</v>
      </c>
      <c r="E134" s="14">
        <v>0.25567909999999999</v>
      </c>
      <c r="F134" s="14">
        <v>4.6665499999999999E-2</v>
      </c>
      <c r="G134" s="14">
        <v>1.7091259999999999</v>
      </c>
      <c r="H134" s="14">
        <v>0.19322439999999999</v>
      </c>
      <c r="R134" s="11">
        <f t="shared" si="4"/>
        <v>2.4427806968939278E-3</v>
      </c>
      <c r="Z134" s="11">
        <f t="shared" si="5"/>
        <v>3.0864186489912792E-3</v>
      </c>
    </row>
    <row r="135" spans="1:26" x14ac:dyDescent="0.2">
      <c r="A135" s="45">
        <v>25</v>
      </c>
      <c r="B135" s="45">
        <v>2004</v>
      </c>
      <c r="C135" s="17">
        <v>0</v>
      </c>
      <c r="D135" s="14">
        <v>7.3662099999999994E-2</v>
      </c>
      <c r="E135" s="14">
        <v>0.28567120000000001</v>
      </c>
      <c r="F135" s="14">
        <v>2.7682200000000001E-2</v>
      </c>
      <c r="G135" s="14">
        <v>1.4509989999999999</v>
      </c>
      <c r="H135" s="14">
        <v>0.2241833</v>
      </c>
      <c r="R135" s="11">
        <f t="shared" si="4"/>
        <v>4.1003123486947806E-3</v>
      </c>
      <c r="Z135" s="11">
        <f t="shared" si="5"/>
        <v>5.1330353826366179E-3</v>
      </c>
    </row>
    <row r="136" spans="1:26" x14ac:dyDescent="0.2">
      <c r="A136" s="45">
        <v>26</v>
      </c>
      <c r="B136" s="45">
        <v>1999</v>
      </c>
      <c r="C136" s="17">
        <v>0</v>
      </c>
      <c r="D136" s="14">
        <v>0.18999640000000001</v>
      </c>
      <c r="E136" s="14">
        <v>1.72135E-2</v>
      </c>
      <c r="F136" s="14">
        <v>3.6524099999999997E-2</v>
      </c>
      <c r="G136" s="14">
        <v>3.0975540000000001</v>
      </c>
      <c r="H136" s="14">
        <v>0.1225296</v>
      </c>
      <c r="R136" s="11">
        <f t="shared" si="4"/>
        <v>4.1083509154567059E-4</v>
      </c>
      <c r="Z136" s="11">
        <f t="shared" si="5"/>
        <v>4.9549902392213917E-4</v>
      </c>
    </row>
    <row r="137" spans="1:26" x14ac:dyDescent="0.2">
      <c r="A137" s="45">
        <v>26</v>
      </c>
      <c r="B137" s="45">
        <v>2000</v>
      </c>
      <c r="C137" s="17">
        <v>0</v>
      </c>
      <c r="D137" s="14">
        <v>0.41577950000000002</v>
      </c>
      <c r="E137" s="14">
        <v>0.1101916</v>
      </c>
      <c r="F137" s="14">
        <v>5.0738499999999999E-2</v>
      </c>
      <c r="G137" s="14">
        <v>7.4419469999999999</v>
      </c>
      <c r="H137" s="14">
        <v>0.11231869999999999</v>
      </c>
      <c r="R137" s="11">
        <f t="shared" si="4"/>
        <v>3.1553333809546411E-7</v>
      </c>
      <c r="Z137" s="11">
        <f t="shared" si="5"/>
        <v>3.5103702811093539E-7</v>
      </c>
    </row>
    <row r="138" spans="1:26" x14ac:dyDescent="0.2">
      <c r="A138" s="45">
        <v>27</v>
      </c>
      <c r="B138" s="45">
        <v>1999</v>
      </c>
      <c r="C138" s="17">
        <v>0</v>
      </c>
      <c r="D138" s="14">
        <v>5.76623E-2</v>
      </c>
      <c r="E138" s="14">
        <v>0.31443500000000002</v>
      </c>
      <c r="F138" s="14">
        <v>7.3833700000000002E-2</v>
      </c>
      <c r="G138" s="14">
        <v>1.131961</v>
      </c>
      <c r="H138" s="14">
        <v>0.31742550000000003</v>
      </c>
      <c r="R138" s="11">
        <f t="shared" si="4"/>
        <v>4.5179981842706565E-3</v>
      </c>
      <c r="Z138" s="11">
        <f t="shared" si="5"/>
        <v>5.9190385987068104E-3</v>
      </c>
    </row>
    <row r="139" spans="1:26" x14ac:dyDescent="0.2">
      <c r="A139" s="45">
        <v>27</v>
      </c>
      <c r="B139" s="45">
        <v>2000</v>
      </c>
      <c r="C139" s="17">
        <v>0</v>
      </c>
      <c r="D139" s="14">
        <v>9.2327999999999993E-2</v>
      </c>
      <c r="E139" s="14">
        <v>0.31948729999999997</v>
      </c>
      <c r="F139" s="14">
        <v>7.1702600000000005E-2</v>
      </c>
      <c r="G139" s="14">
        <v>1.03674</v>
      </c>
      <c r="H139" s="14">
        <v>0.39028059999999998</v>
      </c>
      <c r="R139" s="11">
        <f t="shared" si="4"/>
        <v>5.305383320093884E-3</v>
      </c>
      <c r="Z139" s="11">
        <f t="shared" si="5"/>
        <v>6.9525004241162954E-3</v>
      </c>
    </row>
    <row r="140" spans="1:26" x14ac:dyDescent="0.2">
      <c r="A140" s="45">
        <v>27</v>
      </c>
      <c r="B140" s="45">
        <v>2001</v>
      </c>
      <c r="C140" s="17">
        <v>0</v>
      </c>
      <c r="D140" s="14">
        <v>3.6138999999999998E-2</v>
      </c>
      <c r="E140" s="14">
        <v>0.27237</v>
      </c>
      <c r="F140" s="14">
        <v>3.7122099999999998E-2</v>
      </c>
      <c r="G140" s="14">
        <v>0.56395169999999994</v>
      </c>
      <c r="H140" s="14">
        <v>0.21267510000000001</v>
      </c>
      <c r="R140" s="11">
        <f t="shared" si="4"/>
        <v>1.5748132421093259E-2</v>
      </c>
      <c r="Z140" s="11">
        <f t="shared" si="5"/>
        <v>2.0180084317778967E-2</v>
      </c>
    </row>
    <row r="141" spans="1:26" x14ac:dyDescent="0.2">
      <c r="A141" s="45">
        <v>27</v>
      </c>
      <c r="B141" s="45">
        <v>2002</v>
      </c>
      <c r="C141" s="17">
        <v>0</v>
      </c>
      <c r="D141" s="14">
        <v>4.3963299999999997E-2</v>
      </c>
      <c r="E141" s="14">
        <v>0.28093630000000003</v>
      </c>
      <c r="F141" s="14">
        <v>4.6756300000000001E-2</v>
      </c>
      <c r="G141" s="14">
        <v>0.57312830000000003</v>
      </c>
      <c r="H141" s="14">
        <v>0.2627061</v>
      </c>
      <c r="R141" s="11">
        <f t="shared" si="4"/>
        <v>1.4212710396613915E-2</v>
      </c>
      <c r="Z141" s="11">
        <f t="shared" si="5"/>
        <v>1.8364009503542639E-2</v>
      </c>
    </row>
    <row r="142" spans="1:26" x14ac:dyDescent="0.2">
      <c r="A142" s="45">
        <v>27</v>
      </c>
      <c r="B142" s="45">
        <v>2003</v>
      </c>
      <c r="C142" s="17">
        <v>0</v>
      </c>
      <c r="D142" s="14">
        <v>8.4355700000000006E-2</v>
      </c>
      <c r="E142" s="14">
        <v>0.28937570000000001</v>
      </c>
      <c r="F142" s="14">
        <v>2.6209400000000001E-2</v>
      </c>
      <c r="G142" s="14">
        <v>0.5743819</v>
      </c>
      <c r="H142" s="14">
        <v>0.29558679999999998</v>
      </c>
      <c r="R142" s="11">
        <f t="shared" si="4"/>
        <v>1.6476330726348937E-2</v>
      </c>
      <c r="Z142" s="11">
        <f t="shared" si="5"/>
        <v>2.0932013922750198E-2</v>
      </c>
    </row>
    <row r="143" spans="1:26" x14ac:dyDescent="0.2">
      <c r="A143" s="45">
        <v>27</v>
      </c>
      <c r="B143" s="45">
        <v>2004</v>
      </c>
      <c r="C143" s="17">
        <v>0</v>
      </c>
      <c r="D143" s="14">
        <v>1.0224E-2</v>
      </c>
      <c r="E143" s="14">
        <v>0.24878549999999999</v>
      </c>
      <c r="F143" s="14">
        <v>5.1870899999999998E-2</v>
      </c>
      <c r="G143" s="14">
        <v>0.73559430000000003</v>
      </c>
      <c r="H143" s="14">
        <v>0.3130597</v>
      </c>
      <c r="R143" s="11">
        <f t="shared" si="4"/>
        <v>1.1070130564551261E-2</v>
      </c>
      <c r="Z143" s="11">
        <f t="shared" si="5"/>
        <v>1.4309989594680867E-2</v>
      </c>
    </row>
    <row r="144" spans="1:26" x14ac:dyDescent="0.2">
      <c r="A144" s="45">
        <v>28</v>
      </c>
      <c r="B144" s="45">
        <v>1999</v>
      </c>
      <c r="C144" s="17">
        <v>0</v>
      </c>
      <c r="D144" s="14">
        <v>7.4940199999999998E-2</v>
      </c>
      <c r="E144" s="14">
        <v>0.68670399999999998</v>
      </c>
      <c r="F144" s="14">
        <v>6.9855299999999995E-2</v>
      </c>
      <c r="G144" s="14">
        <v>1.516214</v>
      </c>
      <c r="H144" s="14">
        <v>0.23815710000000001</v>
      </c>
      <c r="R144" s="11">
        <f t="shared" si="4"/>
        <v>1.4759671694422329E-3</v>
      </c>
      <c r="Z144" s="11">
        <f t="shared" si="5"/>
        <v>1.9375062655537876E-3</v>
      </c>
    </row>
    <row r="145" spans="1:26" x14ac:dyDescent="0.2">
      <c r="A145" s="45">
        <v>28</v>
      </c>
      <c r="B145" s="45">
        <v>2000</v>
      </c>
      <c r="C145" s="17">
        <v>0</v>
      </c>
      <c r="D145" s="14">
        <v>7.6209700000000005E-2</v>
      </c>
      <c r="E145" s="14">
        <v>0.70064959999999998</v>
      </c>
      <c r="F145" s="14">
        <v>5.8924299999999999E-2</v>
      </c>
      <c r="G145" s="14">
        <v>1.3195749999999999</v>
      </c>
      <c r="H145" s="14">
        <v>0.26568829999999999</v>
      </c>
      <c r="R145" s="11">
        <f t="shared" si="4"/>
        <v>2.1579389371935527E-3</v>
      </c>
      <c r="Z145" s="11">
        <f t="shared" si="5"/>
        <v>2.8204265095622075E-3</v>
      </c>
    </row>
    <row r="146" spans="1:26" x14ac:dyDescent="0.2">
      <c r="A146" s="45">
        <v>28</v>
      </c>
      <c r="B146" s="45">
        <v>2001</v>
      </c>
      <c r="C146" s="17">
        <v>0</v>
      </c>
      <c r="D146" s="14">
        <v>0.16550809999999999</v>
      </c>
      <c r="E146" s="14">
        <v>0.79749300000000001</v>
      </c>
      <c r="F146" s="14">
        <v>6.42427E-2</v>
      </c>
      <c r="G146" s="14">
        <v>1.874277</v>
      </c>
      <c r="H146" s="14">
        <v>0.2772907</v>
      </c>
      <c r="R146" s="11">
        <f t="shared" si="4"/>
        <v>7.4322678019486622E-4</v>
      </c>
      <c r="Z146" s="11">
        <f t="shared" si="5"/>
        <v>9.674262220873102E-4</v>
      </c>
    </row>
    <row r="147" spans="1:26" x14ac:dyDescent="0.2">
      <c r="A147" s="45">
        <v>28</v>
      </c>
      <c r="B147" s="45">
        <v>2002</v>
      </c>
      <c r="C147" s="17">
        <v>0</v>
      </c>
      <c r="D147" s="14">
        <v>0.103047</v>
      </c>
      <c r="E147" s="14">
        <v>0.78042350000000005</v>
      </c>
      <c r="F147" s="14">
        <v>5.7165100000000003E-2</v>
      </c>
      <c r="G147" s="14">
        <v>2.0184549999999999</v>
      </c>
      <c r="H147" s="14">
        <v>0.27370919999999999</v>
      </c>
      <c r="R147" s="11">
        <f t="shared" si="4"/>
        <v>6.4083755702510909E-4</v>
      </c>
      <c r="Z147" s="11">
        <f t="shared" si="5"/>
        <v>8.262449088161782E-4</v>
      </c>
    </row>
    <row r="148" spans="1:26" x14ac:dyDescent="0.2">
      <c r="A148" s="45">
        <v>28</v>
      </c>
      <c r="B148" s="45">
        <v>2003</v>
      </c>
      <c r="C148" s="17">
        <v>0</v>
      </c>
      <c r="D148" s="14">
        <v>4.40983E-2</v>
      </c>
      <c r="E148" s="14">
        <v>0.66985399999999995</v>
      </c>
      <c r="F148" s="14">
        <v>6.40931E-2</v>
      </c>
      <c r="G148" s="14">
        <v>2.2190319999999999</v>
      </c>
      <c r="H148" s="14">
        <v>0.23801530000000001</v>
      </c>
      <c r="R148" s="11">
        <f t="shared" si="4"/>
        <v>5.1729542025834806E-4</v>
      </c>
      <c r="Z148" s="11">
        <f t="shared" si="5"/>
        <v>6.653004823805878E-4</v>
      </c>
    </row>
    <row r="149" spans="1:26" x14ac:dyDescent="0.2">
      <c r="A149" s="45">
        <v>28</v>
      </c>
      <c r="B149" s="45">
        <v>2004</v>
      </c>
      <c r="C149" s="17">
        <v>0</v>
      </c>
      <c r="D149" s="14">
        <v>0.1218325</v>
      </c>
      <c r="E149" s="14">
        <v>0.72319849999999997</v>
      </c>
      <c r="F149" s="14">
        <v>6.7295199999999999E-2</v>
      </c>
      <c r="G149" s="14">
        <v>2.415635</v>
      </c>
      <c r="H149" s="14">
        <v>0.25794260000000002</v>
      </c>
      <c r="R149" s="11">
        <f t="shared" si="4"/>
        <v>3.4114484576998111E-4</v>
      </c>
      <c r="Z149" s="11">
        <f t="shared" si="5"/>
        <v>4.3882730188198336E-4</v>
      </c>
    </row>
    <row r="150" spans="1:26" x14ac:dyDescent="0.2">
      <c r="A150" s="45">
        <v>29</v>
      </c>
      <c r="B150" s="45">
        <v>2000</v>
      </c>
      <c r="C150" s="17">
        <v>0</v>
      </c>
      <c r="D150" s="14">
        <v>-6.9149600000000006E-2</v>
      </c>
      <c r="E150" s="14">
        <v>8.2794300000000001E-2</v>
      </c>
      <c r="F150" s="14">
        <v>3.4941100000000003E-2</v>
      </c>
      <c r="G150" s="14">
        <v>0.33803060000000001</v>
      </c>
      <c r="H150" s="14">
        <v>0.2229237</v>
      </c>
      <c r="R150" s="11">
        <f t="shared" si="4"/>
        <v>2.982757369049991E-2</v>
      </c>
      <c r="Z150" s="11">
        <f t="shared" si="5"/>
        <v>3.7947560277399699E-2</v>
      </c>
    </row>
    <row r="151" spans="1:26" x14ac:dyDescent="0.2">
      <c r="A151" s="45">
        <v>29</v>
      </c>
      <c r="B151" s="45">
        <v>2001</v>
      </c>
      <c r="C151" s="17">
        <v>0</v>
      </c>
      <c r="D151" s="14">
        <v>-9.0627200000000005E-2</v>
      </c>
      <c r="E151" s="14">
        <v>9.4666200000000006E-2</v>
      </c>
      <c r="F151" s="14">
        <v>3.0965900000000001E-2</v>
      </c>
      <c r="G151" s="14">
        <v>0.3888742</v>
      </c>
      <c r="H151" s="14">
        <v>7.75058E-2</v>
      </c>
      <c r="R151" s="11">
        <f t="shared" ref="R151:R214" si="6">1/(1+EXP(-(K$2+$M$2*E151+$N$2*F151+$O$2*G151)))</f>
        <v>2.7962535515910065E-2</v>
      </c>
      <c r="Z151" s="11">
        <f t="shared" si="5"/>
        <v>3.5457362364206553E-2</v>
      </c>
    </row>
    <row r="152" spans="1:26" x14ac:dyDescent="0.2">
      <c r="A152" s="45">
        <v>29</v>
      </c>
      <c r="B152" s="45">
        <v>2002</v>
      </c>
      <c r="C152" s="17">
        <v>0</v>
      </c>
      <c r="D152" s="14">
        <v>-8.2439499999999999E-2</v>
      </c>
      <c r="E152" s="14">
        <v>5.2244400000000003E-2</v>
      </c>
      <c r="F152" s="14">
        <v>3.4134699999999997E-2</v>
      </c>
      <c r="G152" s="14">
        <v>0.36233880000000002</v>
      </c>
      <c r="H152" s="14">
        <v>0.1128975</v>
      </c>
      <c r="R152" s="11">
        <f t="shared" si="6"/>
        <v>3.0180693591645571E-2</v>
      </c>
      <c r="Z152" s="11">
        <f t="shared" si="5"/>
        <v>3.8310266302507667E-2</v>
      </c>
    </row>
    <row r="153" spans="1:26" x14ac:dyDescent="0.2">
      <c r="A153" s="45">
        <v>29</v>
      </c>
      <c r="B153" s="45">
        <v>2003</v>
      </c>
      <c r="C153" s="17">
        <v>0</v>
      </c>
      <c r="D153" s="14">
        <v>-4.6202999999999999E-3</v>
      </c>
      <c r="E153" s="14">
        <v>5.8869999999999999E-2</v>
      </c>
      <c r="F153" s="14">
        <v>5.3699999999999998E-2</v>
      </c>
      <c r="G153" s="14">
        <v>0.46209600000000001</v>
      </c>
      <c r="H153" s="14">
        <v>0.14065440000000001</v>
      </c>
      <c r="R153" s="11">
        <f t="shared" si="6"/>
        <v>2.1988161256037489E-2</v>
      </c>
      <c r="Z153" s="11">
        <f t="shared" si="5"/>
        <v>2.8359708160824809E-2</v>
      </c>
    </row>
    <row r="154" spans="1:26" x14ac:dyDescent="0.2">
      <c r="A154" s="45">
        <v>29</v>
      </c>
      <c r="B154" s="45">
        <v>2004</v>
      </c>
      <c r="C154" s="17">
        <v>0</v>
      </c>
      <c r="D154" s="14">
        <v>1.3973599999999999E-2</v>
      </c>
      <c r="E154" s="14">
        <v>8.82463E-2</v>
      </c>
      <c r="F154" s="14">
        <v>3.9443600000000002E-2</v>
      </c>
      <c r="G154" s="14">
        <v>0.57184760000000001</v>
      </c>
      <c r="H154" s="14">
        <v>0.12767400000000001</v>
      </c>
      <c r="R154" s="11">
        <f t="shared" si="6"/>
        <v>1.9867684508854358E-2</v>
      </c>
      <c r="Z154" s="11">
        <f t="shared" si="5"/>
        <v>2.5315730269800912E-2</v>
      </c>
    </row>
    <row r="155" spans="1:26" x14ac:dyDescent="0.2">
      <c r="A155" s="45">
        <v>30</v>
      </c>
      <c r="B155" s="45">
        <v>1999</v>
      </c>
      <c r="C155" s="17">
        <v>0</v>
      </c>
      <c r="D155" s="14">
        <v>0.247727</v>
      </c>
      <c r="E155" s="14">
        <v>0.55901120000000004</v>
      </c>
      <c r="F155" s="14">
        <v>7.5966400000000003E-2</v>
      </c>
      <c r="G155" s="14">
        <v>0.84216420000000003</v>
      </c>
      <c r="H155" s="14">
        <v>0.2706635</v>
      </c>
      <c r="R155" s="11">
        <f t="shared" si="6"/>
        <v>4.9371484992353273E-3</v>
      </c>
      <c r="Z155" s="11">
        <f t="shared" si="5"/>
        <v>6.5742977231932689E-3</v>
      </c>
    </row>
    <row r="156" spans="1:26" x14ac:dyDescent="0.2">
      <c r="A156" s="45">
        <v>30</v>
      </c>
      <c r="B156" s="45">
        <v>2000</v>
      </c>
      <c r="C156" s="17">
        <v>0</v>
      </c>
      <c r="D156" s="14">
        <v>6.25806E-2</v>
      </c>
      <c r="E156" s="14">
        <v>0.45581490000000002</v>
      </c>
      <c r="F156" s="14">
        <v>5.0710400000000003E-2</v>
      </c>
      <c r="G156" s="14">
        <v>0.4861991</v>
      </c>
      <c r="H156" s="14">
        <v>0.2671269</v>
      </c>
      <c r="R156" s="11">
        <f t="shared" si="6"/>
        <v>1.2289064894184337E-2</v>
      </c>
      <c r="Z156" s="11">
        <f t="shared" si="5"/>
        <v>1.6062824765255911E-2</v>
      </c>
    </row>
    <row r="157" spans="1:26" x14ac:dyDescent="0.2">
      <c r="A157" s="45">
        <v>30</v>
      </c>
      <c r="B157" s="45">
        <v>2001</v>
      </c>
      <c r="C157" s="17">
        <v>0</v>
      </c>
      <c r="D157" s="14">
        <v>0.1728288</v>
      </c>
      <c r="E157" s="14">
        <v>0.41641479999999997</v>
      </c>
      <c r="F157" s="14">
        <v>6.1921999999999998E-2</v>
      </c>
      <c r="G157" s="14">
        <v>0.50190670000000004</v>
      </c>
      <c r="H157" s="14">
        <v>0.25684129999999999</v>
      </c>
      <c r="R157" s="11">
        <f t="shared" si="6"/>
        <v>1.1611205866390677E-2</v>
      </c>
      <c r="Z157" s="11">
        <f t="shared" si="5"/>
        <v>1.5292442309057571E-2</v>
      </c>
    </row>
    <row r="158" spans="1:26" x14ac:dyDescent="0.2">
      <c r="A158" s="45">
        <v>30</v>
      </c>
      <c r="B158" s="45">
        <v>2002</v>
      </c>
      <c r="C158" s="17">
        <v>0</v>
      </c>
      <c r="D158" s="14">
        <v>0.24190139999999999</v>
      </c>
      <c r="E158" s="14">
        <v>0.47669859999999997</v>
      </c>
      <c r="F158" s="14">
        <v>6.23055E-2</v>
      </c>
      <c r="G158" s="14">
        <v>0.56086389999999997</v>
      </c>
      <c r="H158" s="14">
        <v>0.23776929999999999</v>
      </c>
      <c r="R158" s="11">
        <f t="shared" si="6"/>
        <v>9.6721937192548405E-3</v>
      </c>
      <c r="Z158" s="11">
        <f t="shared" si="5"/>
        <v>1.2760238001639557E-2</v>
      </c>
    </row>
    <row r="159" spans="1:26" x14ac:dyDescent="0.2">
      <c r="A159" s="45">
        <v>30</v>
      </c>
      <c r="B159" s="45">
        <v>2003</v>
      </c>
      <c r="C159" s="17">
        <v>0</v>
      </c>
      <c r="D159" s="14">
        <v>0.33931650000000002</v>
      </c>
      <c r="E159" s="14">
        <v>0.55839380000000005</v>
      </c>
      <c r="F159" s="14">
        <v>3.6751399999999997E-2</v>
      </c>
      <c r="G159" s="14">
        <v>1.181289</v>
      </c>
      <c r="H159" s="14">
        <v>0.25738109999999997</v>
      </c>
      <c r="R159" s="11">
        <f t="shared" si="6"/>
        <v>3.9429928432679973E-3</v>
      </c>
      <c r="Z159" s="11">
        <f t="shared" si="5"/>
        <v>5.0491590781944528E-3</v>
      </c>
    </row>
    <row r="160" spans="1:26" x14ac:dyDescent="0.2">
      <c r="A160" s="45">
        <v>30</v>
      </c>
      <c r="B160" s="45">
        <v>2004</v>
      </c>
      <c r="C160" s="17">
        <v>0</v>
      </c>
      <c r="D160" s="14">
        <v>0.33479449999999999</v>
      </c>
      <c r="E160" s="14">
        <v>0.5799221</v>
      </c>
      <c r="F160" s="14">
        <v>3.9380600000000002E-2</v>
      </c>
      <c r="G160" s="14">
        <v>1.4320980000000001</v>
      </c>
      <c r="H160" s="14">
        <v>0.21493880000000001</v>
      </c>
      <c r="R160" s="11">
        <f t="shared" si="6"/>
        <v>2.5126889780904072E-3</v>
      </c>
      <c r="Z160" s="11">
        <f t="shared" si="5"/>
        <v>3.2104671460907409E-3</v>
      </c>
    </row>
    <row r="161" spans="1:26" x14ac:dyDescent="0.2">
      <c r="A161" s="45">
        <v>31</v>
      </c>
      <c r="B161" s="45">
        <v>1999</v>
      </c>
      <c r="C161" s="17">
        <v>0</v>
      </c>
      <c r="D161" s="14">
        <v>0.1337662</v>
      </c>
      <c r="E161" s="14">
        <v>0.1156021</v>
      </c>
      <c r="F161" s="14">
        <v>6.7052700000000007E-2</v>
      </c>
      <c r="G161" s="14">
        <v>2.919816</v>
      </c>
      <c r="H161" s="14">
        <v>0.14879519999999999</v>
      </c>
      <c r="R161" s="11">
        <f t="shared" si="6"/>
        <v>3.7026374944350185E-4</v>
      </c>
      <c r="Z161" s="11">
        <f t="shared" si="5"/>
        <v>4.6122843770248086E-4</v>
      </c>
    </row>
    <row r="162" spans="1:26" x14ac:dyDescent="0.2">
      <c r="A162" s="45">
        <v>31</v>
      </c>
      <c r="B162" s="45">
        <v>2000</v>
      </c>
      <c r="C162" s="17">
        <v>0</v>
      </c>
      <c r="D162" s="14">
        <v>6.7730200000000004E-2</v>
      </c>
      <c r="E162" s="14">
        <v>-3.45308E-2</v>
      </c>
      <c r="F162" s="14">
        <v>6.33827E-2</v>
      </c>
      <c r="G162" s="14">
        <v>4.5922159999999996</v>
      </c>
      <c r="H162" s="14">
        <v>0.19690150000000001</v>
      </c>
      <c r="R162" s="11">
        <f t="shared" si="6"/>
        <v>3.3018857268736916E-5</v>
      </c>
      <c r="Z162" s="11">
        <f t="shared" si="5"/>
        <v>3.9324929027755528E-5</v>
      </c>
    </row>
    <row r="163" spans="1:26" x14ac:dyDescent="0.2">
      <c r="A163" s="45">
        <v>31</v>
      </c>
      <c r="B163" s="45">
        <v>2001</v>
      </c>
      <c r="C163" s="17">
        <v>0</v>
      </c>
      <c r="D163" s="14">
        <v>0.13416169999999999</v>
      </c>
      <c r="E163" s="14">
        <v>1.0509299999999999E-2</v>
      </c>
      <c r="F163" s="14">
        <v>7.2255299999999995E-2</v>
      </c>
      <c r="G163" s="14">
        <v>4.299245</v>
      </c>
      <c r="H163" s="14">
        <v>0.18872359999999999</v>
      </c>
      <c r="R163" s="11">
        <f t="shared" si="6"/>
        <v>4.5946657346970785E-5</v>
      </c>
      <c r="Z163" s="11">
        <f t="shared" si="5"/>
        <v>5.5563464706253794E-5</v>
      </c>
    </row>
    <row r="164" spans="1:26" x14ac:dyDescent="0.2">
      <c r="A164" s="45">
        <v>31</v>
      </c>
      <c r="B164" s="45">
        <v>2002</v>
      </c>
      <c r="C164" s="17">
        <v>0</v>
      </c>
      <c r="D164" s="14">
        <v>0.26998280000000002</v>
      </c>
      <c r="E164" s="14">
        <v>0.14037179999999999</v>
      </c>
      <c r="F164" s="14">
        <v>6.7245399999999997E-2</v>
      </c>
      <c r="G164" s="14">
        <v>2.8178320000000001</v>
      </c>
      <c r="H164" s="14">
        <v>0.17527239999999999</v>
      </c>
      <c r="R164" s="11">
        <f t="shared" si="6"/>
        <v>4.1952803030875264E-4</v>
      </c>
      <c r="Z164" s="11">
        <f t="shared" si="5"/>
        <v>5.2429116151269588E-4</v>
      </c>
    </row>
    <row r="165" spans="1:26" x14ac:dyDescent="0.2">
      <c r="A165" s="45">
        <v>31</v>
      </c>
      <c r="B165" s="45">
        <v>2003</v>
      </c>
      <c r="C165" s="17">
        <v>0</v>
      </c>
      <c r="D165" s="14">
        <v>0.2362805</v>
      </c>
      <c r="E165" s="14">
        <v>0.14840310000000001</v>
      </c>
      <c r="F165" s="14">
        <v>5.2065899999999998E-2</v>
      </c>
      <c r="G165" s="14">
        <v>2.6201759999999998</v>
      </c>
      <c r="H165" s="14">
        <v>0.1650954</v>
      </c>
      <c r="R165" s="11">
        <f t="shared" si="6"/>
        <v>6.4138882735026285E-4</v>
      </c>
      <c r="Z165" s="11">
        <f t="shared" si="5"/>
        <v>7.9527569101528115E-4</v>
      </c>
    </row>
    <row r="166" spans="1:26" x14ac:dyDescent="0.2">
      <c r="A166" s="45">
        <v>31</v>
      </c>
      <c r="B166" s="45">
        <v>2004</v>
      </c>
      <c r="C166" s="17">
        <v>0</v>
      </c>
      <c r="D166" s="14">
        <v>0.19883200000000001</v>
      </c>
      <c r="E166" s="14">
        <v>0.17172580000000001</v>
      </c>
      <c r="F166" s="14">
        <v>7.0191000000000003E-2</v>
      </c>
      <c r="G166" s="14">
        <v>2.4185089999999998</v>
      </c>
      <c r="H166" s="14">
        <v>0.16800029999999999</v>
      </c>
      <c r="R166" s="11">
        <f t="shared" si="6"/>
        <v>7.3953201931479021E-4</v>
      </c>
      <c r="Z166" s="11">
        <f t="shared" si="5"/>
        <v>9.3554184894716313E-4</v>
      </c>
    </row>
    <row r="167" spans="1:26" x14ac:dyDescent="0.2">
      <c r="A167" s="45">
        <v>32</v>
      </c>
      <c r="B167" s="45">
        <v>1998</v>
      </c>
      <c r="C167" s="17">
        <v>0</v>
      </c>
      <c r="D167" s="14">
        <v>0.29833749999999998</v>
      </c>
      <c r="E167" s="14">
        <v>-0.20382700000000001</v>
      </c>
      <c r="F167" s="14">
        <v>4.2287999999999999E-2</v>
      </c>
      <c r="G167" s="14">
        <v>0.82614069999999995</v>
      </c>
      <c r="H167" s="14">
        <v>0.13938130000000001</v>
      </c>
      <c r="R167" s="11">
        <f t="shared" si="6"/>
        <v>1.9803293941921294E-2</v>
      </c>
      <c r="Z167" s="11">
        <f t="shared" si="5"/>
        <v>2.4909547584391508E-2</v>
      </c>
    </row>
    <row r="168" spans="1:26" x14ac:dyDescent="0.2">
      <c r="A168" s="45">
        <v>32</v>
      </c>
      <c r="B168" s="45">
        <v>1999</v>
      </c>
      <c r="C168" s="17">
        <v>0</v>
      </c>
      <c r="D168" s="14">
        <v>0.41278809999999999</v>
      </c>
      <c r="E168" s="14">
        <v>-9.9464499999999997E-2</v>
      </c>
      <c r="F168" s="14">
        <v>7.2190599999999994E-2</v>
      </c>
      <c r="G168" s="14">
        <v>0.87093039999999999</v>
      </c>
      <c r="H168" s="14">
        <v>0.17730689999999999</v>
      </c>
      <c r="R168" s="11">
        <f t="shared" si="6"/>
        <v>1.2564702239283023E-2</v>
      </c>
      <c r="Z168" s="11">
        <f t="shared" si="5"/>
        <v>1.6262589842127948E-2</v>
      </c>
    </row>
    <row r="169" spans="1:26" x14ac:dyDescent="0.2">
      <c r="A169" s="45">
        <v>32</v>
      </c>
      <c r="B169" s="45">
        <v>2000</v>
      </c>
      <c r="C169" s="17">
        <v>0</v>
      </c>
      <c r="D169" s="14">
        <v>0.40632679999999999</v>
      </c>
      <c r="E169" s="14">
        <v>-2.4861500000000002E-2</v>
      </c>
      <c r="F169" s="14">
        <v>3.0259899999999999E-2</v>
      </c>
      <c r="G169" s="14">
        <v>0.84457910000000003</v>
      </c>
      <c r="H169" s="14">
        <v>0.13950319999999999</v>
      </c>
      <c r="R169" s="11">
        <f t="shared" si="6"/>
        <v>1.6378134450991771E-2</v>
      </c>
      <c r="Z169" s="11">
        <f t="shared" si="5"/>
        <v>2.0536531266647985E-2</v>
      </c>
    </row>
    <row r="170" spans="1:26" x14ac:dyDescent="0.2">
      <c r="A170" s="45">
        <v>32</v>
      </c>
      <c r="B170" s="45">
        <v>2001</v>
      </c>
      <c r="C170" s="17">
        <v>0</v>
      </c>
      <c r="D170" s="14">
        <v>0.55334799999999995</v>
      </c>
      <c r="E170" s="14">
        <v>3.5332099999999998E-2</v>
      </c>
      <c r="F170" s="14">
        <v>0.1000707</v>
      </c>
      <c r="G170" s="14">
        <v>0.98072170000000003</v>
      </c>
      <c r="H170" s="14">
        <v>0.20421719999999999</v>
      </c>
      <c r="R170" s="11">
        <f t="shared" si="6"/>
        <v>6.9765905646995349E-3</v>
      </c>
      <c r="Z170" s="11">
        <f t="shared" si="5"/>
        <v>9.2722824345093484E-3</v>
      </c>
    </row>
    <row r="171" spans="1:26" x14ac:dyDescent="0.2">
      <c r="A171" s="45">
        <v>32</v>
      </c>
      <c r="B171" s="45">
        <v>2002</v>
      </c>
      <c r="C171" s="17">
        <v>0</v>
      </c>
      <c r="D171" s="14">
        <v>0.63902389999999998</v>
      </c>
      <c r="E171" s="14">
        <v>8.8414099999999995E-2</v>
      </c>
      <c r="F171" s="14">
        <v>7.1233000000000005E-2</v>
      </c>
      <c r="G171" s="14">
        <v>1.203276</v>
      </c>
      <c r="H171" s="14">
        <v>0.1988394</v>
      </c>
      <c r="R171" s="11">
        <f t="shared" si="6"/>
        <v>5.712537801626341E-3</v>
      </c>
      <c r="Z171" s="11">
        <f t="shared" si="5"/>
        <v>7.3966864856170279E-3</v>
      </c>
    </row>
    <row r="172" spans="1:26" x14ac:dyDescent="0.2">
      <c r="A172" s="45">
        <v>32</v>
      </c>
      <c r="B172" s="45">
        <v>2003</v>
      </c>
      <c r="C172" s="17">
        <v>0</v>
      </c>
      <c r="D172" s="14">
        <v>0.45818930000000002</v>
      </c>
      <c r="E172" s="14">
        <v>0.2016821</v>
      </c>
      <c r="F172" s="14">
        <v>0.10102940000000001</v>
      </c>
      <c r="G172" s="14">
        <v>4.6682410000000001</v>
      </c>
      <c r="H172" s="14">
        <v>0.24315990000000001</v>
      </c>
      <c r="R172" s="11">
        <f t="shared" si="6"/>
        <v>1.5353552329846746E-5</v>
      </c>
      <c r="Z172" s="11">
        <f t="shared" si="5"/>
        <v>1.8980471596107182E-5</v>
      </c>
    </row>
    <row r="173" spans="1:26" x14ac:dyDescent="0.2">
      <c r="A173" s="45">
        <v>33</v>
      </c>
      <c r="B173" s="45">
        <v>1999</v>
      </c>
      <c r="C173" s="17">
        <v>0</v>
      </c>
      <c r="D173" s="14">
        <v>-4.0764099999999998E-2</v>
      </c>
      <c r="E173" s="14">
        <v>0.1280075</v>
      </c>
      <c r="F173" s="14">
        <v>4.7218999999999997E-2</v>
      </c>
      <c r="G173" s="14">
        <v>1.8144830000000001</v>
      </c>
      <c r="H173" s="14">
        <v>0.13265950000000001</v>
      </c>
      <c r="R173" s="11">
        <f t="shared" si="6"/>
        <v>2.4754387179478868E-3</v>
      </c>
      <c r="Z173" s="11">
        <f t="shared" si="5"/>
        <v>3.1082515295683638E-3</v>
      </c>
    </row>
    <row r="174" spans="1:26" x14ac:dyDescent="0.2">
      <c r="A174" s="45">
        <v>33</v>
      </c>
      <c r="B174" s="45">
        <v>2000</v>
      </c>
      <c r="C174" s="17">
        <v>0</v>
      </c>
      <c r="D174" s="14">
        <v>-0.113707</v>
      </c>
      <c r="E174" s="14">
        <v>5.5918000000000002E-2</v>
      </c>
      <c r="F174" s="14">
        <v>4.7681500000000002E-2</v>
      </c>
      <c r="G174" s="14">
        <v>0.4987954</v>
      </c>
      <c r="H174" s="14">
        <v>8.84017E-2</v>
      </c>
      <c r="R174" s="11">
        <f t="shared" si="6"/>
        <v>2.1858447544975096E-2</v>
      </c>
      <c r="Z174" s="11">
        <f t="shared" si="5"/>
        <v>2.8033849008524132E-2</v>
      </c>
    </row>
    <row r="175" spans="1:26" x14ac:dyDescent="0.2">
      <c r="A175" s="45">
        <v>33</v>
      </c>
      <c r="B175" s="45">
        <v>2001</v>
      </c>
      <c r="C175" s="17">
        <v>0</v>
      </c>
      <c r="D175" s="14">
        <v>1.8160900000000001E-2</v>
      </c>
      <c r="E175" s="14">
        <v>1.0539400000000001E-2</v>
      </c>
      <c r="F175" s="14">
        <v>3.3293799999999998E-2</v>
      </c>
      <c r="G175" s="14">
        <v>0.58845479999999994</v>
      </c>
      <c r="H175" s="14">
        <v>0.10502690000000001</v>
      </c>
      <c r="R175" s="11">
        <f t="shared" si="6"/>
        <v>2.2690032280813569E-2</v>
      </c>
      <c r="Z175" s="11">
        <f t="shared" si="5"/>
        <v>2.8663653089811333E-2</v>
      </c>
    </row>
    <row r="176" spans="1:26" x14ac:dyDescent="0.2">
      <c r="A176" s="45">
        <v>33</v>
      </c>
      <c r="B176" s="45">
        <v>2002</v>
      </c>
      <c r="C176" s="17">
        <v>0</v>
      </c>
      <c r="D176" s="14">
        <v>0.1049351</v>
      </c>
      <c r="E176" s="14">
        <v>-0.27174999999999999</v>
      </c>
      <c r="F176" s="14">
        <v>4.3099999999999999E-2</v>
      </c>
      <c r="G176" s="14">
        <v>0.50731150000000003</v>
      </c>
      <c r="H176" s="14">
        <v>0.19256680000000001</v>
      </c>
      <c r="R176" s="11">
        <f t="shared" si="6"/>
        <v>3.5517902272137643E-2</v>
      </c>
      <c r="Z176" s="11">
        <f t="shared" si="5"/>
        <v>4.4720583244869175E-2</v>
      </c>
    </row>
    <row r="177" spans="1:26" x14ac:dyDescent="0.2">
      <c r="A177" s="45">
        <v>33</v>
      </c>
      <c r="B177" s="45">
        <v>2003</v>
      </c>
      <c r="C177" s="17">
        <v>0</v>
      </c>
      <c r="D177" s="14">
        <v>5.9807800000000001E-2</v>
      </c>
      <c r="E177" s="14">
        <v>-0.27150299999999999</v>
      </c>
      <c r="F177" s="14">
        <v>4.14647E-2</v>
      </c>
      <c r="G177" s="14">
        <v>0.50349279999999996</v>
      </c>
      <c r="H177" s="14">
        <v>0.20178869999999999</v>
      </c>
      <c r="R177" s="11">
        <f t="shared" si="6"/>
        <v>3.6167826412288218E-2</v>
      </c>
      <c r="Z177" s="11">
        <f t="shared" si="5"/>
        <v>4.5476752951730863E-2</v>
      </c>
    </row>
    <row r="178" spans="1:26" x14ac:dyDescent="0.2">
      <c r="A178" s="45">
        <v>33</v>
      </c>
      <c r="B178" s="45">
        <v>2004</v>
      </c>
      <c r="C178" s="17">
        <v>0</v>
      </c>
      <c r="D178" s="14">
        <v>4.3859500000000003E-2</v>
      </c>
      <c r="E178" s="14">
        <v>-0.60369019999999995</v>
      </c>
      <c r="F178" s="14">
        <v>4.5935200000000002E-2</v>
      </c>
      <c r="G178" s="14">
        <v>0.61822489999999997</v>
      </c>
      <c r="H178" s="14">
        <v>0.24411579999999999</v>
      </c>
      <c r="R178" s="11">
        <f t="shared" si="6"/>
        <v>4.6604336825741215E-2</v>
      </c>
      <c r="Z178" s="11">
        <f t="shared" si="5"/>
        <v>5.7875236390507699E-2</v>
      </c>
    </row>
    <row r="179" spans="1:26" x14ac:dyDescent="0.2">
      <c r="A179" s="45">
        <v>34</v>
      </c>
      <c r="B179" s="45">
        <v>1999</v>
      </c>
      <c r="C179" s="17">
        <v>0</v>
      </c>
      <c r="D179" s="14">
        <v>0.1681868</v>
      </c>
      <c r="E179" s="14">
        <v>8.1373000000000001E-2</v>
      </c>
      <c r="F179" s="14">
        <v>9.8800399999999997E-2</v>
      </c>
      <c r="G179" s="14">
        <v>0.47646820000000001</v>
      </c>
      <c r="H179" s="14">
        <v>0.68635789999999997</v>
      </c>
      <c r="R179" s="11">
        <f t="shared" si="6"/>
        <v>1.4608986820745795E-2</v>
      </c>
      <c r="Z179" s="11">
        <f t="shared" si="5"/>
        <v>1.9589517197837625E-2</v>
      </c>
    </row>
    <row r="180" spans="1:26" x14ac:dyDescent="0.2">
      <c r="A180" s="45">
        <v>34</v>
      </c>
      <c r="B180" s="45">
        <v>2000</v>
      </c>
      <c r="C180" s="17">
        <v>1</v>
      </c>
      <c r="D180" s="14">
        <v>7.7681299999999995E-2</v>
      </c>
      <c r="E180" s="14">
        <v>-3.9594499999999998E-2</v>
      </c>
      <c r="F180" s="14">
        <v>-2.15026E-2</v>
      </c>
      <c r="G180" s="14">
        <v>0.1375913</v>
      </c>
      <c r="H180" s="14">
        <v>0.6972486</v>
      </c>
      <c r="R180" s="11">
        <f t="shared" si="6"/>
        <v>7.3565356062183784E-2</v>
      </c>
      <c r="Z180" s="11">
        <f t="shared" si="5"/>
        <v>8.8665398588083505E-2</v>
      </c>
    </row>
    <row r="181" spans="1:26" x14ac:dyDescent="0.2">
      <c r="A181" s="45">
        <v>35</v>
      </c>
      <c r="B181" s="45">
        <v>1995</v>
      </c>
      <c r="C181" s="17">
        <v>0</v>
      </c>
      <c r="D181" s="14">
        <v>0.10031130000000001</v>
      </c>
      <c r="E181" s="14">
        <v>0.21968170000000001</v>
      </c>
      <c r="F181" s="14">
        <v>7.2009000000000004E-2</v>
      </c>
      <c r="G181" s="14">
        <v>1.4256850000000001</v>
      </c>
      <c r="H181" s="14">
        <v>0.40558280000000002</v>
      </c>
      <c r="R181" s="11">
        <f t="shared" si="6"/>
        <v>3.2988871492031805E-3</v>
      </c>
      <c r="Z181" s="11">
        <f t="shared" si="5"/>
        <v>4.275523546528966E-3</v>
      </c>
    </row>
    <row r="182" spans="1:26" x14ac:dyDescent="0.2">
      <c r="A182" s="45">
        <v>35</v>
      </c>
      <c r="B182" s="45">
        <v>1996</v>
      </c>
      <c r="C182" s="17">
        <v>0</v>
      </c>
      <c r="D182" s="14">
        <v>0.1393442</v>
      </c>
      <c r="E182" s="14">
        <v>0.28098709999999999</v>
      </c>
      <c r="F182" s="14">
        <v>7.4937500000000004E-2</v>
      </c>
      <c r="G182" s="14">
        <v>1.8055600000000001</v>
      </c>
      <c r="H182" s="14">
        <v>0.39126290000000002</v>
      </c>
      <c r="R182" s="11">
        <f t="shared" si="6"/>
        <v>1.6117898520837377E-3</v>
      </c>
      <c r="Z182" s="11">
        <f t="shared" si="5"/>
        <v>2.0819655284440067E-3</v>
      </c>
    </row>
    <row r="183" spans="1:26" x14ac:dyDescent="0.2">
      <c r="A183" s="45">
        <v>35</v>
      </c>
      <c r="B183" s="45">
        <v>1997</v>
      </c>
      <c r="C183" s="17">
        <v>0</v>
      </c>
      <c r="D183" s="14">
        <v>0.15245120000000001</v>
      </c>
      <c r="E183" s="14">
        <v>0.33251500000000001</v>
      </c>
      <c r="F183" s="14">
        <v>4.69597E-2</v>
      </c>
      <c r="G183" s="14">
        <v>2.2849370000000002</v>
      </c>
      <c r="H183" s="14">
        <v>0.40809810000000002</v>
      </c>
      <c r="R183" s="11">
        <f t="shared" si="6"/>
        <v>8.7199379708106928E-4</v>
      </c>
      <c r="Z183" s="11">
        <f t="shared" si="5"/>
        <v>1.0914661003485126E-3</v>
      </c>
    </row>
    <row r="184" spans="1:26" x14ac:dyDescent="0.2">
      <c r="A184" s="45">
        <v>35</v>
      </c>
      <c r="B184" s="45">
        <v>1998</v>
      </c>
      <c r="C184" s="17">
        <v>0</v>
      </c>
      <c r="D184" s="14">
        <v>8.7923200000000007E-2</v>
      </c>
      <c r="E184" s="14">
        <v>0.30653180000000002</v>
      </c>
      <c r="F184" s="14">
        <v>5.1606899999999997E-2</v>
      </c>
      <c r="G184" s="14">
        <v>1.398776</v>
      </c>
      <c r="H184" s="14">
        <v>0.31883590000000001</v>
      </c>
      <c r="R184" s="11">
        <f t="shared" si="6"/>
        <v>3.5719404400537946E-3</v>
      </c>
      <c r="Z184" s="11">
        <f t="shared" si="5"/>
        <v>4.5688231486965382E-3</v>
      </c>
    </row>
    <row r="185" spans="1:26" x14ac:dyDescent="0.2">
      <c r="A185" s="45">
        <v>35</v>
      </c>
      <c r="B185" s="45">
        <v>1999</v>
      </c>
      <c r="C185" s="17">
        <v>0</v>
      </c>
      <c r="D185" s="14">
        <v>1.7085400000000001E-2</v>
      </c>
      <c r="E185" s="14">
        <v>0.34593170000000001</v>
      </c>
      <c r="F185" s="14">
        <v>7.79527E-2</v>
      </c>
      <c r="G185" s="14">
        <v>1.1336170000000001</v>
      </c>
      <c r="H185" s="14">
        <v>0.34336899999999998</v>
      </c>
      <c r="R185" s="11">
        <f t="shared" si="6"/>
        <v>4.1663411830728699E-3</v>
      </c>
      <c r="Z185" s="11">
        <f t="shared" si="5"/>
        <v>5.4829763887743839E-3</v>
      </c>
    </row>
    <row r="186" spans="1:26" x14ac:dyDescent="0.2">
      <c r="A186" s="45">
        <v>35</v>
      </c>
      <c r="B186" s="45">
        <v>2000</v>
      </c>
      <c r="C186" s="17">
        <v>0</v>
      </c>
      <c r="D186" s="14">
        <v>4.1171300000000001E-2</v>
      </c>
      <c r="E186" s="14">
        <v>0.38213710000000001</v>
      </c>
      <c r="F186" s="14">
        <v>6.8124699999999996E-2</v>
      </c>
      <c r="G186" s="14">
        <v>1.478621</v>
      </c>
      <c r="H186" s="14">
        <v>0.32414759999999998</v>
      </c>
      <c r="R186" s="11">
        <f t="shared" si="6"/>
        <v>2.4717180709220338E-3</v>
      </c>
      <c r="Z186" s="11">
        <f t="shared" si="5"/>
        <v>3.2081529602413323E-3</v>
      </c>
    </row>
    <row r="187" spans="1:26" x14ac:dyDescent="0.2">
      <c r="A187" s="45">
        <v>35</v>
      </c>
      <c r="B187" s="45">
        <v>2001</v>
      </c>
      <c r="C187" s="17">
        <v>0</v>
      </c>
      <c r="D187" s="14">
        <v>6.4300999999999997E-2</v>
      </c>
      <c r="E187" s="14">
        <v>0.37283559999999999</v>
      </c>
      <c r="F187" s="14">
        <v>5.52927E-2</v>
      </c>
      <c r="G187" s="14">
        <v>1.5425120000000001</v>
      </c>
      <c r="H187" s="14">
        <v>0.27073209999999998</v>
      </c>
      <c r="R187" s="11">
        <f t="shared" si="6"/>
        <v>2.5073588075518625E-3</v>
      </c>
      <c r="Z187" s="11">
        <f t="shared" si="5"/>
        <v>3.2149011761301838E-3</v>
      </c>
    </row>
    <row r="188" spans="1:26" x14ac:dyDescent="0.2">
      <c r="A188" s="45">
        <v>35</v>
      </c>
      <c r="B188" s="45">
        <v>2002</v>
      </c>
      <c r="C188" s="17">
        <v>0</v>
      </c>
      <c r="D188" s="14">
        <v>0.1244439</v>
      </c>
      <c r="E188" s="14">
        <v>0.43953579999999998</v>
      </c>
      <c r="F188" s="14">
        <v>7.7817600000000001E-2</v>
      </c>
      <c r="G188" s="14">
        <v>2.1141420000000002</v>
      </c>
      <c r="H188" s="14">
        <v>0.2705186</v>
      </c>
      <c r="R188" s="11">
        <f t="shared" si="6"/>
        <v>7.6557111615830644E-4</v>
      </c>
      <c r="Z188" s="11">
        <f t="shared" si="5"/>
        <v>9.9012919688415716E-4</v>
      </c>
    </row>
    <row r="189" spans="1:26" x14ac:dyDescent="0.2">
      <c r="A189" s="45">
        <v>35</v>
      </c>
      <c r="B189" s="45">
        <v>2003</v>
      </c>
      <c r="C189" s="17">
        <v>0</v>
      </c>
      <c r="D189" s="14">
        <v>9.9285300000000007E-2</v>
      </c>
      <c r="E189" s="14">
        <v>0.46309099999999997</v>
      </c>
      <c r="F189" s="14">
        <v>5.5434900000000002E-2</v>
      </c>
      <c r="G189" s="14">
        <v>2.3652860000000002</v>
      </c>
      <c r="H189" s="14">
        <v>0.26140550000000001</v>
      </c>
      <c r="R189" s="11">
        <f t="shared" si="6"/>
        <v>5.9310050937815201E-4</v>
      </c>
      <c r="Z189" s="11">
        <f t="shared" si="5"/>
        <v>7.4962652835642359E-4</v>
      </c>
    </row>
    <row r="190" spans="1:26" x14ac:dyDescent="0.2">
      <c r="A190" s="45">
        <v>35</v>
      </c>
      <c r="B190" s="45">
        <v>2004</v>
      </c>
      <c r="C190" s="17">
        <v>0</v>
      </c>
      <c r="D190" s="14">
        <v>0.15576909999999999</v>
      </c>
      <c r="E190" s="14">
        <v>0.4675415</v>
      </c>
      <c r="F190" s="14">
        <v>7.5195499999999998E-2</v>
      </c>
      <c r="G190" s="14">
        <v>3.2346569999999999</v>
      </c>
      <c r="H190" s="14">
        <v>0.26569599999999999</v>
      </c>
      <c r="R190" s="11">
        <f t="shared" si="6"/>
        <v>1.2594801886588923E-4</v>
      </c>
      <c r="Z190" s="11">
        <f t="shared" si="5"/>
        <v>1.5876258609223514E-4</v>
      </c>
    </row>
    <row r="191" spans="1:26" x14ac:dyDescent="0.2">
      <c r="A191" s="45">
        <v>36</v>
      </c>
      <c r="B191" s="45">
        <v>1995</v>
      </c>
      <c r="C191" s="17">
        <v>0</v>
      </c>
      <c r="D191" s="14">
        <v>0.39299919999999999</v>
      </c>
      <c r="E191" s="14">
        <v>0.3542419</v>
      </c>
      <c r="F191" s="14">
        <v>0.11919540000000001</v>
      </c>
      <c r="G191" s="14">
        <v>20.761119999999998</v>
      </c>
      <c r="H191" s="14">
        <v>0.2403565</v>
      </c>
      <c r="R191" s="11">
        <f t="shared" si="6"/>
        <v>7.7457433540502492E-17</v>
      </c>
      <c r="Z191" s="11">
        <f t="shared" si="5"/>
        <v>6.8547667574069627E-17</v>
      </c>
    </row>
    <row r="192" spans="1:26" x14ac:dyDescent="0.2">
      <c r="A192" s="45">
        <v>36</v>
      </c>
      <c r="B192" s="45">
        <v>1996</v>
      </c>
      <c r="C192" s="17">
        <v>0</v>
      </c>
      <c r="D192" s="14">
        <v>0.34104960000000001</v>
      </c>
      <c r="E192" s="14">
        <v>0.34607650000000001</v>
      </c>
      <c r="F192" s="14">
        <v>0.12839709999999999</v>
      </c>
      <c r="G192" s="14">
        <v>20.53237</v>
      </c>
      <c r="H192" s="14">
        <v>0.25177290000000002</v>
      </c>
      <c r="R192" s="11">
        <f t="shared" si="6"/>
        <v>1.0485001817886101E-16</v>
      </c>
      <c r="Z192" s="11">
        <f t="shared" si="5"/>
        <v>9.3937708569425348E-17</v>
      </c>
    </row>
    <row r="193" spans="1:26" x14ac:dyDescent="0.2">
      <c r="A193" s="45">
        <v>36</v>
      </c>
      <c r="B193" s="45">
        <v>1997</v>
      </c>
      <c r="C193" s="17">
        <v>0</v>
      </c>
      <c r="D193" s="14">
        <v>0.2780009</v>
      </c>
      <c r="E193" s="14">
        <v>0.33187220000000001</v>
      </c>
      <c r="F193" s="14">
        <v>0.1105865</v>
      </c>
      <c r="G193" s="14">
        <v>14.44083</v>
      </c>
      <c r="H193" s="14">
        <v>0.22383320000000001</v>
      </c>
      <c r="R193" s="11">
        <f t="shared" si="6"/>
        <v>2.0290843584638023E-12</v>
      </c>
      <c r="Z193" s="11">
        <f t="shared" si="5"/>
        <v>2.0477530730412397E-12</v>
      </c>
    </row>
    <row r="194" spans="1:26" x14ac:dyDescent="0.2">
      <c r="A194" s="45">
        <v>36</v>
      </c>
      <c r="B194" s="45">
        <v>1998</v>
      </c>
      <c r="C194" s="17">
        <v>0</v>
      </c>
      <c r="D194" s="14">
        <v>0.2932805</v>
      </c>
      <c r="E194" s="14">
        <v>0.2705303</v>
      </c>
      <c r="F194" s="14">
        <v>0.1170573</v>
      </c>
      <c r="G194" s="14">
        <v>24.013249999999999</v>
      </c>
      <c r="H194" s="14">
        <v>0.2448399</v>
      </c>
      <c r="R194" s="11">
        <f t="shared" si="6"/>
        <v>4.9956087791151656E-19</v>
      </c>
      <c r="Z194" s="11">
        <f t="shared" ref="Z194:Z257" si="7">1/(1+EXP(-(U$2+$V$2*E194+$W$2*F194+$X$2*G194)))</f>
        <v>4.0964552110872457E-19</v>
      </c>
    </row>
    <row r="195" spans="1:26" x14ac:dyDescent="0.2">
      <c r="A195" s="45">
        <v>36</v>
      </c>
      <c r="B195" s="45">
        <v>1999</v>
      </c>
      <c r="C195" s="17">
        <v>0</v>
      </c>
      <c r="D195" s="14">
        <v>0.32022869999999998</v>
      </c>
      <c r="E195" s="14">
        <v>0.26358720000000002</v>
      </c>
      <c r="F195" s="14">
        <v>0.1170469</v>
      </c>
      <c r="G195" s="14">
        <v>58.240769999999998</v>
      </c>
      <c r="H195" s="14">
        <v>0.26566990000000001</v>
      </c>
      <c r="R195" s="11">
        <f t="shared" si="6"/>
        <v>1.0339819863075753E-42</v>
      </c>
      <c r="Z195" s="11">
        <f t="shared" si="7"/>
        <v>3.9891716954372636E-43</v>
      </c>
    </row>
    <row r="196" spans="1:26" x14ac:dyDescent="0.2">
      <c r="A196" s="45">
        <v>36</v>
      </c>
      <c r="B196" s="45">
        <v>2000</v>
      </c>
      <c r="C196" s="17">
        <v>0</v>
      </c>
      <c r="D196" s="14">
        <v>0.41429149999999998</v>
      </c>
      <c r="E196" s="14">
        <v>0.2900993</v>
      </c>
      <c r="F196" s="14">
        <v>9.8459099999999994E-2</v>
      </c>
      <c r="G196" s="14">
        <v>60.607149999999997</v>
      </c>
      <c r="H196" s="14">
        <v>0.2016231</v>
      </c>
      <c r="R196" s="11">
        <f t="shared" si="6"/>
        <v>2.6582655275671075E-44</v>
      </c>
      <c r="Z196" s="11">
        <f t="shared" si="7"/>
        <v>9.5965307281103178E-45</v>
      </c>
    </row>
    <row r="197" spans="1:26" x14ac:dyDescent="0.2">
      <c r="A197" s="45">
        <v>36</v>
      </c>
      <c r="B197" s="45">
        <v>2001</v>
      </c>
      <c r="C197" s="17">
        <v>0</v>
      </c>
      <c r="D197" s="14">
        <v>0.47019670000000002</v>
      </c>
      <c r="E197" s="14">
        <v>0.29123080000000001</v>
      </c>
      <c r="F197" s="14">
        <v>9.0550099999999994E-2</v>
      </c>
      <c r="G197" s="14">
        <v>48.1661</v>
      </c>
      <c r="H197" s="14">
        <v>0.2030892</v>
      </c>
      <c r="R197" s="11">
        <f t="shared" si="6"/>
        <v>1.1525911589709715E-35</v>
      </c>
      <c r="Z197" s="11">
        <f t="shared" si="7"/>
        <v>5.4372013848392756E-36</v>
      </c>
    </row>
    <row r="198" spans="1:26" x14ac:dyDescent="0.2">
      <c r="A198" s="45">
        <v>36</v>
      </c>
      <c r="B198" s="45">
        <v>2002</v>
      </c>
      <c r="C198" s="17">
        <v>0</v>
      </c>
      <c r="D198" s="14">
        <v>0.2400523</v>
      </c>
      <c r="E198" s="14">
        <v>-1.30957E-2</v>
      </c>
      <c r="F198" s="14">
        <v>6.3790100000000002E-2</v>
      </c>
      <c r="G198" s="14">
        <v>10.102539999999999</v>
      </c>
      <c r="H198" s="14">
        <v>0.1102178</v>
      </c>
      <c r="R198" s="11">
        <f t="shared" si="6"/>
        <v>4.8999294741327345E-9</v>
      </c>
      <c r="Z198" s="11">
        <f t="shared" si="7"/>
        <v>5.1744393857952335E-9</v>
      </c>
    </row>
    <row r="199" spans="1:26" x14ac:dyDescent="0.2">
      <c r="A199" s="45">
        <v>36</v>
      </c>
      <c r="B199" s="45">
        <v>2003</v>
      </c>
      <c r="C199" s="17">
        <v>0</v>
      </c>
      <c r="D199" s="14">
        <v>0.23985229999999999</v>
      </c>
      <c r="E199" s="14">
        <v>2.2066E-3</v>
      </c>
      <c r="F199" s="14">
        <v>6.2472399999999997E-2</v>
      </c>
      <c r="G199" s="14">
        <v>11.77079</v>
      </c>
      <c r="H199" s="14">
        <v>0.1182947</v>
      </c>
      <c r="R199" s="11">
        <f t="shared" si="6"/>
        <v>3.3925534586872242E-10</v>
      </c>
      <c r="Z199" s="11">
        <f t="shared" si="7"/>
        <v>3.4514705554206015E-10</v>
      </c>
    </row>
    <row r="200" spans="1:26" x14ac:dyDescent="0.2">
      <c r="A200" s="45">
        <v>36</v>
      </c>
      <c r="B200" s="45">
        <v>2004</v>
      </c>
      <c r="C200" s="17">
        <v>0</v>
      </c>
      <c r="D200" s="14">
        <v>0.2022552</v>
      </c>
      <c r="E200" s="14">
        <v>-4.9344699999999998E-2</v>
      </c>
      <c r="F200" s="14">
        <v>6.9191299999999997E-2</v>
      </c>
      <c r="G200" s="14">
        <v>8.5940379999999994</v>
      </c>
      <c r="H200" s="14">
        <v>0.14193990000000001</v>
      </c>
      <c r="R200" s="11">
        <f t="shared" si="6"/>
        <v>5.4743743509643311E-8</v>
      </c>
      <c r="Z200" s="11">
        <f t="shared" si="7"/>
        <v>5.9953984878559014E-8</v>
      </c>
    </row>
    <row r="201" spans="1:26" x14ac:dyDescent="0.2">
      <c r="A201" s="45">
        <v>37</v>
      </c>
      <c r="B201" s="45">
        <v>1999</v>
      </c>
      <c r="C201" s="17">
        <v>0</v>
      </c>
      <c r="D201" s="14">
        <v>0.45483249999999997</v>
      </c>
      <c r="E201" s="14">
        <v>0.54834959999999999</v>
      </c>
      <c r="F201" s="14">
        <v>6.6101800000000002E-2</v>
      </c>
      <c r="G201" s="14">
        <v>15.43379</v>
      </c>
      <c r="H201" s="14">
        <v>0.22555790000000001</v>
      </c>
      <c r="R201" s="11">
        <f t="shared" si="6"/>
        <v>4.3443127461190762E-13</v>
      </c>
      <c r="Z201" s="11">
        <f t="shared" si="7"/>
        <v>4.1666642423235406E-13</v>
      </c>
    </row>
    <row r="202" spans="1:26" x14ac:dyDescent="0.2">
      <c r="A202" s="45">
        <v>37</v>
      </c>
      <c r="B202" s="45">
        <v>2000</v>
      </c>
      <c r="C202" s="17">
        <v>0</v>
      </c>
      <c r="D202" s="14">
        <v>0.59323939999999997</v>
      </c>
      <c r="E202" s="14">
        <v>0.43224689999999999</v>
      </c>
      <c r="F202" s="14">
        <v>9.6146999999999996E-2</v>
      </c>
      <c r="G202" s="14">
        <v>11.06344</v>
      </c>
      <c r="H202" s="14">
        <v>0.21036569999999999</v>
      </c>
      <c r="R202" s="11">
        <f t="shared" si="6"/>
        <v>4.2808822823377474E-10</v>
      </c>
      <c r="Z202" s="11">
        <f t="shared" si="7"/>
        <v>4.6149296798094184E-10</v>
      </c>
    </row>
    <row r="203" spans="1:26" x14ac:dyDescent="0.2">
      <c r="A203" s="45">
        <v>37</v>
      </c>
      <c r="B203" s="45">
        <v>2001</v>
      </c>
      <c r="C203" s="17">
        <v>0</v>
      </c>
      <c r="D203" s="14">
        <v>0.62250240000000001</v>
      </c>
      <c r="E203" s="14">
        <v>0.453407</v>
      </c>
      <c r="F203" s="14">
        <v>3.2555099999999997E-2</v>
      </c>
      <c r="G203" s="14">
        <v>6.7588429999999997</v>
      </c>
      <c r="H203" s="14">
        <v>0.1171642</v>
      </c>
      <c r="R203" s="11">
        <f t="shared" si="6"/>
        <v>6.5803781499370575E-7</v>
      </c>
      <c r="Z203" s="11">
        <f t="shared" si="7"/>
        <v>7.4084528212269897E-7</v>
      </c>
    </row>
    <row r="204" spans="1:26" x14ac:dyDescent="0.2">
      <c r="A204" s="45">
        <v>37</v>
      </c>
      <c r="B204" s="45">
        <v>2002</v>
      </c>
      <c r="C204" s="17">
        <v>0</v>
      </c>
      <c r="D204" s="14">
        <v>0.66051099999999996</v>
      </c>
      <c r="E204" s="14">
        <v>0.46333849999999999</v>
      </c>
      <c r="F204" s="14">
        <v>4.1169999999999998E-2</v>
      </c>
      <c r="G204" s="14">
        <v>4.73963</v>
      </c>
      <c r="H204" s="14">
        <v>0.12838269999999999</v>
      </c>
      <c r="R204" s="11">
        <f t="shared" si="6"/>
        <v>1.5118922418502954E-5</v>
      </c>
      <c r="Z204" s="11">
        <f t="shared" si="7"/>
        <v>1.7927602201891678E-5</v>
      </c>
    </row>
    <row r="205" spans="1:26" x14ac:dyDescent="0.2">
      <c r="A205" s="45">
        <v>37</v>
      </c>
      <c r="B205" s="45">
        <v>2003</v>
      </c>
      <c r="C205" s="17">
        <v>0</v>
      </c>
      <c r="D205" s="14">
        <v>0.61406459999999996</v>
      </c>
      <c r="E205" s="14">
        <v>0.64960649999999998</v>
      </c>
      <c r="F205" s="14">
        <v>6.1545900000000001E-2</v>
      </c>
      <c r="G205" s="14">
        <v>20.249790000000001</v>
      </c>
      <c r="H205" s="14">
        <v>0.17956549999999999</v>
      </c>
      <c r="R205" s="11">
        <f t="shared" si="6"/>
        <v>1.8059493947197054E-16</v>
      </c>
      <c r="Z205" s="11">
        <f t="shared" si="7"/>
        <v>1.5573975889702041E-16</v>
      </c>
    </row>
    <row r="206" spans="1:26" x14ac:dyDescent="0.2">
      <c r="A206" s="45">
        <v>38</v>
      </c>
      <c r="B206" s="45">
        <v>1999</v>
      </c>
      <c r="C206" s="17">
        <v>0</v>
      </c>
      <c r="D206" s="14">
        <v>4.5982999999999996E-3</v>
      </c>
      <c r="E206" s="14">
        <v>0.7289928</v>
      </c>
      <c r="F206" s="14">
        <v>5.46098E-2</v>
      </c>
      <c r="G206" s="14">
        <v>3.8062619999999998</v>
      </c>
      <c r="H206" s="14">
        <v>0.23412089999999999</v>
      </c>
      <c r="R206" s="11">
        <f t="shared" si="6"/>
        <v>4.0835778623053183E-5</v>
      </c>
      <c r="Z206" s="11">
        <f t="shared" si="7"/>
        <v>5.0431829005600392E-5</v>
      </c>
    </row>
    <row r="207" spans="1:26" x14ac:dyDescent="0.2">
      <c r="A207" s="45">
        <v>38</v>
      </c>
      <c r="B207" s="45">
        <v>2000</v>
      </c>
      <c r="C207" s="17">
        <v>0</v>
      </c>
      <c r="D207" s="14">
        <v>2.4005599999999998E-2</v>
      </c>
      <c r="E207" s="14">
        <v>0.79982980000000004</v>
      </c>
      <c r="F207" s="14">
        <v>6.5886799999999995E-2</v>
      </c>
      <c r="G207" s="14">
        <v>4.6304569999999998</v>
      </c>
      <c r="H207" s="14">
        <v>0.24244869999999999</v>
      </c>
      <c r="R207" s="11">
        <f t="shared" si="6"/>
        <v>9.0517143900444845E-6</v>
      </c>
      <c r="Z207" s="11">
        <f t="shared" si="7"/>
        <v>1.1106688643404845E-5</v>
      </c>
    </row>
    <row r="208" spans="1:26" x14ac:dyDescent="0.2">
      <c r="A208" s="45">
        <v>38</v>
      </c>
      <c r="B208" s="45">
        <v>2001</v>
      </c>
      <c r="C208" s="17">
        <v>0</v>
      </c>
      <c r="D208" s="14">
        <v>1.12771E-2</v>
      </c>
      <c r="E208" s="14">
        <v>0.81601579999999996</v>
      </c>
      <c r="F208" s="14">
        <v>6.96605E-2</v>
      </c>
      <c r="G208" s="14">
        <v>4.102182</v>
      </c>
      <c r="H208" s="14">
        <v>0.25070629999999999</v>
      </c>
      <c r="R208" s="11">
        <f t="shared" si="6"/>
        <v>1.9907140199968816E-5</v>
      </c>
      <c r="Z208" s="11">
        <f t="shared" si="7"/>
        <v>2.4802646636605482E-5</v>
      </c>
    </row>
    <row r="209" spans="1:26" x14ac:dyDescent="0.2">
      <c r="A209" s="45">
        <v>38</v>
      </c>
      <c r="B209" s="45">
        <v>2002</v>
      </c>
      <c r="C209" s="17">
        <v>0</v>
      </c>
      <c r="D209" s="14">
        <v>2.2811999999999999E-2</v>
      </c>
      <c r="E209" s="14">
        <v>0.85729710000000003</v>
      </c>
      <c r="F209" s="14">
        <v>6.33349E-2</v>
      </c>
      <c r="G209" s="14">
        <v>3.7643049999999998</v>
      </c>
      <c r="H209" s="14">
        <v>0.25169419999999998</v>
      </c>
      <c r="R209" s="11">
        <f t="shared" si="6"/>
        <v>3.3787077595600843E-5</v>
      </c>
      <c r="Z209" s="11">
        <f t="shared" si="7"/>
        <v>4.2250539246622802E-5</v>
      </c>
    </row>
    <row r="210" spans="1:26" x14ac:dyDescent="0.2">
      <c r="A210" s="45">
        <v>38</v>
      </c>
      <c r="B210" s="45">
        <v>2003</v>
      </c>
      <c r="C210" s="17">
        <v>0</v>
      </c>
      <c r="D210" s="14">
        <v>1.7284399999999998E-2</v>
      </c>
      <c r="E210" s="14">
        <v>0.93030999999999997</v>
      </c>
      <c r="F210" s="14">
        <v>6.4855800000000005E-2</v>
      </c>
      <c r="G210" s="14">
        <v>3.6266259999999999</v>
      </c>
      <c r="H210" s="14">
        <v>0.24649869999999999</v>
      </c>
      <c r="R210" s="11">
        <f t="shared" si="6"/>
        <v>3.7380577050647986E-5</v>
      </c>
      <c r="Z210" s="11">
        <f t="shared" si="7"/>
        <v>4.7062188722915914E-5</v>
      </c>
    </row>
    <row r="211" spans="1:26" x14ac:dyDescent="0.2">
      <c r="A211" s="45">
        <v>38</v>
      </c>
      <c r="B211" s="45">
        <v>2004</v>
      </c>
      <c r="C211" s="17">
        <v>0</v>
      </c>
      <c r="D211" s="14">
        <v>1.37669E-2</v>
      </c>
      <c r="E211" s="14">
        <v>0.91647449999999997</v>
      </c>
      <c r="F211" s="14">
        <v>6.5991900000000006E-2</v>
      </c>
      <c r="G211" s="14">
        <v>2.984302</v>
      </c>
      <c r="H211" s="14">
        <v>0.2367379</v>
      </c>
      <c r="R211" s="11">
        <f t="shared" si="6"/>
        <v>1.051845691604602E-4</v>
      </c>
      <c r="Z211" s="11">
        <f t="shared" si="7"/>
        <v>1.3437274286063654E-4</v>
      </c>
    </row>
    <row r="212" spans="1:26" x14ac:dyDescent="0.2">
      <c r="A212" s="45">
        <v>39</v>
      </c>
      <c r="B212" s="45">
        <v>1999</v>
      </c>
      <c r="C212" s="17">
        <v>0</v>
      </c>
      <c r="D212" s="14">
        <v>3.0065499999999998E-2</v>
      </c>
      <c r="E212" s="14">
        <v>0.1293724</v>
      </c>
      <c r="F212" s="14">
        <v>5.6264599999999998E-2</v>
      </c>
      <c r="G212" s="14">
        <v>1.5196289999999999</v>
      </c>
      <c r="H212" s="14">
        <v>0.1015269</v>
      </c>
      <c r="R212" s="11">
        <f t="shared" si="6"/>
        <v>3.6720646039550687E-3</v>
      </c>
      <c r="Z212" s="11">
        <f t="shared" si="7"/>
        <v>4.673834955907113E-3</v>
      </c>
    </row>
    <row r="213" spans="1:26" x14ac:dyDescent="0.2">
      <c r="A213" s="45">
        <v>39</v>
      </c>
      <c r="B213" s="45">
        <v>2000</v>
      </c>
      <c r="C213" s="17">
        <v>0</v>
      </c>
      <c r="D213" s="14">
        <v>5.3408600000000001E-2</v>
      </c>
      <c r="E213" s="14">
        <v>0.1978588</v>
      </c>
      <c r="F213" s="14">
        <v>9.4649200000000003E-2</v>
      </c>
      <c r="G213" s="14">
        <v>2.3265660000000001</v>
      </c>
      <c r="H213" s="14">
        <v>0.13950509999999999</v>
      </c>
      <c r="R213" s="11">
        <f t="shared" si="6"/>
        <v>6.7787207993233152E-4</v>
      </c>
      <c r="Z213" s="11">
        <f t="shared" si="7"/>
        <v>8.7746066501808296E-4</v>
      </c>
    </row>
    <row r="214" spans="1:26" x14ac:dyDescent="0.2">
      <c r="A214" s="45">
        <v>39</v>
      </c>
      <c r="B214" s="45">
        <v>2001</v>
      </c>
      <c r="C214" s="17">
        <v>0</v>
      </c>
      <c r="D214" s="14">
        <v>5.3589199999999997E-2</v>
      </c>
      <c r="E214" s="14">
        <v>0.1625123</v>
      </c>
      <c r="F214" s="14">
        <v>4.3284700000000002E-2</v>
      </c>
      <c r="G214" s="14">
        <v>1.5425219999999999</v>
      </c>
      <c r="H214" s="14">
        <v>9.4413499999999997E-2</v>
      </c>
      <c r="R214" s="11">
        <f t="shared" si="6"/>
        <v>3.7428291379565191E-3</v>
      </c>
      <c r="Z214" s="11">
        <f t="shared" si="7"/>
        <v>4.7165984494144005E-3</v>
      </c>
    </row>
    <row r="215" spans="1:26" x14ac:dyDescent="0.2">
      <c r="A215" s="45">
        <v>39</v>
      </c>
      <c r="B215" s="45">
        <v>2002</v>
      </c>
      <c r="C215" s="17">
        <v>0</v>
      </c>
      <c r="D215" s="14">
        <v>5.0318700000000001E-2</v>
      </c>
      <c r="E215" s="14">
        <v>0.17345540000000001</v>
      </c>
      <c r="F215" s="14">
        <v>6.13924E-2</v>
      </c>
      <c r="G215" s="14">
        <v>1.8367039999999999</v>
      </c>
      <c r="H215" s="14">
        <v>0.10641539999999999</v>
      </c>
      <c r="R215" s="11">
        <f t="shared" ref="R215:R278" si="8">1/(1+EXP(-(K$2+$M$2*E215+$N$2*F215+$O$2*G215)))</f>
        <v>1.9977650341453487E-3</v>
      </c>
      <c r="Z215" s="11">
        <f t="shared" si="7"/>
        <v>2.5407226528694387E-3</v>
      </c>
    </row>
    <row r="216" spans="1:26" x14ac:dyDescent="0.2">
      <c r="A216" s="45">
        <v>39</v>
      </c>
      <c r="B216" s="45">
        <v>2003</v>
      </c>
      <c r="C216" s="17">
        <v>0</v>
      </c>
      <c r="D216" s="14">
        <v>4.0233699999999997E-2</v>
      </c>
      <c r="E216" s="14">
        <v>0.2207867</v>
      </c>
      <c r="F216" s="14">
        <v>6.6192200000000007E-2</v>
      </c>
      <c r="G216" s="14">
        <v>2.2587950000000001</v>
      </c>
      <c r="H216" s="14">
        <v>0.12247470000000001</v>
      </c>
      <c r="R216" s="11">
        <f t="shared" si="8"/>
        <v>9.1691102267923324E-4</v>
      </c>
      <c r="Z216" s="11">
        <f t="shared" si="7"/>
        <v>1.162107429330849E-3</v>
      </c>
    </row>
    <row r="217" spans="1:26" x14ac:dyDescent="0.2">
      <c r="A217" s="45">
        <v>39</v>
      </c>
      <c r="B217" s="45">
        <v>2004</v>
      </c>
      <c r="C217" s="17">
        <v>0</v>
      </c>
      <c r="D217" s="14">
        <v>3.10561E-2</v>
      </c>
      <c r="E217" s="14">
        <v>0.26538610000000001</v>
      </c>
      <c r="F217" s="14">
        <v>8.2481399999999996E-2</v>
      </c>
      <c r="G217" s="14">
        <v>2.295528</v>
      </c>
      <c r="H217" s="14">
        <v>0.12741050000000001</v>
      </c>
      <c r="R217" s="11">
        <f t="shared" si="8"/>
        <v>7.1161118896443483E-4</v>
      </c>
      <c r="Z217" s="11">
        <f t="shared" si="7"/>
        <v>9.1472715154904973E-4</v>
      </c>
    </row>
    <row r="218" spans="1:26" x14ac:dyDescent="0.2">
      <c r="A218" s="45">
        <v>40</v>
      </c>
      <c r="B218" s="45">
        <v>1999</v>
      </c>
      <c r="C218" s="17">
        <v>0</v>
      </c>
      <c r="D218" s="14">
        <v>0.54952369999999995</v>
      </c>
      <c r="E218" s="14">
        <v>0.34262710000000002</v>
      </c>
      <c r="F218" s="14">
        <v>2.8704199999999999E-2</v>
      </c>
      <c r="G218" s="14">
        <v>4.9760350000000004</v>
      </c>
      <c r="H218" s="14">
        <v>0.28208640000000001</v>
      </c>
      <c r="R218" s="11">
        <f t="shared" si="8"/>
        <v>1.36596531739934E-5</v>
      </c>
      <c r="Z218" s="11">
        <f t="shared" si="7"/>
        <v>1.588348373273809E-5</v>
      </c>
    </row>
    <row r="219" spans="1:26" x14ac:dyDescent="0.2">
      <c r="A219" s="45">
        <v>40</v>
      </c>
      <c r="B219" s="45">
        <v>2000</v>
      </c>
      <c r="C219" s="17">
        <v>0</v>
      </c>
      <c r="D219" s="14">
        <v>0.52863199999999999</v>
      </c>
      <c r="E219" s="14">
        <v>0.39213120000000001</v>
      </c>
      <c r="F219" s="14">
        <v>4.1816399999999997E-2</v>
      </c>
      <c r="G219" s="14">
        <v>3.1194190000000002</v>
      </c>
      <c r="H219" s="14">
        <v>0.29226150000000001</v>
      </c>
      <c r="R219" s="11">
        <f t="shared" si="8"/>
        <v>2.2053729455974769E-4</v>
      </c>
      <c r="Z219" s="11">
        <f t="shared" si="7"/>
        <v>2.7047574701879855E-4</v>
      </c>
    </row>
    <row r="220" spans="1:26" x14ac:dyDescent="0.2">
      <c r="A220" s="45">
        <v>40</v>
      </c>
      <c r="B220" s="45">
        <v>2001</v>
      </c>
      <c r="C220" s="17">
        <v>0</v>
      </c>
      <c r="D220" s="14">
        <v>0.62412520000000005</v>
      </c>
      <c r="E220" s="14">
        <v>0.38924009999999998</v>
      </c>
      <c r="F220" s="14">
        <v>4.5302299999999997E-2</v>
      </c>
      <c r="G220" s="14">
        <v>2.6194739999999999</v>
      </c>
      <c r="H220" s="14">
        <v>0.27321570000000001</v>
      </c>
      <c r="R220" s="11">
        <f t="shared" si="8"/>
        <v>4.77631200577045E-4</v>
      </c>
      <c r="Z220" s="11">
        <f t="shared" si="7"/>
        <v>5.9386730145178886E-4</v>
      </c>
    </row>
    <row r="221" spans="1:26" x14ac:dyDescent="0.2">
      <c r="A221" s="45">
        <v>40</v>
      </c>
      <c r="B221" s="45">
        <v>2002</v>
      </c>
      <c r="C221" s="17">
        <v>0</v>
      </c>
      <c r="D221" s="14">
        <v>0.62412829999999997</v>
      </c>
      <c r="E221" s="14">
        <v>0.3871965</v>
      </c>
      <c r="F221" s="14">
        <v>3.9185499999999998E-2</v>
      </c>
      <c r="G221" s="14">
        <v>2.388738</v>
      </c>
      <c r="H221" s="14">
        <v>0.26118219999999998</v>
      </c>
      <c r="R221" s="11">
        <f t="shared" si="8"/>
        <v>7.2646444505551286E-4</v>
      </c>
      <c r="Z221" s="11">
        <f t="shared" si="7"/>
        <v>9.0319917606322588E-4</v>
      </c>
    </row>
    <row r="222" spans="1:26" x14ac:dyDescent="0.2">
      <c r="A222" s="45">
        <v>40</v>
      </c>
      <c r="B222" s="45">
        <v>2003</v>
      </c>
      <c r="C222" s="17">
        <v>0</v>
      </c>
      <c r="D222" s="14">
        <v>0.55427320000000002</v>
      </c>
      <c r="E222" s="14">
        <v>0.37561119999999998</v>
      </c>
      <c r="F222" s="14">
        <v>2.5420000000000002E-2</v>
      </c>
      <c r="G222" s="14">
        <v>2.923778</v>
      </c>
      <c r="H222" s="14">
        <v>0.27875630000000001</v>
      </c>
      <c r="R222" s="11">
        <f t="shared" si="8"/>
        <v>3.5173714317687359E-4</v>
      </c>
      <c r="Z222" s="11">
        <f t="shared" si="7"/>
        <v>4.2721018625636588E-4</v>
      </c>
    </row>
    <row r="223" spans="1:26" x14ac:dyDescent="0.2">
      <c r="A223" s="45">
        <v>41</v>
      </c>
      <c r="B223" s="45">
        <v>1995</v>
      </c>
      <c r="C223" s="17">
        <v>0</v>
      </c>
      <c r="D223" s="14">
        <v>0.52659889999999998</v>
      </c>
      <c r="E223" s="14">
        <v>0.37894</v>
      </c>
      <c r="F223" s="14">
        <v>0.1112808</v>
      </c>
      <c r="G223" s="14">
        <v>7.6321409999999998</v>
      </c>
      <c r="H223" s="14">
        <v>0.34474349999999998</v>
      </c>
      <c r="R223" s="11">
        <f t="shared" si="8"/>
        <v>9.7137288459931906E-8</v>
      </c>
      <c r="Z223" s="11">
        <f t="shared" si="7"/>
        <v>1.1413734712107783E-7</v>
      </c>
    </row>
    <row r="224" spans="1:26" x14ac:dyDescent="0.2">
      <c r="A224" s="45">
        <v>41</v>
      </c>
      <c r="B224" s="45">
        <v>1996</v>
      </c>
      <c r="C224" s="17">
        <v>0</v>
      </c>
      <c r="D224" s="14">
        <v>0.50770289999999996</v>
      </c>
      <c r="E224" s="14">
        <v>0.46527540000000001</v>
      </c>
      <c r="F224" s="14">
        <v>6.8519499999999997E-2</v>
      </c>
      <c r="G224" s="14">
        <v>3.7883369999999998</v>
      </c>
      <c r="H224" s="14">
        <v>0.2784179</v>
      </c>
      <c r="R224" s="11">
        <f t="shared" si="8"/>
        <v>5.516316887049374E-5</v>
      </c>
      <c r="Z224" s="11">
        <f t="shared" si="7"/>
        <v>6.8313886856202646E-5</v>
      </c>
    </row>
    <row r="225" spans="1:26" x14ac:dyDescent="0.2">
      <c r="A225" s="45">
        <v>41</v>
      </c>
      <c r="B225" s="45">
        <v>1997</v>
      </c>
      <c r="C225" s="17">
        <v>0</v>
      </c>
      <c r="D225" s="14">
        <v>0.49193949999999997</v>
      </c>
      <c r="E225" s="14">
        <v>0.44206079999999998</v>
      </c>
      <c r="F225" s="14">
        <v>6.5543199999999996E-2</v>
      </c>
      <c r="G225" s="14">
        <v>5.7823729999999998</v>
      </c>
      <c r="H225" s="14">
        <v>0.27139200000000002</v>
      </c>
      <c r="R225" s="11">
        <f t="shared" si="8"/>
        <v>2.4356803327988732E-6</v>
      </c>
      <c r="Z225" s="11">
        <f t="shared" si="7"/>
        <v>2.8774650470377691E-6</v>
      </c>
    </row>
    <row r="226" spans="1:26" x14ac:dyDescent="0.2">
      <c r="A226" s="45">
        <v>41</v>
      </c>
      <c r="B226" s="45">
        <v>1998</v>
      </c>
      <c r="C226" s="17">
        <v>0</v>
      </c>
      <c r="D226" s="14">
        <v>0.51779660000000005</v>
      </c>
      <c r="E226" s="14">
        <v>0.49893330000000002</v>
      </c>
      <c r="F226" s="14">
        <v>4.59402E-2</v>
      </c>
      <c r="G226" s="14">
        <v>7.0701609999999997</v>
      </c>
      <c r="H226" s="14">
        <v>0.1696954</v>
      </c>
      <c r="R226" s="11">
        <f t="shared" si="8"/>
        <v>3.3693288859604785E-7</v>
      </c>
      <c r="Z226" s="11">
        <f t="shared" si="7"/>
        <v>3.8149196980063916E-7</v>
      </c>
    </row>
    <row r="227" spans="1:26" x14ac:dyDescent="0.2">
      <c r="A227" s="45">
        <v>41</v>
      </c>
      <c r="B227" s="45">
        <v>1999</v>
      </c>
      <c r="C227" s="17">
        <v>0</v>
      </c>
      <c r="D227" s="14">
        <v>0.5418288</v>
      </c>
      <c r="E227" s="14">
        <v>0.49258420000000003</v>
      </c>
      <c r="F227" s="14">
        <v>8.6401800000000001E-2</v>
      </c>
      <c r="G227" s="14">
        <v>14.37856</v>
      </c>
      <c r="H227" s="14">
        <v>0.2751034</v>
      </c>
      <c r="R227" s="11">
        <f t="shared" si="8"/>
        <v>2.1524226785632123E-12</v>
      </c>
      <c r="Z227" s="11">
        <f t="shared" si="7"/>
        <v>2.1442894523048819E-12</v>
      </c>
    </row>
    <row r="228" spans="1:26" x14ac:dyDescent="0.2">
      <c r="A228" s="45">
        <v>41</v>
      </c>
      <c r="B228" s="45">
        <v>2000</v>
      </c>
      <c r="C228" s="17">
        <v>0</v>
      </c>
      <c r="D228" s="14">
        <v>0.60260780000000003</v>
      </c>
      <c r="E228" s="14">
        <v>0.51412049999999998</v>
      </c>
      <c r="F228" s="14">
        <v>0.11619640000000001</v>
      </c>
      <c r="G228" s="14">
        <v>12.55903</v>
      </c>
      <c r="H228" s="14">
        <v>0.3100156</v>
      </c>
      <c r="R228" s="11">
        <f t="shared" si="8"/>
        <v>2.9860708037505709E-11</v>
      </c>
      <c r="Z228" s="11">
        <f t="shared" si="7"/>
        <v>3.1752991216066841E-11</v>
      </c>
    </row>
    <row r="229" spans="1:26" x14ac:dyDescent="0.2">
      <c r="A229" s="45">
        <v>41</v>
      </c>
      <c r="B229" s="45">
        <v>2001</v>
      </c>
      <c r="C229" s="17">
        <v>0</v>
      </c>
      <c r="D229" s="14">
        <v>0.68289599999999995</v>
      </c>
      <c r="E229" s="14">
        <v>0.61447549999999995</v>
      </c>
      <c r="F229" s="14">
        <v>3.6616700000000002E-2</v>
      </c>
      <c r="G229" s="14">
        <v>12.55649</v>
      </c>
      <c r="H229" s="14">
        <v>0.17198640000000001</v>
      </c>
      <c r="R229" s="11">
        <f t="shared" si="8"/>
        <v>4.8971365261573728E-11</v>
      </c>
      <c r="Z229" s="11">
        <f t="shared" si="7"/>
        <v>4.8957057278104305E-11</v>
      </c>
    </row>
    <row r="230" spans="1:26" x14ac:dyDescent="0.2">
      <c r="A230" s="45">
        <v>41</v>
      </c>
      <c r="B230" s="45">
        <v>2002</v>
      </c>
      <c r="C230" s="17">
        <v>0</v>
      </c>
      <c r="D230" s="14">
        <v>0.66755529999999996</v>
      </c>
      <c r="E230" s="14">
        <v>0.6045817</v>
      </c>
      <c r="F230" s="14">
        <v>2.9986499999999999E-2</v>
      </c>
      <c r="G230" s="14">
        <v>11.270440000000001</v>
      </c>
      <c r="H230" s="14">
        <v>0.1678529</v>
      </c>
      <c r="R230" s="11">
        <f t="shared" si="8"/>
        <v>4.0670932088920986E-10</v>
      </c>
      <c r="Z230" s="11">
        <f t="shared" si="7"/>
        <v>4.1586186245592174E-10</v>
      </c>
    </row>
    <row r="231" spans="1:26" x14ac:dyDescent="0.2">
      <c r="A231" s="45">
        <v>41</v>
      </c>
      <c r="B231" s="45">
        <v>2003</v>
      </c>
      <c r="C231" s="17">
        <v>0</v>
      </c>
      <c r="D231" s="14">
        <v>0.67183740000000003</v>
      </c>
      <c r="E231" s="14">
        <v>0.59697670000000003</v>
      </c>
      <c r="F231" s="14">
        <v>4.4470500000000003E-2</v>
      </c>
      <c r="G231" s="14">
        <v>17.31711</v>
      </c>
      <c r="H231" s="14">
        <v>0.15819910000000001</v>
      </c>
      <c r="R231" s="11">
        <f t="shared" si="8"/>
        <v>2.3929575506859353E-14</v>
      </c>
      <c r="Z231" s="11">
        <f t="shared" si="7"/>
        <v>2.1667767425537316E-14</v>
      </c>
    </row>
    <row r="232" spans="1:26" x14ac:dyDescent="0.2">
      <c r="A232" s="45">
        <v>41</v>
      </c>
      <c r="B232" s="45">
        <v>2004</v>
      </c>
      <c r="C232" s="17">
        <v>0</v>
      </c>
      <c r="D232" s="14">
        <v>0.68229649999999997</v>
      </c>
      <c r="E232" s="14">
        <v>0.6318011</v>
      </c>
      <c r="F232" s="14">
        <v>8.0129599999999995E-2</v>
      </c>
      <c r="G232" s="14">
        <v>9.6945479999999993</v>
      </c>
      <c r="H232" s="14">
        <v>0.2132472</v>
      </c>
      <c r="R232" s="11">
        <f t="shared" si="8"/>
        <v>3.2252181949429039E-9</v>
      </c>
      <c r="Z232" s="11">
        <f t="shared" si="7"/>
        <v>3.560829222123889E-9</v>
      </c>
    </row>
    <row r="233" spans="1:26" x14ac:dyDescent="0.2">
      <c r="A233" s="45">
        <v>42</v>
      </c>
      <c r="B233" s="45">
        <v>1999</v>
      </c>
      <c r="C233" s="17">
        <v>0</v>
      </c>
      <c r="D233" s="14">
        <v>7.52385E-2</v>
      </c>
      <c r="E233" s="14">
        <v>0.268042</v>
      </c>
      <c r="F233" s="14">
        <v>5.1122500000000001E-2</v>
      </c>
      <c r="G233" s="14">
        <v>1.032967</v>
      </c>
      <c r="H233" s="14">
        <v>0.14377529999999999</v>
      </c>
      <c r="R233" s="11">
        <f t="shared" si="8"/>
        <v>6.771237554033375E-3</v>
      </c>
      <c r="Z233" s="11">
        <f t="shared" si="7"/>
        <v>8.7077991042156383E-3</v>
      </c>
    </row>
    <row r="234" spans="1:26" x14ac:dyDescent="0.2">
      <c r="A234" s="45">
        <v>42</v>
      </c>
      <c r="B234" s="45">
        <v>2000</v>
      </c>
      <c r="C234" s="17">
        <v>0</v>
      </c>
      <c r="D234" s="14">
        <v>0.22629930000000001</v>
      </c>
      <c r="E234" s="14">
        <v>1.146531</v>
      </c>
      <c r="F234" s="14">
        <v>5.6739900000000003E-2</v>
      </c>
      <c r="G234" s="14">
        <v>0.36337779999999997</v>
      </c>
      <c r="H234" s="14">
        <v>0.3552266</v>
      </c>
      <c r="R234" s="11">
        <f t="shared" si="8"/>
        <v>5.2539947849630196E-3</v>
      </c>
      <c r="Z234" s="11">
        <f t="shared" si="7"/>
        <v>7.0998903856247372E-3</v>
      </c>
    </row>
    <row r="235" spans="1:26" x14ac:dyDescent="0.2">
      <c r="A235" s="45">
        <v>42</v>
      </c>
      <c r="B235" s="45">
        <v>2001</v>
      </c>
      <c r="C235" s="17">
        <v>0</v>
      </c>
      <c r="D235" s="14">
        <v>6.2537899999999993E-2</v>
      </c>
      <c r="E235" s="14">
        <v>1.4250609999999999</v>
      </c>
      <c r="F235" s="14">
        <v>9.1891600000000004E-2</v>
      </c>
      <c r="G235" s="14">
        <v>0.37048019999999998</v>
      </c>
      <c r="H235" s="14">
        <v>0.37228919999999999</v>
      </c>
      <c r="R235" s="11">
        <f t="shared" si="8"/>
        <v>2.6225399764034309E-3</v>
      </c>
      <c r="Z235" s="11">
        <f t="shared" si="7"/>
        <v>3.6848507301703993E-3</v>
      </c>
    </row>
    <row r="236" spans="1:26" x14ac:dyDescent="0.2">
      <c r="A236" s="45">
        <v>42</v>
      </c>
      <c r="B236" s="45">
        <v>2002</v>
      </c>
      <c r="C236" s="17">
        <v>0</v>
      </c>
      <c r="D236" s="14">
        <v>8.6227100000000001E-2</v>
      </c>
      <c r="E236" s="14">
        <v>1.6396459999999999</v>
      </c>
      <c r="F236" s="14">
        <v>8.6249099999999995E-2</v>
      </c>
      <c r="G236" s="14">
        <v>1.338676</v>
      </c>
      <c r="H236" s="14">
        <v>0.44035740000000001</v>
      </c>
      <c r="R236" s="11">
        <f t="shared" si="8"/>
        <v>4.3022430121642869E-4</v>
      </c>
      <c r="Z236" s="11">
        <f t="shared" si="7"/>
        <v>5.9389611381105813E-4</v>
      </c>
    </row>
    <row r="237" spans="1:26" x14ac:dyDescent="0.2">
      <c r="A237" s="45">
        <v>42</v>
      </c>
      <c r="B237" s="45">
        <v>2003</v>
      </c>
      <c r="C237" s="17">
        <v>0</v>
      </c>
      <c r="D237" s="14">
        <v>0.10842</v>
      </c>
      <c r="E237" s="14">
        <v>1.4269609999999999</v>
      </c>
      <c r="F237" s="14">
        <v>8.4769300000000006E-2</v>
      </c>
      <c r="G237" s="14">
        <v>1.6462509999999999</v>
      </c>
      <c r="H237" s="14">
        <v>0.4371004</v>
      </c>
      <c r="R237" s="11">
        <f t="shared" si="8"/>
        <v>3.6332918767228501E-4</v>
      </c>
      <c r="Z237" s="11">
        <f t="shared" si="7"/>
        <v>4.9396457381048248E-4</v>
      </c>
    </row>
    <row r="238" spans="1:26" x14ac:dyDescent="0.2">
      <c r="A238" s="45">
        <v>42</v>
      </c>
      <c r="B238" s="45">
        <v>2004</v>
      </c>
      <c r="C238" s="17">
        <v>0</v>
      </c>
      <c r="D238" s="14">
        <v>0.19277079999999999</v>
      </c>
      <c r="E238" s="14">
        <v>1.324735</v>
      </c>
      <c r="F238" s="14">
        <v>8.2150200000000007E-2</v>
      </c>
      <c r="G238" s="14">
        <v>2.3179560000000001</v>
      </c>
      <c r="H238" s="14">
        <v>0.4746397</v>
      </c>
      <c r="R238" s="11">
        <f t="shared" si="8"/>
        <v>1.476270095723453E-4</v>
      </c>
      <c r="Z238" s="11">
        <f t="shared" si="7"/>
        <v>1.9666119639854168E-4</v>
      </c>
    </row>
    <row r="239" spans="1:26" x14ac:dyDescent="0.2">
      <c r="A239" s="45">
        <v>43</v>
      </c>
      <c r="B239" s="45">
        <v>1999</v>
      </c>
      <c r="C239" s="17">
        <v>0</v>
      </c>
      <c r="D239" s="14">
        <v>0.16853360000000001</v>
      </c>
      <c r="E239" s="14">
        <v>0.14571390000000001</v>
      </c>
      <c r="F239" s="14">
        <v>3.5998299999999997E-2</v>
      </c>
      <c r="G239" s="14">
        <v>1.192418</v>
      </c>
      <c r="H239" s="14">
        <v>0.2543359</v>
      </c>
      <c r="R239" s="11">
        <f t="shared" si="8"/>
        <v>7.0789161829137824E-3</v>
      </c>
      <c r="Z239" s="11">
        <f t="shared" si="7"/>
        <v>8.9231322493068116E-3</v>
      </c>
    </row>
    <row r="240" spans="1:26" x14ac:dyDescent="0.2">
      <c r="A240" s="45">
        <v>43</v>
      </c>
      <c r="B240" s="45">
        <v>2000</v>
      </c>
      <c r="C240" s="17">
        <v>0</v>
      </c>
      <c r="D240" s="14">
        <v>0.15819569999999999</v>
      </c>
      <c r="E240" s="14">
        <v>0.11902260000000001</v>
      </c>
      <c r="F240" s="14">
        <v>3.4711199999999998E-2</v>
      </c>
      <c r="G240" s="14">
        <v>0.73718320000000004</v>
      </c>
      <c r="H240" s="14">
        <v>0.3726566</v>
      </c>
      <c r="R240" s="11">
        <f t="shared" si="8"/>
        <v>1.5232630918666347E-2</v>
      </c>
      <c r="Z240" s="11">
        <f t="shared" si="7"/>
        <v>1.9312045978916035E-2</v>
      </c>
    </row>
    <row r="241" spans="1:26" x14ac:dyDescent="0.2">
      <c r="A241" s="45">
        <v>43</v>
      </c>
      <c r="B241" s="45">
        <v>2001</v>
      </c>
      <c r="C241" s="17">
        <v>0</v>
      </c>
      <c r="D241" s="14">
        <v>0.18740519999999999</v>
      </c>
      <c r="E241" s="14">
        <v>0.1080415</v>
      </c>
      <c r="F241" s="14">
        <v>4.4369899999999997E-2</v>
      </c>
      <c r="G241" s="14">
        <v>1.0566150000000001</v>
      </c>
      <c r="H241" s="14">
        <v>0.39583790000000002</v>
      </c>
      <c r="R241" s="11">
        <f t="shared" si="8"/>
        <v>8.6689231915416023E-3</v>
      </c>
      <c r="Z241" s="11">
        <f t="shared" si="7"/>
        <v>1.1015697184907301E-2</v>
      </c>
    </row>
    <row r="242" spans="1:26" x14ac:dyDescent="0.2">
      <c r="A242" s="45">
        <v>43</v>
      </c>
      <c r="B242" s="45">
        <v>2002</v>
      </c>
      <c r="C242" s="17">
        <v>0</v>
      </c>
      <c r="D242" s="14">
        <v>0.19355530000000001</v>
      </c>
      <c r="E242" s="14">
        <v>0.104508</v>
      </c>
      <c r="F242" s="14">
        <v>3.6896900000000003E-2</v>
      </c>
      <c r="G242" s="14">
        <v>0.993089</v>
      </c>
      <c r="H242" s="14">
        <v>0.4774275</v>
      </c>
      <c r="R242" s="11">
        <f t="shared" si="8"/>
        <v>1.0219813393045944E-2</v>
      </c>
      <c r="Z242" s="11">
        <f t="shared" si="7"/>
        <v>1.2918967378320493E-2</v>
      </c>
    </row>
    <row r="243" spans="1:26" x14ac:dyDescent="0.2">
      <c r="A243" s="45">
        <v>43</v>
      </c>
      <c r="B243" s="45">
        <v>2003</v>
      </c>
      <c r="C243" s="17">
        <v>0</v>
      </c>
      <c r="D243" s="14">
        <v>0.2137164</v>
      </c>
      <c r="E243" s="14">
        <v>0.1184524</v>
      </c>
      <c r="F243" s="14">
        <v>4.8009900000000001E-2</v>
      </c>
      <c r="G243" s="14">
        <v>0.86322460000000001</v>
      </c>
      <c r="H243" s="14">
        <v>0.502861</v>
      </c>
      <c r="R243" s="11">
        <f t="shared" si="8"/>
        <v>1.1257800129373633E-2</v>
      </c>
      <c r="Z243" s="11">
        <f t="shared" si="7"/>
        <v>1.4402782611732654E-2</v>
      </c>
    </row>
    <row r="244" spans="1:26" x14ac:dyDescent="0.2">
      <c r="A244" s="45">
        <v>43</v>
      </c>
      <c r="B244" s="45">
        <v>2004</v>
      </c>
      <c r="C244" s="17">
        <v>0</v>
      </c>
      <c r="D244" s="14">
        <v>0.22253400000000001</v>
      </c>
      <c r="E244" s="14">
        <v>0.13772960000000001</v>
      </c>
      <c r="F244" s="14">
        <v>5.8580100000000003E-2</v>
      </c>
      <c r="G244" s="14">
        <v>0.95488450000000002</v>
      </c>
      <c r="H244" s="14">
        <v>0.53075570000000005</v>
      </c>
      <c r="R244" s="11">
        <f t="shared" si="8"/>
        <v>8.7144316903050353E-3</v>
      </c>
      <c r="Z244" s="11">
        <f t="shared" si="7"/>
        <v>1.1237814263197815E-2</v>
      </c>
    </row>
    <row r="245" spans="1:26" x14ac:dyDescent="0.2">
      <c r="A245" s="45">
        <v>44</v>
      </c>
      <c r="B245" s="45">
        <v>1999</v>
      </c>
      <c r="C245" s="17">
        <v>0</v>
      </c>
      <c r="D245" s="14">
        <v>-2.88629E-2</v>
      </c>
      <c r="E245" s="14">
        <v>7.8707700000000005E-2</v>
      </c>
      <c r="F245" s="14">
        <v>8.0541199999999993E-2</v>
      </c>
      <c r="G245" s="14">
        <v>0.49209000000000003</v>
      </c>
      <c r="H245" s="14">
        <v>0.64033439999999997</v>
      </c>
      <c r="R245" s="11">
        <f t="shared" si="8"/>
        <v>1.6522614313178238E-2</v>
      </c>
      <c r="Z245" s="11">
        <f t="shared" si="7"/>
        <v>2.1809854818693859E-2</v>
      </c>
    </row>
    <row r="246" spans="1:26" x14ac:dyDescent="0.2">
      <c r="A246" s="45">
        <v>44</v>
      </c>
      <c r="B246" s="45">
        <v>2000</v>
      </c>
      <c r="C246" s="17">
        <v>0</v>
      </c>
      <c r="D246" s="14">
        <v>-3.82983E-2</v>
      </c>
      <c r="E246" s="14">
        <v>0.16010959999999999</v>
      </c>
      <c r="F246" s="14">
        <v>7.8154100000000004E-2</v>
      </c>
      <c r="G246" s="14">
        <v>0.75216139999999998</v>
      </c>
      <c r="H246" s="14">
        <v>0.57203850000000001</v>
      </c>
      <c r="R246" s="11">
        <f t="shared" si="8"/>
        <v>9.9510294146067345E-3</v>
      </c>
      <c r="Z246" s="11">
        <f t="shared" si="7"/>
        <v>1.3100089312140645E-2</v>
      </c>
    </row>
    <row r="247" spans="1:26" x14ac:dyDescent="0.2">
      <c r="A247" s="45">
        <v>44</v>
      </c>
      <c r="B247" s="45">
        <v>2001</v>
      </c>
      <c r="C247" s="17">
        <v>0</v>
      </c>
      <c r="D247" s="14">
        <v>-5.9449999999999998E-4</v>
      </c>
      <c r="E247" s="14">
        <v>0.23860880000000001</v>
      </c>
      <c r="F247" s="14">
        <v>4.42771E-2</v>
      </c>
      <c r="G247" s="14">
        <v>1.8511150000000001</v>
      </c>
      <c r="H247" s="14">
        <v>0.48746980000000001</v>
      </c>
      <c r="R247" s="11">
        <f t="shared" si="8"/>
        <v>2.0364273224677074E-3</v>
      </c>
      <c r="Z247" s="11">
        <f t="shared" si="7"/>
        <v>2.5587620581503548E-3</v>
      </c>
    </row>
    <row r="248" spans="1:26" x14ac:dyDescent="0.2">
      <c r="A248" s="45">
        <v>44</v>
      </c>
      <c r="B248" s="45">
        <v>2002</v>
      </c>
      <c r="C248" s="17">
        <v>0</v>
      </c>
      <c r="D248" s="14">
        <v>5.09871E-2</v>
      </c>
      <c r="E248" s="14">
        <v>0.22807150000000001</v>
      </c>
      <c r="F248" s="14">
        <v>5.8659500000000003E-2</v>
      </c>
      <c r="G248" s="14">
        <v>1.6420220000000001</v>
      </c>
      <c r="H248" s="14">
        <v>0.5294065</v>
      </c>
      <c r="R248" s="11">
        <f t="shared" si="8"/>
        <v>2.570618952907301E-3</v>
      </c>
      <c r="Z248" s="11">
        <f t="shared" si="7"/>
        <v>3.2815517140426537E-3</v>
      </c>
    </row>
    <row r="249" spans="1:26" x14ac:dyDescent="0.2">
      <c r="A249" s="45">
        <v>44</v>
      </c>
      <c r="B249" s="45">
        <v>2003</v>
      </c>
      <c r="C249" s="17">
        <v>0</v>
      </c>
      <c r="D249" s="14">
        <v>1.8323200000000001E-2</v>
      </c>
      <c r="E249" s="14">
        <v>0.3129576</v>
      </c>
      <c r="F249" s="14">
        <v>6.1723399999999998E-2</v>
      </c>
      <c r="G249" s="14">
        <v>2.660882</v>
      </c>
      <c r="H249" s="14">
        <v>0.58963710000000003</v>
      </c>
      <c r="R249" s="11">
        <f t="shared" si="8"/>
        <v>4.3810291988306485E-4</v>
      </c>
      <c r="Z249" s="11">
        <f t="shared" si="7"/>
        <v>5.5015984789012621E-4</v>
      </c>
    </row>
    <row r="250" spans="1:26" x14ac:dyDescent="0.2">
      <c r="A250" s="45">
        <v>44</v>
      </c>
      <c r="B250" s="45">
        <v>2004</v>
      </c>
      <c r="C250" s="17">
        <v>0</v>
      </c>
      <c r="D250" s="14">
        <v>6.5110199999999993E-2</v>
      </c>
      <c r="E250" s="14">
        <v>0.34202690000000002</v>
      </c>
      <c r="F250" s="14">
        <v>7.4265300000000006E-2</v>
      </c>
      <c r="G250" s="14">
        <v>3.3621949999999998</v>
      </c>
      <c r="H250" s="14">
        <v>0.59640280000000001</v>
      </c>
      <c r="R250" s="11">
        <f t="shared" si="8"/>
        <v>1.2428392483805628E-4</v>
      </c>
      <c r="Z250" s="11">
        <f t="shared" si="7"/>
        <v>1.5543657318672528E-4</v>
      </c>
    </row>
    <row r="251" spans="1:26" x14ac:dyDescent="0.2">
      <c r="A251" s="45">
        <v>45</v>
      </c>
      <c r="B251" s="45">
        <v>1999</v>
      </c>
      <c r="C251" s="17">
        <v>0</v>
      </c>
      <c r="D251" s="14">
        <v>8.8431300000000004E-2</v>
      </c>
      <c r="E251" s="14">
        <v>0.26127590000000001</v>
      </c>
      <c r="F251" s="14">
        <v>5.2267599999999997E-2</v>
      </c>
      <c r="G251" s="14">
        <v>0.4137651</v>
      </c>
      <c r="H251" s="14">
        <v>0.1980777</v>
      </c>
      <c r="R251" s="11">
        <f t="shared" si="8"/>
        <v>1.7971339508373953E-2</v>
      </c>
      <c r="Z251" s="11">
        <f t="shared" si="7"/>
        <v>2.3361823578043828E-2</v>
      </c>
    </row>
    <row r="252" spans="1:26" x14ac:dyDescent="0.2">
      <c r="A252" s="45">
        <v>45</v>
      </c>
      <c r="B252" s="45">
        <v>2000</v>
      </c>
      <c r="C252" s="17">
        <v>0</v>
      </c>
      <c r="D252" s="14">
        <v>0.19423219999999999</v>
      </c>
      <c r="E252" s="14">
        <v>0.28435830000000001</v>
      </c>
      <c r="F252" s="14">
        <v>2.45007E-2</v>
      </c>
      <c r="G252" s="14">
        <v>6.2435900000000003E-2</v>
      </c>
      <c r="H252" s="14">
        <v>0.21281849999999999</v>
      </c>
      <c r="R252" s="11">
        <f t="shared" si="8"/>
        <v>3.7240051270495088E-2</v>
      </c>
      <c r="Z252" s="11">
        <f t="shared" si="7"/>
        <v>4.7479091373999298E-2</v>
      </c>
    </row>
    <row r="253" spans="1:26" x14ac:dyDescent="0.2">
      <c r="A253" s="45">
        <v>45</v>
      </c>
      <c r="B253" s="45">
        <v>2001</v>
      </c>
      <c r="C253" s="17">
        <v>0</v>
      </c>
      <c r="D253" s="14">
        <v>0.22363369999999999</v>
      </c>
      <c r="E253" s="14">
        <v>0.2773873</v>
      </c>
      <c r="F253" s="14">
        <v>3.0708699999999998E-2</v>
      </c>
      <c r="G253" s="14">
        <v>7.0976700000000004E-2</v>
      </c>
      <c r="H253" s="14">
        <v>0.20110239999999999</v>
      </c>
      <c r="R253" s="11">
        <f t="shared" si="8"/>
        <v>3.5381212350396804E-2</v>
      </c>
      <c r="Z253" s="11">
        <f t="shared" si="7"/>
        <v>4.533445570667731E-2</v>
      </c>
    </row>
    <row r="254" spans="1:26" x14ac:dyDescent="0.2">
      <c r="A254" s="45">
        <v>46</v>
      </c>
      <c r="B254" s="45">
        <v>1999</v>
      </c>
      <c r="C254" s="17">
        <v>0</v>
      </c>
      <c r="D254" s="14">
        <v>0.43909860000000001</v>
      </c>
      <c r="E254" s="14">
        <v>0.28342329999999999</v>
      </c>
      <c r="F254" s="14">
        <v>4.8647000000000003E-2</v>
      </c>
      <c r="G254" s="14">
        <v>0.85924730000000005</v>
      </c>
      <c r="H254" s="14">
        <v>0.57208590000000004</v>
      </c>
      <c r="R254" s="11">
        <f t="shared" si="8"/>
        <v>8.889092400412385E-3</v>
      </c>
      <c r="Z254" s="11">
        <f t="shared" si="7"/>
        <v>1.1450661705622292E-2</v>
      </c>
    </row>
    <row r="255" spans="1:26" x14ac:dyDescent="0.2">
      <c r="A255" s="45">
        <v>46</v>
      </c>
      <c r="B255" s="45">
        <v>2000</v>
      </c>
      <c r="C255" s="17">
        <v>0</v>
      </c>
      <c r="D255" s="14">
        <v>0.4481829</v>
      </c>
      <c r="E255" s="14">
        <v>0.21088219999999999</v>
      </c>
      <c r="F255" s="14">
        <v>6.9628899999999994E-2</v>
      </c>
      <c r="G255" s="14">
        <v>0.50986019999999999</v>
      </c>
      <c r="H255" s="14">
        <v>0.53239630000000004</v>
      </c>
      <c r="R255" s="11">
        <f t="shared" si="8"/>
        <v>1.4491729086689718E-2</v>
      </c>
      <c r="Z255" s="11">
        <f t="shared" si="7"/>
        <v>1.9051714882979031E-2</v>
      </c>
    </row>
    <row r="256" spans="1:26" x14ac:dyDescent="0.2">
      <c r="A256" s="45">
        <v>46</v>
      </c>
      <c r="B256" s="45">
        <v>2001</v>
      </c>
      <c r="C256" s="17">
        <v>0</v>
      </c>
      <c r="D256" s="14">
        <v>0.48243649999999999</v>
      </c>
      <c r="E256" s="14">
        <v>0.26424789999999998</v>
      </c>
      <c r="F256" s="14">
        <v>4.1828200000000003E-2</v>
      </c>
      <c r="G256" s="14">
        <v>0.85296870000000002</v>
      </c>
      <c r="H256" s="14">
        <v>0.40955920000000001</v>
      </c>
      <c r="R256" s="11">
        <f t="shared" si="8"/>
        <v>9.7415036124481619E-3</v>
      </c>
      <c r="Z256" s="11">
        <f t="shared" si="7"/>
        <v>1.2470156118165623E-2</v>
      </c>
    </row>
    <row r="257" spans="1:26" x14ac:dyDescent="0.2">
      <c r="A257" s="45">
        <v>46</v>
      </c>
      <c r="B257" s="45">
        <v>2002</v>
      </c>
      <c r="C257" s="17">
        <v>0</v>
      </c>
      <c r="D257" s="14">
        <v>0.42733900000000002</v>
      </c>
      <c r="E257" s="14">
        <v>0.17874870000000001</v>
      </c>
      <c r="F257" s="14">
        <v>2.9749100000000001E-2</v>
      </c>
      <c r="G257" s="14">
        <v>0.3994548</v>
      </c>
      <c r="H257" s="14">
        <v>0.44681850000000001</v>
      </c>
      <c r="R257" s="11">
        <f t="shared" si="8"/>
        <v>2.4652527252744728E-2</v>
      </c>
      <c r="Z257" s="11">
        <f t="shared" si="7"/>
        <v>3.1338825808914623E-2</v>
      </c>
    </row>
    <row r="258" spans="1:26" x14ac:dyDescent="0.2">
      <c r="A258" s="45">
        <v>46</v>
      </c>
      <c r="B258" s="45">
        <v>2003</v>
      </c>
      <c r="C258" s="17">
        <v>0</v>
      </c>
      <c r="D258" s="14">
        <v>0.43091049999999997</v>
      </c>
      <c r="E258" s="14">
        <v>0.20619000000000001</v>
      </c>
      <c r="F258" s="14">
        <v>4.67891E-2</v>
      </c>
      <c r="G258" s="14">
        <v>0.63996339999999996</v>
      </c>
      <c r="H258" s="14">
        <v>0.49546129999999999</v>
      </c>
      <c r="R258" s="11">
        <f t="shared" si="8"/>
        <v>1.4239527506715066E-2</v>
      </c>
      <c r="Z258" s="11">
        <f t="shared" ref="Z258:Z321" si="9">1/(1+EXP(-(U$2+$V$2*E258+$W$2*F258+$X$2*G258)))</f>
        <v>1.8326287440907776E-2</v>
      </c>
    </row>
    <row r="259" spans="1:26" x14ac:dyDescent="0.2">
      <c r="A259" s="45">
        <v>46</v>
      </c>
      <c r="B259" s="45">
        <v>2004</v>
      </c>
      <c r="C259" s="17">
        <v>0</v>
      </c>
      <c r="D259" s="14">
        <v>0.45308189999999998</v>
      </c>
      <c r="E259" s="14">
        <v>0.27105600000000002</v>
      </c>
      <c r="F259" s="14">
        <v>4.0389700000000001E-2</v>
      </c>
      <c r="G259" s="14">
        <v>0.88415900000000003</v>
      </c>
      <c r="H259" s="14">
        <v>0.52031430000000001</v>
      </c>
      <c r="R259" s="11">
        <f t="shared" si="8"/>
        <v>9.2883031468217782E-3</v>
      </c>
      <c r="Z259" s="11">
        <f t="shared" si="9"/>
        <v>1.1872367594918781E-2</v>
      </c>
    </row>
    <row r="260" spans="1:26" x14ac:dyDescent="0.2">
      <c r="A260" s="45">
        <v>47</v>
      </c>
      <c r="B260" s="45">
        <v>1999</v>
      </c>
      <c r="C260" s="17">
        <v>0</v>
      </c>
      <c r="D260" s="14">
        <v>8.6661100000000005E-2</v>
      </c>
      <c r="E260" s="14">
        <v>0.18575469999999999</v>
      </c>
      <c r="F260" s="14">
        <v>5.1499799999999998E-2</v>
      </c>
      <c r="G260" s="14">
        <v>0.55131260000000004</v>
      </c>
      <c r="H260" s="14">
        <v>0.42028969999999999</v>
      </c>
      <c r="R260" s="11">
        <f t="shared" si="8"/>
        <v>1.6237101177351429E-2</v>
      </c>
      <c r="Z260" s="11">
        <f t="shared" si="9"/>
        <v>2.0989834278650015E-2</v>
      </c>
    </row>
    <row r="261" spans="1:26" x14ac:dyDescent="0.2">
      <c r="A261" s="45">
        <v>48</v>
      </c>
      <c r="B261" s="45">
        <v>1999</v>
      </c>
      <c r="C261" s="17">
        <v>0</v>
      </c>
      <c r="D261" s="14">
        <v>0.12815699999999999</v>
      </c>
      <c r="E261" s="14">
        <v>0.29451040000000001</v>
      </c>
      <c r="F261" s="14">
        <v>3.5933800000000002E-2</v>
      </c>
      <c r="G261" s="14">
        <v>0.59789760000000003</v>
      </c>
      <c r="H261" s="14">
        <v>0.32831569999999999</v>
      </c>
      <c r="R261" s="11">
        <f t="shared" si="8"/>
        <v>1.4601190844127563E-2</v>
      </c>
      <c r="Z261" s="11">
        <f t="shared" si="9"/>
        <v>1.8698827459083075E-2</v>
      </c>
    </row>
    <row r="262" spans="1:26" x14ac:dyDescent="0.2">
      <c r="A262" s="45">
        <v>48</v>
      </c>
      <c r="B262" s="45">
        <v>2000</v>
      </c>
      <c r="C262" s="17">
        <v>0</v>
      </c>
      <c r="D262" s="14">
        <v>9.5024700000000004E-2</v>
      </c>
      <c r="E262" s="14">
        <v>0.25550840000000002</v>
      </c>
      <c r="F262" s="14">
        <v>3.6583200000000003E-2</v>
      </c>
      <c r="G262" s="14">
        <v>0.51749979999999995</v>
      </c>
      <c r="H262" s="14">
        <v>0.34368959999999998</v>
      </c>
      <c r="R262" s="11">
        <f t="shared" si="8"/>
        <v>1.7424382976744743E-2</v>
      </c>
      <c r="Z262" s="11">
        <f t="shared" si="9"/>
        <v>2.2317451542378422E-2</v>
      </c>
    </row>
    <row r="263" spans="1:26" x14ac:dyDescent="0.2">
      <c r="A263" s="45">
        <v>48</v>
      </c>
      <c r="B263" s="45">
        <v>2001</v>
      </c>
      <c r="C263" s="17">
        <v>0</v>
      </c>
      <c r="D263" s="14">
        <v>0.1265944</v>
      </c>
      <c r="E263" s="14">
        <v>0.28734080000000001</v>
      </c>
      <c r="F263" s="14">
        <v>3.9865900000000003E-2</v>
      </c>
      <c r="G263" s="14">
        <v>0.60430810000000001</v>
      </c>
      <c r="H263" s="14">
        <v>0.34413100000000002</v>
      </c>
      <c r="R263" s="11">
        <f t="shared" si="8"/>
        <v>1.4158402267899951E-2</v>
      </c>
      <c r="Z263" s="11">
        <f t="shared" si="9"/>
        <v>1.8184631371800958E-2</v>
      </c>
    </row>
    <row r="264" spans="1:26" x14ac:dyDescent="0.2">
      <c r="A264" s="45">
        <v>48</v>
      </c>
      <c r="B264" s="45">
        <v>2002</v>
      </c>
      <c r="C264" s="17">
        <v>0</v>
      </c>
      <c r="D264" s="14">
        <v>0.10130649999999999</v>
      </c>
      <c r="E264" s="14">
        <v>0.29442299999999999</v>
      </c>
      <c r="F264" s="14">
        <v>4.7449100000000001E-2</v>
      </c>
      <c r="G264" s="14">
        <v>0.44129629999999997</v>
      </c>
      <c r="H264" s="14">
        <v>0.3271676</v>
      </c>
      <c r="R264" s="11">
        <f t="shared" si="8"/>
        <v>1.7050655894067169E-2</v>
      </c>
      <c r="Z264" s="11">
        <f t="shared" si="9"/>
        <v>2.2097196961478952E-2</v>
      </c>
    </row>
    <row r="265" spans="1:26" x14ac:dyDescent="0.2">
      <c r="A265" s="45">
        <v>48</v>
      </c>
      <c r="B265" s="45">
        <v>2003</v>
      </c>
      <c r="C265" s="17">
        <v>0</v>
      </c>
      <c r="D265" s="14">
        <v>0.1177858</v>
      </c>
      <c r="E265" s="14">
        <v>0.283885</v>
      </c>
      <c r="F265" s="14">
        <v>2.17369E-2</v>
      </c>
      <c r="G265" s="14">
        <v>0.5040076</v>
      </c>
      <c r="H265" s="14">
        <v>0.32136140000000002</v>
      </c>
      <c r="R265" s="11">
        <f t="shared" si="8"/>
        <v>1.9202804068323455E-2</v>
      </c>
      <c r="Z265" s="11">
        <f t="shared" si="9"/>
        <v>2.4322780411808447E-2</v>
      </c>
    </row>
    <row r="266" spans="1:26" x14ac:dyDescent="0.2">
      <c r="A266" s="45">
        <v>48</v>
      </c>
      <c r="B266" s="45">
        <v>2004</v>
      </c>
      <c r="C266" s="17">
        <v>0</v>
      </c>
      <c r="D266" s="14">
        <v>9.7018400000000005E-2</v>
      </c>
      <c r="E266" s="14">
        <v>0.32089499999999999</v>
      </c>
      <c r="F266" s="14">
        <v>3.4729599999999999E-2</v>
      </c>
      <c r="G266" s="14">
        <v>0.85760619999999999</v>
      </c>
      <c r="H266" s="14">
        <v>0.35123559999999998</v>
      </c>
      <c r="R266" s="11">
        <f t="shared" si="8"/>
        <v>9.4285025561528304E-3</v>
      </c>
      <c r="Z266" s="11">
        <f t="shared" si="9"/>
        <v>1.2023191123667851E-2</v>
      </c>
    </row>
    <row r="267" spans="1:26" x14ac:dyDescent="0.2">
      <c r="A267" s="45">
        <v>49</v>
      </c>
      <c r="B267" s="45">
        <v>1997</v>
      </c>
      <c r="C267" s="17">
        <v>0</v>
      </c>
      <c r="D267" s="14">
        <v>6.7439299999999994E-2</v>
      </c>
      <c r="E267" s="14">
        <v>0.11129120000000001</v>
      </c>
      <c r="F267" s="14">
        <v>4.1065299999999999E-2</v>
      </c>
      <c r="G267" s="14">
        <v>0.85340629999999995</v>
      </c>
      <c r="H267" s="14">
        <v>0.12498620000000001</v>
      </c>
      <c r="R267" s="11">
        <f t="shared" si="8"/>
        <v>1.2203387884602287E-2</v>
      </c>
      <c r="Z267" s="11">
        <f t="shared" si="9"/>
        <v>1.5520690390368507E-2</v>
      </c>
    </row>
    <row r="268" spans="1:26" x14ac:dyDescent="0.2">
      <c r="A268" s="45">
        <v>49</v>
      </c>
      <c r="B268" s="45">
        <v>1998</v>
      </c>
      <c r="C268" s="17">
        <v>0</v>
      </c>
      <c r="D268" s="14">
        <v>3.3058999999999998E-2</v>
      </c>
      <c r="E268" s="14">
        <v>0.112303</v>
      </c>
      <c r="F268" s="14">
        <v>3.5353900000000001E-2</v>
      </c>
      <c r="G268" s="14">
        <v>0.84915569999999996</v>
      </c>
      <c r="H268" s="14">
        <v>0.14180409999999999</v>
      </c>
      <c r="R268" s="11">
        <f t="shared" si="8"/>
        <v>1.28335627200841E-2</v>
      </c>
      <c r="Z268" s="11">
        <f t="shared" si="9"/>
        <v>1.6246404297932025E-2</v>
      </c>
    </row>
    <row r="269" spans="1:26" x14ac:dyDescent="0.2">
      <c r="A269" s="45">
        <v>49</v>
      </c>
      <c r="B269" s="45">
        <v>1999</v>
      </c>
      <c r="C269" s="17">
        <v>0</v>
      </c>
      <c r="D269" s="14">
        <v>9.7899999999999994E-5</v>
      </c>
      <c r="E269" s="14">
        <v>0.1187059</v>
      </c>
      <c r="F269" s="14">
        <v>3.7234000000000003E-2</v>
      </c>
      <c r="G269" s="14">
        <v>0.72823450000000001</v>
      </c>
      <c r="H269" s="14">
        <v>0.1316541</v>
      </c>
      <c r="R269" s="11">
        <f t="shared" si="8"/>
        <v>1.5150959848785539E-2</v>
      </c>
      <c r="Z269" s="11">
        <f t="shared" si="9"/>
        <v>1.9251443394219605E-2</v>
      </c>
    </row>
    <row r="270" spans="1:26" x14ac:dyDescent="0.2">
      <c r="A270" s="45">
        <v>49</v>
      </c>
      <c r="B270" s="45">
        <v>2000</v>
      </c>
      <c r="C270" s="17">
        <v>0</v>
      </c>
      <c r="D270" s="14">
        <v>-6.2506999999999993E-2</v>
      </c>
      <c r="E270" s="14">
        <v>0.142231</v>
      </c>
      <c r="F270" s="14">
        <v>3.3909399999999999E-2</v>
      </c>
      <c r="G270" s="14">
        <v>0.80857179999999995</v>
      </c>
      <c r="H270" s="14">
        <v>0.1089415</v>
      </c>
      <c r="R270" s="11">
        <f t="shared" si="8"/>
        <v>1.3254672487246199E-2</v>
      </c>
      <c r="Z270" s="11">
        <f t="shared" si="9"/>
        <v>1.6789733720467874E-2</v>
      </c>
    </row>
    <row r="271" spans="1:26" x14ac:dyDescent="0.2">
      <c r="A271" s="45">
        <v>49</v>
      </c>
      <c r="B271" s="45">
        <v>2001</v>
      </c>
      <c r="C271" s="17">
        <v>0</v>
      </c>
      <c r="D271" s="14">
        <v>-6.64907E-2</v>
      </c>
      <c r="E271" s="14">
        <v>0.1077945</v>
      </c>
      <c r="F271" s="14">
        <v>5.8771999999999998E-2</v>
      </c>
      <c r="G271" s="14">
        <v>0.4501193</v>
      </c>
      <c r="H271" s="14">
        <v>9.9941299999999997E-2</v>
      </c>
      <c r="R271" s="11">
        <f t="shared" si="8"/>
        <v>2.0082097385445231E-2</v>
      </c>
      <c r="Z271" s="11">
        <f t="shared" si="9"/>
        <v>2.607034761084924E-2</v>
      </c>
    </row>
    <row r="272" spans="1:26" x14ac:dyDescent="0.2">
      <c r="A272" s="45">
        <v>49</v>
      </c>
      <c r="B272" s="45">
        <v>2002</v>
      </c>
      <c r="C272" s="17">
        <v>0</v>
      </c>
      <c r="D272" s="14">
        <v>-9.1678899999999994E-2</v>
      </c>
      <c r="E272" s="14">
        <v>8.86015E-2</v>
      </c>
      <c r="F272" s="14">
        <v>5.0045199999999998E-2</v>
      </c>
      <c r="G272" s="14">
        <v>0.4845392</v>
      </c>
      <c r="H272" s="14">
        <v>9.6250299999999997E-2</v>
      </c>
      <c r="R272" s="11">
        <f t="shared" si="8"/>
        <v>2.0943147728969262E-2</v>
      </c>
      <c r="Z272" s="11">
        <f t="shared" si="9"/>
        <v>2.6955358861308704E-2</v>
      </c>
    </row>
    <row r="273" spans="1:26" x14ac:dyDescent="0.2">
      <c r="A273" s="45">
        <v>49</v>
      </c>
      <c r="B273" s="45">
        <v>2003</v>
      </c>
      <c r="C273" s="17">
        <v>0</v>
      </c>
      <c r="D273" s="14">
        <v>-5.0537499999999999E-2</v>
      </c>
      <c r="E273" s="14">
        <v>0.1049079</v>
      </c>
      <c r="F273" s="14">
        <v>4.2052899999999997E-2</v>
      </c>
      <c r="G273" s="14">
        <v>0.63895659999999999</v>
      </c>
      <c r="H273" s="14">
        <v>0.10036680000000001</v>
      </c>
      <c r="R273" s="11">
        <f t="shared" si="8"/>
        <v>1.7113335059708207E-2</v>
      </c>
      <c r="Z273" s="11">
        <f t="shared" si="9"/>
        <v>2.1849226523945955E-2</v>
      </c>
    </row>
    <row r="274" spans="1:26" x14ac:dyDescent="0.2">
      <c r="A274" s="45">
        <v>49</v>
      </c>
      <c r="B274" s="45">
        <v>2004</v>
      </c>
      <c r="C274" s="17">
        <v>0</v>
      </c>
      <c r="D274" s="14">
        <v>3.6260899999999999E-2</v>
      </c>
      <c r="E274" s="14">
        <v>0.1109699</v>
      </c>
      <c r="F274" s="14">
        <v>5.7083099999999998E-2</v>
      </c>
      <c r="G274" s="14">
        <v>0.62342149999999996</v>
      </c>
      <c r="H274" s="14">
        <v>0.13819329999999999</v>
      </c>
      <c r="R274" s="11">
        <f t="shared" si="8"/>
        <v>1.5444749302695716E-2</v>
      </c>
      <c r="Z274" s="11">
        <f t="shared" si="9"/>
        <v>1.9978588932986839E-2</v>
      </c>
    </row>
    <row r="275" spans="1:26" x14ac:dyDescent="0.2">
      <c r="A275" s="45">
        <v>50</v>
      </c>
      <c r="B275" s="45">
        <v>1999</v>
      </c>
      <c r="C275" s="17">
        <v>0</v>
      </c>
      <c r="D275" s="14">
        <v>-1.57647E-2</v>
      </c>
      <c r="E275" s="14">
        <v>0.3125674</v>
      </c>
      <c r="F275" s="14">
        <v>6.2468599999999999E-2</v>
      </c>
      <c r="G275" s="14">
        <v>1.6191679999999999</v>
      </c>
      <c r="H275" s="14">
        <v>0.16757759999999999</v>
      </c>
      <c r="R275" s="11">
        <f t="shared" si="8"/>
        <v>2.2876437848378447E-3</v>
      </c>
      <c r="Z275" s="11">
        <f t="shared" si="9"/>
        <v>2.9395990930727897E-3</v>
      </c>
    </row>
    <row r="276" spans="1:26" x14ac:dyDescent="0.2">
      <c r="A276" s="45">
        <v>51</v>
      </c>
      <c r="B276" s="45">
        <v>1999</v>
      </c>
      <c r="C276" s="17">
        <v>0</v>
      </c>
      <c r="D276" s="14">
        <v>0.19536529999999999</v>
      </c>
      <c r="E276" s="14">
        <v>0.65449210000000002</v>
      </c>
      <c r="F276" s="14">
        <v>8.8810399999999998E-2</v>
      </c>
      <c r="G276" s="14">
        <v>15.012560000000001</v>
      </c>
      <c r="H276" s="14">
        <v>0.27681270000000002</v>
      </c>
      <c r="R276" s="11">
        <f t="shared" si="8"/>
        <v>6.0748447577773437E-13</v>
      </c>
      <c r="Z276" s="11">
        <f t="shared" si="9"/>
        <v>6.0130556757302433E-13</v>
      </c>
    </row>
    <row r="277" spans="1:26" x14ac:dyDescent="0.2">
      <c r="A277" s="45">
        <v>51</v>
      </c>
      <c r="B277" s="45">
        <v>2000</v>
      </c>
      <c r="C277" s="17">
        <v>0</v>
      </c>
      <c r="D277" s="14">
        <v>0.1272316</v>
      </c>
      <c r="E277" s="14">
        <v>0.27071830000000002</v>
      </c>
      <c r="F277" s="14">
        <v>5.4701899999999998E-2</v>
      </c>
      <c r="G277" s="14">
        <v>2.7742589999999998</v>
      </c>
      <c r="H277" s="14">
        <v>0.13470940000000001</v>
      </c>
      <c r="R277" s="11">
        <f t="shared" si="8"/>
        <v>4.1132593442636412E-4</v>
      </c>
      <c r="Z277" s="11">
        <f t="shared" si="9"/>
        <v>5.1155379154607943E-4</v>
      </c>
    </row>
    <row r="278" spans="1:26" x14ac:dyDescent="0.2">
      <c r="A278" s="45">
        <v>51</v>
      </c>
      <c r="B278" s="45">
        <v>2001</v>
      </c>
      <c r="C278" s="17">
        <v>0</v>
      </c>
      <c r="D278" s="14">
        <v>0.112495</v>
      </c>
      <c r="E278" s="14">
        <v>0.30847560000000002</v>
      </c>
      <c r="F278" s="14">
        <v>4.1013399999999998E-2</v>
      </c>
      <c r="G278" s="14">
        <v>2.3634490000000001</v>
      </c>
      <c r="H278" s="14">
        <v>0.13633509999999999</v>
      </c>
      <c r="R278" s="11">
        <f t="shared" si="8"/>
        <v>8.3565930396431259E-4</v>
      </c>
      <c r="Z278" s="11">
        <f t="shared" si="9"/>
        <v>1.0382642487799661E-3</v>
      </c>
    </row>
    <row r="279" spans="1:26" x14ac:dyDescent="0.2">
      <c r="A279" s="45">
        <v>51</v>
      </c>
      <c r="B279" s="45">
        <v>2002</v>
      </c>
      <c r="C279" s="17">
        <v>0</v>
      </c>
      <c r="D279" s="14">
        <v>0.1153135</v>
      </c>
      <c r="E279" s="14">
        <v>0.35130800000000001</v>
      </c>
      <c r="F279" s="14">
        <v>4.9132200000000001E-2</v>
      </c>
      <c r="G279" s="14">
        <v>2.0758320000000001</v>
      </c>
      <c r="H279" s="14">
        <v>0.1243932</v>
      </c>
      <c r="R279" s="11">
        <f t="shared" ref="R279:R342" si="10">1/(1+EXP(-(K$2+$M$2*E279+$N$2*F279+$O$2*G279)))</f>
        <v>1.1632997501474051E-3</v>
      </c>
      <c r="Z279" s="11">
        <f t="shared" si="9"/>
        <v>1.4662402213531317E-3</v>
      </c>
    </row>
    <row r="280" spans="1:26" x14ac:dyDescent="0.2">
      <c r="A280" s="45">
        <v>51</v>
      </c>
      <c r="B280" s="45">
        <v>2003</v>
      </c>
      <c r="C280" s="17">
        <v>0</v>
      </c>
      <c r="D280" s="14">
        <v>0.13089680000000001</v>
      </c>
      <c r="E280" s="14">
        <v>0.37416090000000002</v>
      </c>
      <c r="F280" s="14">
        <v>4.94075E-2</v>
      </c>
      <c r="G280" s="14">
        <v>1.4427989999999999</v>
      </c>
      <c r="H280" s="14">
        <v>0.12639500000000001</v>
      </c>
      <c r="R280" s="11">
        <f t="shared" si="10"/>
        <v>3.073182393956922E-3</v>
      </c>
      <c r="Z280" s="11">
        <f t="shared" si="9"/>
        <v>3.9296390493809763E-3</v>
      </c>
    </row>
    <row r="281" spans="1:26" x14ac:dyDescent="0.2">
      <c r="A281" s="45">
        <v>51</v>
      </c>
      <c r="B281" s="45">
        <v>2004</v>
      </c>
      <c r="C281" s="17">
        <v>0</v>
      </c>
      <c r="D281" s="14">
        <v>6.2524800000000005E-2</v>
      </c>
      <c r="E281" s="14">
        <v>0.3750849</v>
      </c>
      <c r="F281" s="14">
        <v>5.8642800000000002E-2</v>
      </c>
      <c r="G281" s="14">
        <v>1.605067</v>
      </c>
      <c r="H281" s="14">
        <v>0.1340913</v>
      </c>
      <c r="R281" s="11">
        <f t="shared" si="10"/>
        <v>2.202910926565499E-3</v>
      </c>
      <c r="Z281" s="11">
        <f t="shared" si="9"/>
        <v>2.8288605344972892E-3</v>
      </c>
    </row>
    <row r="282" spans="1:26" x14ac:dyDescent="0.2">
      <c r="A282" s="45">
        <v>52</v>
      </c>
      <c r="B282" s="45">
        <v>1999</v>
      </c>
      <c r="C282" s="17">
        <v>0</v>
      </c>
      <c r="D282" s="14">
        <v>8.6616799999999994E-2</v>
      </c>
      <c r="E282" s="14">
        <v>0.50722420000000001</v>
      </c>
      <c r="F282" s="14">
        <v>7.7507000000000006E-2</v>
      </c>
      <c r="G282" s="14">
        <v>4.653829</v>
      </c>
      <c r="H282" s="14">
        <v>0.38489509999999999</v>
      </c>
      <c r="R282" s="11">
        <f t="shared" si="10"/>
        <v>1.2160700672693126E-5</v>
      </c>
      <c r="Z282" s="11">
        <f t="shared" si="9"/>
        <v>1.4906287236740404E-5</v>
      </c>
    </row>
    <row r="283" spans="1:26" x14ac:dyDescent="0.2">
      <c r="A283" s="45">
        <v>52</v>
      </c>
      <c r="B283" s="45">
        <v>2000</v>
      </c>
      <c r="C283" s="17">
        <v>0</v>
      </c>
      <c r="D283" s="14">
        <v>9.99525E-2</v>
      </c>
      <c r="E283" s="14">
        <v>0.52969259999999996</v>
      </c>
      <c r="F283" s="14">
        <v>5.7124000000000001E-2</v>
      </c>
      <c r="G283" s="14">
        <v>3.2966549999999999</v>
      </c>
      <c r="H283" s="14">
        <v>0.38094410000000001</v>
      </c>
      <c r="R283" s="11">
        <f t="shared" si="10"/>
        <v>1.2045318070425323E-4</v>
      </c>
      <c r="Z283" s="11">
        <f t="shared" si="9"/>
        <v>1.4971854671654648E-4</v>
      </c>
    </row>
    <row r="284" spans="1:26" x14ac:dyDescent="0.2">
      <c r="A284" s="45">
        <v>52</v>
      </c>
      <c r="B284" s="45">
        <v>2001</v>
      </c>
      <c r="C284" s="17">
        <v>0</v>
      </c>
      <c r="D284" s="14">
        <v>3.7014999999999999E-2</v>
      </c>
      <c r="E284" s="14">
        <v>0.53637710000000005</v>
      </c>
      <c r="F284" s="14">
        <v>5.6326599999999998E-2</v>
      </c>
      <c r="G284" s="14">
        <v>3.3224809999999998</v>
      </c>
      <c r="H284" s="14">
        <v>0.34649720000000001</v>
      </c>
      <c r="R284" s="11">
        <f t="shared" si="10"/>
        <v>1.1521146464986063E-4</v>
      </c>
      <c r="Z284" s="11">
        <f t="shared" si="9"/>
        <v>1.4306133995392671E-4</v>
      </c>
    </row>
    <row r="285" spans="1:26" x14ac:dyDescent="0.2">
      <c r="A285" s="45">
        <v>52</v>
      </c>
      <c r="B285" s="45">
        <v>2002</v>
      </c>
      <c r="C285" s="17">
        <v>0</v>
      </c>
      <c r="D285" s="14">
        <v>-2.8877E-3</v>
      </c>
      <c r="E285" s="14">
        <v>0.42447289999999999</v>
      </c>
      <c r="F285" s="14">
        <v>5.8045300000000001E-2</v>
      </c>
      <c r="G285" s="14">
        <v>2.606967</v>
      </c>
      <c r="H285" s="14">
        <v>0.32956150000000001</v>
      </c>
      <c r="R285" s="11">
        <f t="shared" si="10"/>
        <v>4.1807812480850056E-4</v>
      </c>
      <c r="Z285" s="11">
        <f t="shared" si="9"/>
        <v>5.260635782108748E-4</v>
      </c>
    </row>
    <row r="286" spans="1:26" x14ac:dyDescent="0.2">
      <c r="A286" s="45">
        <v>52</v>
      </c>
      <c r="B286" s="45">
        <v>2003</v>
      </c>
      <c r="C286" s="17">
        <v>0</v>
      </c>
      <c r="D286" s="14">
        <v>2.2654400000000002E-2</v>
      </c>
      <c r="E286" s="14">
        <v>0.4429864</v>
      </c>
      <c r="F286" s="14">
        <v>6.1844000000000003E-2</v>
      </c>
      <c r="G286" s="14">
        <v>2.2558129999999998</v>
      </c>
      <c r="H286" s="14">
        <v>0.32643810000000001</v>
      </c>
      <c r="R286" s="11">
        <f t="shared" si="10"/>
        <v>6.9068751376181287E-4</v>
      </c>
      <c r="Z286" s="11">
        <f t="shared" si="9"/>
        <v>8.7905021256885134E-4</v>
      </c>
    </row>
    <row r="287" spans="1:26" x14ac:dyDescent="0.2">
      <c r="A287" s="45">
        <v>52</v>
      </c>
      <c r="B287" s="45">
        <v>2004</v>
      </c>
      <c r="C287" s="17">
        <v>0</v>
      </c>
      <c r="D287" s="14">
        <v>7.5891200000000006E-2</v>
      </c>
      <c r="E287" s="14">
        <v>0.46189730000000001</v>
      </c>
      <c r="F287" s="14">
        <v>4.7214699999999998E-2</v>
      </c>
      <c r="G287" s="14">
        <v>2.34795</v>
      </c>
      <c r="H287" s="14">
        <v>0.3674809</v>
      </c>
      <c r="R287" s="11">
        <f t="shared" si="10"/>
        <v>6.5224533932475284E-4</v>
      </c>
      <c r="Z287" s="11">
        <f t="shared" si="9"/>
        <v>8.1911494253922117E-4</v>
      </c>
    </row>
    <row r="288" spans="1:26" x14ac:dyDescent="0.2">
      <c r="A288" s="45">
        <v>53</v>
      </c>
      <c r="B288" s="45">
        <v>1999</v>
      </c>
      <c r="C288" s="17">
        <v>0</v>
      </c>
      <c r="D288" s="14">
        <v>0.53698219999999997</v>
      </c>
      <c r="E288" s="14">
        <v>0.53069310000000003</v>
      </c>
      <c r="F288" s="14">
        <v>4.6715399999999997E-2</v>
      </c>
      <c r="G288" s="14">
        <v>1.055428</v>
      </c>
      <c r="H288" s="14">
        <v>0.58712059999999999</v>
      </c>
      <c r="R288" s="11">
        <f t="shared" si="10"/>
        <v>4.6292595960312367E-3</v>
      </c>
      <c r="Z288" s="11">
        <f t="shared" si="9"/>
        <v>5.985952453570904E-3</v>
      </c>
    </row>
    <row r="289" spans="1:26" x14ac:dyDescent="0.2">
      <c r="A289" s="45">
        <v>53</v>
      </c>
      <c r="B289" s="45">
        <v>2000</v>
      </c>
      <c r="C289" s="17">
        <v>0</v>
      </c>
      <c r="D289" s="14">
        <v>0.40056069999999999</v>
      </c>
      <c r="E289" s="14">
        <v>0.32864339999999997</v>
      </c>
      <c r="F289" s="14">
        <v>6.9692100000000007E-2</v>
      </c>
      <c r="G289" s="14">
        <v>0.81780790000000003</v>
      </c>
      <c r="H289" s="14">
        <v>0.53750819999999999</v>
      </c>
      <c r="R289" s="11">
        <f t="shared" si="10"/>
        <v>7.524366288464159E-3</v>
      </c>
      <c r="Z289" s="11">
        <f t="shared" si="9"/>
        <v>9.8876467902688919E-3</v>
      </c>
    </row>
    <row r="290" spans="1:26" x14ac:dyDescent="0.2">
      <c r="A290" s="45">
        <v>53</v>
      </c>
      <c r="B290" s="45">
        <v>2001</v>
      </c>
      <c r="C290" s="17">
        <v>0</v>
      </c>
      <c r="D290" s="14">
        <v>0.23619979999999999</v>
      </c>
      <c r="E290" s="14">
        <v>0.32405800000000001</v>
      </c>
      <c r="F290" s="14">
        <v>4.6295200000000002E-2</v>
      </c>
      <c r="G290" s="14">
        <v>0.76913330000000002</v>
      </c>
      <c r="H290" s="14">
        <v>0.45568019999999998</v>
      </c>
      <c r="R290" s="11">
        <f t="shared" si="10"/>
        <v>9.8472417000127557E-3</v>
      </c>
      <c r="Z290" s="11">
        <f t="shared" si="9"/>
        <v>1.269954897143425E-2</v>
      </c>
    </row>
    <row r="291" spans="1:26" x14ac:dyDescent="0.2">
      <c r="A291" s="45">
        <v>53</v>
      </c>
      <c r="B291" s="45">
        <v>2002</v>
      </c>
      <c r="C291" s="17">
        <v>0</v>
      </c>
      <c r="D291" s="14">
        <v>0.43702259999999998</v>
      </c>
      <c r="E291" s="14">
        <v>0.27261999999999997</v>
      </c>
      <c r="F291" s="14">
        <v>2.8546800000000001E-2</v>
      </c>
      <c r="G291" s="14">
        <v>0.93642709999999996</v>
      </c>
      <c r="H291" s="14">
        <v>0.49034840000000002</v>
      </c>
      <c r="R291" s="11">
        <f t="shared" si="10"/>
        <v>9.3730093211956151E-3</v>
      </c>
      <c r="Z291" s="11">
        <f t="shared" si="9"/>
        <v>1.1853129630301941E-2</v>
      </c>
    </row>
    <row r="292" spans="1:26" x14ac:dyDescent="0.2">
      <c r="A292" s="45">
        <v>53</v>
      </c>
      <c r="B292" s="45">
        <v>2003</v>
      </c>
      <c r="C292" s="17">
        <v>0</v>
      </c>
      <c r="D292" s="14">
        <v>0.42294789999999999</v>
      </c>
      <c r="E292" s="14">
        <v>0.26890320000000001</v>
      </c>
      <c r="F292" s="14">
        <v>3.55638E-2</v>
      </c>
      <c r="G292" s="14">
        <v>0.59630970000000005</v>
      </c>
      <c r="H292" s="14">
        <v>0.52511410000000003</v>
      </c>
      <c r="R292" s="11">
        <f t="shared" si="10"/>
        <v>1.5228816860467941E-2</v>
      </c>
      <c r="Z292" s="11">
        <f t="shared" si="9"/>
        <v>1.9477204327989897E-2</v>
      </c>
    </row>
    <row r="293" spans="1:26" x14ac:dyDescent="0.2">
      <c r="A293" s="45">
        <v>53</v>
      </c>
      <c r="B293" s="45">
        <v>2004</v>
      </c>
      <c r="C293" s="17">
        <v>0</v>
      </c>
      <c r="D293" s="14">
        <v>0.4092634</v>
      </c>
      <c r="E293" s="14">
        <v>0.29369230000000002</v>
      </c>
      <c r="F293" s="14">
        <v>3.4802699999999999E-2</v>
      </c>
      <c r="G293" s="14">
        <v>0.97556790000000004</v>
      </c>
      <c r="H293" s="14">
        <v>0.57394920000000005</v>
      </c>
      <c r="R293" s="11">
        <f t="shared" si="10"/>
        <v>8.133805776132777E-3</v>
      </c>
      <c r="Z293" s="11">
        <f t="shared" si="9"/>
        <v>1.0340358669002424E-2</v>
      </c>
    </row>
    <row r="294" spans="1:26" x14ac:dyDescent="0.2">
      <c r="A294" s="45">
        <v>54</v>
      </c>
      <c r="B294" s="45">
        <v>1999</v>
      </c>
      <c r="C294" s="17">
        <v>0</v>
      </c>
      <c r="D294" s="14">
        <v>-0.11305419999999999</v>
      </c>
      <c r="E294" s="14">
        <v>0.22403090000000001</v>
      </c>
      <c r="F294" s="14">
        <v>0.1228992</v>
      </c>
      <c r="G294" s="14">
        <v>2.7484410000000001</v>
      </c>
      <c r="H294" s="14">
        <v>0.64121399999999995</v>
      </c>
      <c r="R294" s="11">
        <f t="shared" si="10"/>
        <v>2.6587998498717294E-4</v>
      </c>
      <c r="Z294" s="11">
        <f t="shared" si="9"/>
        <v>3.4932340465978378E-4</v>
      </c>
    </row>
    <row r="295" spans="1:26" x14ac:dyDescent="0.2">
      <c r="A295" s="45">
        <v>54</v>
      </c>
      <c r="B295" s="45">
        <v>2000</v>
      </c>
      <c r="C295" s="17">
        <v>0</v>
      </c>
      <c r="D295" s="14">
        <v>0.1058446</v>
      </c>
      <c r="E295" s="14">
        <v>0.2900643</v>
      </c>
      <c r="F295" s="14">
        <v>0.1258157</v>
      </c>
      <c r="G295" s="14">
        <v>3.7582399999999998</v>
      </c>
      <c r="H295" s="14">
        <v>0.61722639999999995</v>
      </c>
      <c r="R295" s="11">
        <f t="shared" si="10"/>
        <v>4.7214955627148234E-5</v>
      </c>
      <c r="Z295" s="11">
        <f t="shared" si="9"/>
        <v>6.0955889788917759E-5</v>
      </c>
    </row>
    <row r="296" spans="1:26" x14ac:dyDescent="0.2">
      <c r="A296" s="45">
        <v>54</v>
      </c>
      <c r="B296" s="45">
        <v>2001</v>
      </c>
      <c r="C296" s="17">
        <v>0</v>
      </c>
      <c r="D296" s="14">
        <v>0.1682506</v>
      </c>
      <c r="E296" s="14">
        <v>0.3056662</v>
      </c>
      <c r="F296" s="14">
        <v>0.13307910000000001</v>
      </c>
      <c r="G296" s="14">
        <v>3.3882089999999998</v>
      </c>
      <c r="H296" s="14">
        <v>0.56742879999999996</v>
      </c>
      <c r="R296" s="11">
        <f t="shared" si="10"/>
        <v>7.8537230012771603E-5</v>
      </c>
      <c r="Z296" s="11">
        <f t="shared" si="9"/>
        <v>1.028878025064526E-4</v>
      </c>
    </row>
    <row r="297" spans="1:26" x14ac:dyDescent="0.2">
      <c r="A297" s="45">
        <v>54</v>
      </c>
      <c r="B297" s="45">
        <v>2002</v>
      </c>
      <c r="C297" s="17">
        <v>0</v>
      </c>
      <c r="D297" s="14">
        <v>5.1948099999999997E-2</v>
      </c>
      <c r="E297" s="14">
        <v>0.30007800000000001</v>
      </c>
      <c r="F297" s="14">
        <v>0.1227248</v>
      </c>
      <c r="G297" s="14">
        <v>3.7113809999999998</v>
      </c>
      <c r="H297" s="14">
        <v>0.59729529999999997</v>
      </c>
      <c r="R297" s="11">
        <f t="shared" si="10"/>
        <v>5.1395206835451793E-5</v>
      </c>
      <c r="Z297" s="11">
        <f t="shared" si="9"/>
        <v>6.6275817315262519E-5</v>
      </c>
    </row>
    <row r="298" spans="1:26" x14ac:dyDescent="0.2">
      <c r="A298" s="45">
        <v>54</v>
      </c>
      <c r="B298" s="45">
        <v>2003</v>
      </c>
      <c r="C298" s="17">
        <v>0</v>
      </c>
      <c r="D298" s="14">
        <v>0.2164605</v>
      </c>
      <c r="E298" s="14">
        <v>0.44379220000000003</v>
      </c>
      <c r="F298" s="14">
        <v>0.13822970000000001</v>
      </c>
      <c r="G298" s="14">
        <v>5.0357440000000002</v>
      </c>
      <c r="H298" s="14">
        <v>0.61581300000000005</v>
      </c>
      <c r="R298" s="11">
        <f t="shared" si="10"/>
        <v>4.4642740238620408E-6</v>
      </c>
      <c r="Z298" s="11">
        <f t="shared" si="9"/>
        <v>5.6909178710275245E-6</v>
      </c>
    </row>
    <row r="299" spans="1:26" x14ac:dyDescent="0.2">
      <c r="A299" s="45">
        <v>54</v>
      </c>
      <c r="B299" s="45">
        <v>2004</v>
      </c>
      <c r="C299" s="17">
        <v>0</v>
      </c>
      <c r="D299" s="14">
        <v>0.26947209999999999</v>
      </c>
      <c r="E299" s="14">
        <v>0.51429069999999999</v>
      </c>
      <c r="F299" s="14">
        <v>0.12105349999999999</v>
      </c>
      <c r="G299" s="14">
        <v>5.7486519999999999</v>
      </c>
      <c r="H299" s="14">
        <v>0.58436980000000005</v>
      </c>
      <c r="R299" s="11">
        <f t="shared" si="10"/>
        <v>1.4842516394636958E-6</v>
      </c>
      <c r="Z299" s="11">
        <f t="shared" si="9"/>
        <v>1.8410102206323891E-6</v>
      </c>
    </row>
    <row r="300" spans="1:26" x14ac:dyDescent="0.2">
      <c r="A300" s="45">
        <v>55</v>
      </c>
      <c r="B300" s="45">
        <v>1999</v>
      </c>
      <c r="C300" s="17">
        <v>0</v>
      </c>
      <c r="D300" s="14">
        <v>5.0679000000000002E-2</v>
      </c>
      <c r="E300" s="14">
        <v>0.36311880000000002</v>
      </c>
      <c r="F300" s="14">
        <v>6.8722699999999998E-2</v>
      </c>
      <c r="G300" s="14">
        <v>2.2442639999999998</v>
      </c>
      <c r="H300" s="14">
        <v>0.2296947</v>
      </c>
      <c r="R300" s="11">
        <f t="shared" si="10"/>
        <v>7.4780389377285023E-4</v>
      </c>
      <c r="Z300" s="11">
        <f t="shared" si="9"/>
        <v>9.5473318884441117E-4</v>
      </c>
    </row>
    <row r="301" spans="1:26" x14ac:dyDescent="0.2">
      <c r="A301" s="45">
        <v>55</v>
      </c>
      <c r="B301" s="45">
        <v>2000</v>
      </c>
      <c r="C301" s="17">
        <v>0</v>
      </c>
      <c r="D301" s="14">
        <v>1.4260399999999999E-2</v>
      </c>
      <c r="E301" s="14">
        <v>0.37370969999999998</v>
      </c>
      <c r="F301" s="14">
        <v>5.7434699999999998E-2</v>
      </c>
      <c r="G301" s="14">
        <v>1.474153</v>
      </c>
      <c r="H301" s="14">
        <v>0.19745380000000001</v>
      </c>
      <c r="R301" s="11">
        <f t="shared" si="10"/>
        <v>2.744294237898042E-3</v>
      </c>
      <c r="Z301" s="11">
        <f t="shared" si="9"/>
        <v>3.5300184849818344E-3</v>
      </c>
    </row>
    <row r="302" spans="1:26" x14ac:dyDescent="0.2">
      <c r="A302" s="45">
        <v>55</v>
      </c>
      <c r="B302" s="45">
        <v>2001</v>
      </c>
      <c r="C302" s="17">
        <v>0</v>
      </c>
      <c r="D302" s="14">
        <v>4.2145700000000001E-2</v>
      </c>
      <c r="E302" s="14">
        <v>0.4081843</v>
      </c>
      <c r="F302" s="14">
        <v>2.9715100000000001E-2</v>
      </c>
      <c r="G302" s="14">
        <v>1.7316819999999999</v>
      </c>
      <c r="H302" s="14">
        <v>0.24188370000000001</v>
      </c>
      <c r="R302" s="11">
        <f t="shared" si="10"/>
        <v>2.1626066528696421E-3</v>
      </c>
      <c r="Z302" s="11">
        <f t="shared" si="9"/>
        <v>2.7077660882474175E-3</v>
      </c>
    </row>
    <row r="303" spans="1:26" x14ac:dyDescent="0.2">
      <c r="A303" s="45">
        <v>55</v>
      </c>
      <c r="B303" s="45">
        <v>2002</v>
      </c>
      <c r="C303" s="17">
        <v>0</v>
      </c>
      <c r="D303" s="14">
        <v>2.5575500000000001E-2</v>
      </c>
      <c r="E303" s="14">
        <v>0.2811111</v>
      </c>
      <c r="F303" s="14">
        <v>4.7926999999999997E-2</v>
      </c>
      <c r="G303" s="14">
        <v>1.3634539999999999</v>
      </c>
      <c r="H303" s="14">
        <v>0.2339195</v>
      </c>
      <c r="R303" s="11">
        <f t="shared" si="10"/>
        <v>4.0363053129295785E-3</v>
      </c>
      <c r="Z303" s="11">
        <f t="shared" si="9"/>
        <v>5.146168661995229E-3</v>
      </c>
    </row>
    <row r="304" spans="1:26" x14ac:dyDescent="0.2">
      <c r="A304" s="45">
        <v>55</v>
      </c>
      <c r="B304" s="45">
        <v>2003</v>
      </c>
      <c r="C304" s="17">
        <v>0</v>
      </c>
      <c r="D304" s="14">
        <v>1.63108E-2</v>
      </c>
      <c r="E304" s="14">
        <v>0.2721693</v>
      </c>
      <c r="F304" s="14">
        <v>4.5889199999999998E-2</v>
      </c>
      <c r="G304" s="14">
        <v>1.352838</v>
      </c>
      <c r="H304" s="14">
        <v>0.23593320000000001</v>
      </c>
      <c r="R304" s="11">
        <f t="shared" si="10"/>
        <v>4.2264334086436362E-3</v>
      </c>
      <c r="Z304" s="11">
        <f t="shared" si="9"/>
        <v>5.3789598128154131E-3</v>
      </c>
    </row>
    <row r="305" spans="1:26" x14ac:dyDescent="0.2">
      <c r="A305" s="45">
        <v>55</v>
      </c>
      <c r="B305" s="45">
        <v>2004</v>
      </c>
      <c r="C305" s="17">
        <v>0</v>
      </c>
      <c r="D305" s="14">
        <v>6.4680000000000001E-2</v>
      </c>
      <c r="E305" s="14">
        <v>0.29636099999999999</v>
      </c>
      <c r="F305" s="14">
        <v>4.7251099999999997E-2</v>
      </c>
      <c r="G305" s="14">
        <v>1.576857</v>
      </c>
      <c r="H305" s="14">
        <v>0.2395021</v>
      </c>
      <c r="R305" s="11">
        <f t="shared" si="10"/>
        <v>2.8283597863155712E-3</v>
      </c>
      <c r="Z305" s="11">
        <f t="shared" si="9"/>
        <v>3.5903135571187894E-3</v>
      </c>
    </row>
    <row r="306" spans="1:26" x14ac:dyDescent="0.2">
      <c r="A306" s="45">
        <v>56</v>
      </c>
      <c r="B306" s="45">
        <v>1999</v>
      </c>
      <c r="C306" s="17">
        <v>0</v>
      </c>
      <c r="D306" s="14">
        <v>0.22211829999999999</v>
      </c>
      <c r="E306" s="14">
        <v>5.3949999999999996E-3</v>
      </c>
      <c r="F306" s="14">
        <v>2.6277600000000002E-2</v>
      </c>
      <c r="G306" s="14">
        <v>1.778181</v>
      </c>
      <c r="H306" s="14">
        <v>0.2066645</v>
      </c>
      <c r="R306" s="11">
        <f t="shared" si="10"/>
        <v>3.7018426331840008E-3</v>
      </c>
      <c r="Z306" s="11">
        <f t="shared" si="9"/>
        <v>4.5525379447146708E-3</v>
      </c>
    </row>
    <row r="307" spans="1:26" x14ac:dyDescent="0.2">
      <c r="A307" s="45">
        <v>56</v>
      </c>
      <c r="B307" s="45">
        <v>2000</v>
      </c>
      <c r="C307" s="17">
        <v>0</v>
      </c>
      <c r="D307" s="14">
        <v>0.26025140000000002</v>
      </c>
      <c r="E307" s="14">
        <v>-1.51746E-2</v>
      </c>
      <c r="F307" s="14">
        <v>5.52845E-2</v>
      </c>
      <c r="G307" s="14">
        <v>4.0722849999999999</v>
      </c>
      <c r="H307" s="14">
        <v>0.24038380000000001</v>
      </c>
      <c r="R307" s="11">
        <f t="shared" si="10"/>
        <v>7.8431537872442286E-5</v>
      </c>
      <c r="Z307" s="11">
        <f t="shared" si="9"/>
        <v>9.3922660487963787E-5</v>
      </c>
    </row>
    <row r="308" spans="1:26" x14ac:dyDescent="0.2">
      <c r="A308" s="45">
        <v>56</v>
      </c>
      <c r="B308" s="45">
        <v>2002</v>
      </c>
      <c r="C308" s="17">
        <v>0</v>
      </c>
      <c r="D308" s="14">
        <v>0.26958130000000002</v>
      </c>
      <c r="E308" s="14">
        <v>2.9142100000000001E-2</v>
      </c>
      <c r="F308" s="14">
        <v>4.7929399999999997E-2</v>
      </c>
      <c r="G308" s="14">
        <v>3.6360779999999999</v>
      </c>
      <c r="H308" s="14">
        <v>0.23490730000000001</v>
      </c>
      <c r="R308" s="11">
        <f t="shared" si="10"/>
        <v>1.5628506622536085E-4</v>
      </c>
      <c r="Z308" s="11">
        <f t="shared" si="9"/>
        <v>1.8810622302107625E-4</v>
      </c>
    </row>
    <row r="309" spans="1:26" x14ac:dyDescent="0.2">
      <c r="A309" s="45">
        <v>56</v>
      </c>
      <c r="B309" s="45">
        <v>2003</v>
      </c>
      <c r="C309" s="17">
        <v>0</v>
      </c>
      <c r="D309" s="14">
        <v>0.2147609</v>
      </c>
      <c r="E309" s="14">
        <v>2.40678E-2</v>
      </c>
      <c r="F309" s="14">
        <v>5.76645E-2</v>
      </c>
      <c r="G309" s="14">
        <v>3.6762229999999998</v>
      </c>
      <c r="H309" s="14">
        <v>0.25105139999999998</v>
      </c>
      <c r="R309" s="11">
        <f t="shared" si="10"/>
        <v>1.3662405156982533E-4</v>
      </c>
      <c r="Z309" s="11">
        <f t="shared" si="9"/>
        <v>1.6558470434952977E-4</v>
      </c>
    </row>
    <row r="310" spans="1:26" x14ac:dyDescent="0.2">
      <c r="A310" s="45">
        <v>56</v>
      </c>
      <c r="B310" s="45">
        <v>2004</v>
      </c>
      <c r="C310" s="17">
        <v>0</v>
      </c>
      <c r="D310" s="14">
        <v>0.27787420000000002</v>
      </c>
      <c r="E310" s="14">
        <v>8.6945300000000003E-2</v>
      </c>
      <c r="F310" s="14">
        <v>6.6778100000000007E-2</v>
      </c>
      <c r="G310" s="14">
        <v>4.9211530000000003</v>
      </c>
      <c r="H310" s="14">
        <v>0.27818019999999999</v>
      </c>
      <c r="R310" s="11">
        <f t="shared" si="10"/>
        <v>1.5944517544391405E-5</v>
      </c>
      <c r="Z310" s="11">
        <f t="shared" si="9"/>
        <v>1.8984093615057031E-5</v>
      </c>
    </row>
    <row r="311" spans="1:26" x14ac:dyDescent="0.2">
      <c r="A311" s="45">
        <v>57</v>
      </c>
      <c r="B311" s="45">
        <v>1999</v>
      </c>
      <c r="C311" s="17">
        <v>0</v>
      </c>
      <c r="D311" s="14">
        <v>0.10246230000000001</v>
      </c>
      <c r="E311" s="14">
        <v>0.18714330000000001</v>
      </c>
      <c r="F311" s="14">
        <v>5.8539000000000001E-2</v>
      </c>
      <c r="G311" s="14">
        <v>0.59142760000000005</v>
      </c>
      <c r="H311" s="14">
        <v>0.32672430000000002</v>
      </c>
      <c r="R311" s="11">
        <f t="shared" si="10"/>
        <v>1.4395504891964858E-2</v>
      </c>
      <c r="Z311" s="11">
        <f t="shared" si="9"/>
        <v>1.8709766350748246E-2</v>
      </c>
    </row>
    <row r="312" spans="1:26" x14ac:dyDescent="0.2">
      <c r="A312" s="45">
        <v>57</v>
      </c>
      <c r="B312" s="45">
        <v>2000</v>
      </c>
      <c r="C312" s="17">
        <v>0</v>
      </c>
      <c r="D312" s="14">
        <v>0.14690529999999999</v>
      </c>
      <c r="E312" s="14">
        <v>0.2236871</v>
      </c>
      <c r="F312" s="14">
        <v>6.6673499999999997E-2</v>
      </c>
      <c r="G312" s="14">
        <v>0.69170920000000002</v>
      </c>
      <c r="H312" s="14">
        <v>0.3465143</v>
      </c>
      <c r="R312" s="11">
        <f t="shared" si="10"/>
        <v>1.0939762798104744E-2</v>
      </c>
      <c r="Z312" s="11">
        <f t="shared" si="9"/>
        <v>1.4313679341071599E-2</v>
      </c>
    </row>
    <row r="313" spans="1:26" x14ac:dyDescent="0.2">
      <c r="A313" s="45">
        <v>57</v>
      </c>
      <c r="B313" s="45">
        <v>2001</v>
      </c>
      <c r="C313" s="17">
        <v>0</v>
      </c>
      <c r="D313" s="14">
        <v>0.13354369999999999</v>
      </c>
      <c r="E313" s="14">
        <v>0.19280159999999999</v>
      </c>
      <c r="F313" s="14">
        <v>4.7400999999999999E-2</v>
      </c>
      <c r="G313" s="14">
        <v>1.1007020000000001</v>
      </c>
      <c r="H313" s="14">
        <v>0.39131959999999999</v>
      </c>
      <c r="R313" s="11">
        <f t="shared" si="10"/>
        <v>6.9845222900183253E-3</v>
      </c>
      <c r="Z313" s="11">
        <f t="shared" si="9"/>
        <v>8.9183686148718352E-3</v>
      </c>
    </row>
    <row r="314" spans="1:26" x14ac:dyDescent="0.2">
      <c r="A314" s="45">
        <v>57</v>
      </c>
      <c r="B314" s="45">
        <v>2002</v>
      </c>
      <c r="C314" s="17">
        <v>0</v>
      </c>
      <c r="D314" s="14">
        <v>6.9021200000000005E-2</v>
      </c>
      <c r="E314" s="14">
        <v>0.1380256</v>
      </c>
      <c r="F314" s="14">
        <v>4.8250300000000003E-2</v>
      </c>
      <c r="G314" s="14">
        <v>0.81767080000000003</v>
      </c>
      <c r="H314" s="14">
        <v>0.2447781</v>
      </c>
      <c r="R314" s="11">
        <f t="shared" si="10"/>
        <v>1.1737483415170519E-2</v>
      </c>
      <c r="Z314" s="11">
        <f t="shared" si="9"/>
        <v>1.50421323833306E-2</v>
      </c>
    </row>
    <row r="315" spans="1:26" x14ac:dyDescent="0.2">
      <c r="A315" s="45">
        <v>57</v>
      </c>
      <c r="B315" s="45">
        <v>2003</v>
      </c>
      <c r="C315" s="17">
        <v>0</v>
      </c>
      <c r="D315" s="14">
        <v>4.5301500000000001E-2</v>
      </c>
      <c r="E315" s="14">
        <v>0.21648300000000001</v>
      </c>
      <c r="F315" s="14">
        <v>5.1294399999999997E-2</v>
      </c>
      <c r="G315" s="14">
        <v>1.074387</v>
      </c>
      <c r="H315" s="14">
        <v>0.3212122</v>
      </c>
      <c r="R315" s="11">
        <f t="shared" si="10"/>
        <v>6.8224486608745366E-3</v>
      </c>
      <c r="Z315" s="11">
        <f t="shared" si="9"/>
        <v>8.7514787087347948E-3</v>
      </c>
    </row>
    <row r="316" spans="1:26" x14ac:dyDescent="0.2">
      <c r="A316" s="45">
        <v>57</v>
      </c>
      <c r="B316" s="45">
        <v>2004</v>
      </c>
      <c r="C316" s="17">
        <v>0</v>
      </c>
      <c r="D316" s="14">
        <v>9.6369499999999997E-2</v>
      </c>
      <c r="E316" s="14">
        <v>0.25255490000000003</v>
      </c>
      <c r="F316" s="14">
        <v>5.2733700000000001E-2</v>
      </c>
      <c r="G316" s="14">
        <v>1.5024660000000001</v>
      </c>
      <c r="H316" s="14">
        <v>0.3071044</v>
      </c>
      <c r="R316" s="11">
        <f t="shared" si="10"/>
        <v>3.2467862429082029E-3</v>
      </c>
      <c r="Z316" s="11">
        <f t="shared" si="9"/>
        <v>4.1400457146877553E-3</v>
      </c>
    </row>
    <row r="317" spans="1:26" x14ac:dyDescent="0.2">
      <c r="A317" s="45">
        <v>58</v>
      </c>
      <c r="B317" s="45">
        <v>1999</v>
      </c>
      <c r="C317" s="17">
        <v>0</v>
      </c>
      <c r="D317" s="14">
        <v>-1.4646299999999999E-2</v>
      </c>
      <c r="E317" s="14">
        <v>0.18303220000000001</v>
      </c>
      <c r="F317" s="14">
        <v>3.8386099999999999E-2</v>
      </c>
      <c r="G317" s="14">
        <v>0.68971280000000001</v>
      </c>
      <c r="H317" s="14">
        <v>0.1108645</v>
      </c>
      <c r="R317" s="11">
        <f t="shared" si="10"/>
        <v>1.4546034339924345E-2</v>
      </c>
      <c r="Z317" s="11">
        <f t="shared" si="9"/>
        <v>1.8558544495330634E-2</v>
      </c>
    </row>
    <row r="318" spans="1:26" x14ac:dyDescent="0.2">
      <c r="A318" s="45">
        <v>58</v>
      </c>
      <c r="B318" s="45">
        <v>2000</v>
      </c>
      <c r="C318" s="17">
        <v>0</v>
      </c>
      <c r="D318" s="14">
        <v>1.9153300000000002E-2</v>
      </c>
      <c r="E318" s="14">
        <v>0.1710883</v>
      </c>
      <c r="F318" s="14">
        <v>4.8810199999999998E-2</v>
      </c>
      <c r="G318" s="14">
        <v>0.76789339999999995</v>
      </c>
      <c r="H318" s="14">
        <v>0.1061879</v>
      </c>
      <c r="R318" s="11">
        <f t="shared" si="10"/>
        <v>1.2052130522504331E-2</v>
      </c>
      <c r="Z318" s="11">
        <f t="shared" si="9"/>
        <v>1.5484914286335394E-2</v>
      </c>
    </row>
    <row r="319" spans="1:26" x14ac:dyDescent="0.2">
      <c r="A319" s="45">
        <v>58</v>
      </c>
      <c r="B319" s="45">
        <v>2001</v>
      </c>
      <c r="C319" s="17">
        <v>0</v>
      </c>
      <c r="D319" s="14">
        <v>-8.6530399999999993E-2</v>
      </c>
      <c r="E319" s="14">
        <v>0.15532589999999999</v>
      </c>
      <c r="F319" s="14">
        <v>-4.4930000000000002E-4</v>
      </c>
      <c r="G319" s="14">
        <v>0.45342189999999999</v>
      </c>
      <c r="H319" s="14">
        <v>9.3439599999999998E-2</v>
      </c>
      <c r="R319" s="11">
        <f t="shared" si="10"/>
        <v>2.9646970905682211E-2</v>
      </c>
      <c r="Z319" s="11">
        <f t="shared" si="9"/>
        <v>3.6678812888880752E-2</v>
      </c>
    </row>
    <row r="320" spans="1:26" x14ac:dyDescent="0.2">
      <c r="A320" s="45">
        <v>58</v>
      </c>
      <c r="B320" s="45">
        <v>2002</v>
      </c>
      <c r="C320" s="17">
        <v>0</v>
      </c>
      <c r="D320" s="14">
        <v>9.1900700000000002E-2</v>
      </c>
      <c r="E320" s="14">
        <v>0.15276790000000001</v>
      </c>
      <c r="F320" s="14">
        <v>3.2725799999999999E-2</v>
      </c>
      <c r="G320" s="14">
        <v>0.4805025</v>
      </c>
      <c r="H320" s="14">
        <v>0.1235142</v>
      </c>
      <c r="R320" s="11">
        <f t="shared" si="10"/>
        <v>2.2029313569736527E-2</v>
      </c>
      <c r="Z320" s="11">
        <f t="shared" si="9"/>
        <v>2.8018173702323877E-2</v>
      </c>
    </row>
    <row r="321" spans="1:26" x14ac:dyDescent="0.2">
      <c r="A321" s="45">
        <v>58</v>
      </c>
      <c r="B321" s="45">
        <v>2003</v>
      </c>
      <c r="C321" s="17">
        <v>0</v>
      </c>
      <c r="D321" s="14">
        <v>7.5104199999999996E-2</v>
      </c>
      <c r="E321" s="14">
        <v>0.14304020000000001</v>
      </c>
      <c r="F321" s="14">
        <v>3.9500100000000003E-2</v>
      </c>
      <c r="G321" s="14">
        <v>0.60204270000000004</v>
      </c>
      <c r="H321" s="14">
        <v>0.17841219999999999</v>
      </c>
      <c r="R321" s="11">
        <f t="shared" si="10"/>
        <v>1.7518307963792678E-2</v>
      </c>
      <c r="Z321" s="11">
        <f t="shared" si="9"/>
        <v>2.2364319472609442E-2</v>
      </c>
    </row>
    <row r="322" spans="1:26" x14ac:dyDescent="0.2">
      <c r="A322" s="45">
        <v>58</v>
      </c>
      <c r="B322" s="45">
        <v>2004</v>
      </c>
      <c r="C322" s="17">
        <v>0</v>
      </c>
      <c r="D322" s="14">
        <v>8.1463599999999997E-2</v>
      </c>
      <c r="E322" s="14">
        <v>0.16118260000000001</v>
      </c>
      <c r="F322" s="14">
        <v>5.6421899999999997E-2</v>
      </c>
      <c r="G322" s="14">
        <v>0.64002210000000004</v>
      </c>
      <c r="H322" s="14">
        <v>0.2137973</v>
      </c>
      <c r="R322" s="11">
        <f t="shared" si="10"/>
        <v>1.407615523888479E-2</v>
      </c>
      <c r="Z322" s="11">
        <f t="shared" ref="Z322:Z385" si="11">1/(1+EXP(-(U$2+$V$2*E322+$W$2*F322+$X$2*G322)))</f>
        <v>1.8230229302231223E-2</v>
      </c>
    </row>
    <row r="323" spans="1:26" x14ac:dyDescent="0.2">
      <c r="A323" s="45">
        <v>59</v>
      </c>
      <c r="B323" s="45">
        <v>1998</v>
      </c>
      <c r="C323" s="17">
        <v>0</v>
      </c>
      <c r="D323" s="14">
        <v>0.33351249999999999</v>
      </c>
      <c r="E323" s="14">
        <v>0.12504509999999999</v>
      </c>
      <c r="F323" s="14">
        <v>-5.0880000000000001E-4</v>
      </c>
      <c r="G323" s="14">
        <v>0.8125715</v>
      </c>
      <c r="H323" s="14">
        <v>0.30124879999999998</v>
      </c>
      <c r="R323" s="11">
        <f t="shared" si="10"/>
        <v>1.7703447359091854E-2</v>
      </c>
      <c r="Z323" s="11">
        <f t="shared" si="11"/>
        <v>2.1774149657462442E-2</v>
      </c>
    </row>
    <row r="324" spans="1:26" x14ac:dyDescent="0.2">
      <c r="A324" s="45">
        <v>60</v>
      </c>
      <c r="B324" s="45">
        <v>1999</v>
      </c>
      <c r="C324" s="17">
        <v>0</v>
      </c>
      <c r="D324" s="14">
        <v>0.1988771</v>
      </c>
      <c r="E324" s="14">
        <v>0.22770180000000001</v>
      </c>
      <c r="F324" s="14">
        <v>4.3153299999999999E-2</v>
      </c>
      <c r="G324" s="14">
        <v>0.52411750000000001</v>
      </c>
      <c r="H324" s="14">
        <v>0.16808119999999999</v>
      </c>
      <c r="R324" s="11">
        <f t="shared" si="10"/>
        <v>1.7040485222987747E-2</v>
      </c>
      <c r="Z324" s="11">
        <f t="shared" si="11"/>
        <v>2.1919858895958926E-2</v>
      </c>
    </row>
    <row r="325" spans="1:26" x14ac:dyDescent="0.2">
      <c r="A325" s="45">
        <v>60</v>
      </c>
      <c r="B325" s="45">
        <v>2000</v>
      </c>
      <c r="C325" s="17">
        <v>0</v>
      </c>
      <c r="D325" s="14">
        <v>0.198992</v>
      </c>
      <c r="E325" s="14">
        <v>0.21772340000000001</v>
      </c>
      <c r="F325" s="14">
        <v>2.83127E-2</v>
      </c>
      <c r="G325" s="14">
        <v>0.15616650000000001</v>
      </c>
      <c r="H325" s="14">
        <v>0.15827559999999999</v>
      </c>
      <c r="R325" s="11">
        <f t="shared" si="10"/>
        <v>3.4376802160967015E-2</v>
      </c>
      <c r="Z325" s="11">
        <f t="shared" si="11"/>
        <v>4.3813187937870458E-2</v>
      </c>
    </row>
    <row r="326" spans="1:26" x14ac:dyDescent="0.2">
      <c r="A326" s="45">
        <v>60</v>
      </c>
      <c r="B326" s="45">
        <v>2001</v>
      </c>
      <c r="C326" s="17">
        <v>0</v>
      </c>
      <c r="D326" s="14">
        <v>0.1990538</v>
      </c>
      <c r="E326" s="14">
        <v>0.20319029999999999</v>
      </c>
      <c r="F326" s="14">
        <v>3.9430899999999998E-2</v>
      </c>
      <c r="G326" s="14">
        <v>0.2289765</v>
      </c>
      <c r="H326" s="14">
        <v>0.17459340000000001</v>
      </c>
      <c r="R326" s="11">
        <f t="shared" si="10"/>
        <v>2.8770142762691381E-2</v>
      </c>
      <c r="Z326" s="11">
        <f t="shared" si="11"/>
        <v>3.69749172684379E-2</v>
      </c>
    </row>
    <row r="327" spans="1:26" x14ac:dyDescent="0.2">
      <c r="A327" s="45">
        <v>60</v>
      </c>
      <c r="B327" s="45">
        <v>2002</v>
      </c>
      <c r="C327" s="17">
        <v>0</v>
      </c>
      <c r="D327" s="14">
        <v>0.20102510000000001</v>
      </c>
      <c r="E327" s="14">
        <v>9.5109200000000005E-2</v>
      </c>
      <c r="F327" s="14">
        <v>1.85191E-2</v>
      </c>
      <c r="G327" s="14">
        <v>0.12553329999999999</v>
      </c>
      <c r="H327" s="14">
        <v>5.9386399999999999E-2</v>
      </c>
      <c r="R327" s="11">
        <f t="shared" si="10"/>
        <v>4.6090952566832405E-2</v>
      </c>
      <c r="Z327" s="11">
        <f t="shared" si="11"/>
        <v>5.7914166875330922E-2</v>
      </c>
    </row>
    <row r="328" spans="1:26" x14ac:dyDescent="0.2">
      <c r="A328" s="45">
        <v>61</v>
      </c>
      <c r="B328" s="45">
        <v>1997</v>
      </c>
      <c r="C328" s="17">
        <v>0</v>
      </c>
      <c r="D328" s="14">
        <v>0.21463499999999999</v>
      </c>
      <c r="E328" s="14">
        <v>0.37858350000000002</v>
      </c>
      <c r="F328" s="14">
        <v>6.4120899999999995E-2</v>
      </c>
      <c r="G328" s="14">
        <v>2.6424690000000002</v>
      </c>
      <c r="H328" s="14">
        <v>0.2752812</v>
      </c>
      <c r="R328" s="11">
        <f t="shared" si="10"/>
        <v>4.0231419168774323E-4</v>
      </c>
      <c r="Z328" s="11">
        <f t="shared" si="11"/>
        <v>5.0756018736955151E-4</v>
      </c>
    </row>
    <row r="329" spans="1:26" x14ac:dyDescent="0.2">
      <c r="A329" s="45">
        <v>61</v>
      </c>
      <c r="B329" s="45">
        <v>1998</v>
      </c>
      <c r="C329" s="17">
        <v>0</v>
      </c>
      <c r="D329" s="14">
        <v>0.20129639999999999</v>
      </c>
      <c r="E329" s="14">
        <v>0.42991699999999999</v>
      </c>
      <c r="F329" s="14">
        <v>6.9620199999999993E-2</v>
      </c>
      <c r="G329" s="14">
        <v>5.2131619999999996</v>
      </c>
      <c r="H329" s="14">
        <v>0.28095360000000003</v>
      </c>
      <c r="R329" s="11">
        <f t="shared" si="10"/>
        <v>5.9438622387963105E-6</v>
      </c>
      <c r="Z329" s="11">
        <f t="shared" si="11"/>
        <v>7.1313633355365036E-6</v>
      </c>
    </row>
    <row r="330" spans="1:26" x14ac:dyDescent="0.2">
      <c r="A330" s="45">
        <v>61</v>
      </c>
      <c r="B330" s="45">
        <v>1999</v>
      </c>
      <c r="C330" s="17">
        <v>0</v>
      </c>
      <c r="D330" s="14">
        <v>0.1975124</v>
      </c>
      <c r="E330" s="14">
        <v>0.41628229999999999</v>
      </c>
      <c r="F330" s="14">
        <v>6.3187199999999999E-2</v>
      </c>
      <c r="G330" s="14">
        <v>4.9574699999999998</v>
      </c>
      <c r="H330" s="14">
        <v>0.26622879999999999</v>
      </c>
      <c r="R330" s="11">
        <f t="shared" si="10"/>
        <v>9.5937117358387677E-6</v>
      </c>
      <c r="Z330" s="11">
        <f t="shared" si="11"/>
        <v>1.150912997719118E-5</v>
      </c>
    </row>
    <row r="331" spans="1:26" x14ac:dyDescent="0.2">
      <c r="A331" s="45">
        <v>61</v>
      </c>
      <c r="B331" s="45">
        <v>2000</v>
      </c>
      <c r="C331" s="17">
        <v>0</v>
      </c>
      <c r="D331" s="14">
        <v>0.31819819999999999</v>
      </c>
      <c r="E331" s="14">
        <v>0.43101889999999998</v>
      </c>
      <c r="F331" s="14">
        <v>7.1914900000000004E-2</v>
      </c>
      <c r="G331" s="14">
        <v>5.0157670000000003</v>
      </c>
      <c r="H331" s="14">
        <v>0.29212779999999999</v>
      </c>
      <c r="R331" s="11">
        <f t="shared" si="10"/>
        <v>7.980228108043608E-6</v>
      </c>
      <c r="Z331" s="11">
        <f t="shared" si="11"/>
        <v>9.6347413338929288E-6</v>
      </c>
    </row>
    <row r="332" spans="1:26" x14ac:dyDescent="0.2">
      <c r="A332" s="45">
        <v>61</v>
      </c>
      <c r="B332" s="45">
        <v>2001</v>
      </c>
      <c r="C332" s="17">
        <v>0</v>
      </c>
      <c r="D332" s="14">
        <v>0.36793540000000002</v>
      </c>
      <c r="E332" s="14">
        <v>0.45890629999999999</v>
      </c>
      <c r="F332" s="14">
        <v>7.6023800000000002E-2</v>
      </c>
      <c r="G332" s="14">
        <v>7.487317</v>
      </c>
      <c r="H332" s="14">
        <v>0.28440549999999998</v>
      </c>
      <c r="R332" s="11">
        <f t="shared" si="10"/>
        <v>1.4441139730799586E-7</v>
      </c>
      <c r="Z332" s="11">
        <f t="shared" si="11"/>
        <v>1.6583169604751297E-7</v>
      </c>
    </row>
    <row r="333" spans="1:26" x14ac:dyDescent="0.2">
      <c r="A333" s="45">
        <v>61</v>
      </c>
      <c r="B333" s="45">
        <v>2002</v>
      </c>
      <c r="C333" s="17">
        <v>0</v>
      </c>
      <c r="D333" s="14">
        <v>0.3609639</v>
      </c>
      <c r="E333" s="14">
        <v>0.43812420000000002</v>
      </c>
      <c r="F333" s="14">
        <v>9.0556999999999999E-2</v>
      </c>
      <c r="G333" s="14">
        <v>5.619802</v>
      </c>
      <c r="H333" s="14">
        <v>0.25452540000000001</v>
      </c>
      <c r="R333" s="11">
        <f t="shared" si="10"/>
        <v>2.5985021421202996E-6</v>
      </c>
      <c r="Z333" s="11">
        <f t="shared" si="11"/>
        <v>3.144225351989783E-6</v>
      </c>
    </row>
    <row r="334" spans="1:26" x14ac:dyDescent="0.2">
      <c r="A334" s="45">
        <v>61</v>
      </c>
      <c r="B334" s="45">
        <v>2003</v>
      </c>
      <c r="C334" s="17">
        <v>0</v>
      </c>
      <c r="D334" s="14">
        <v>0.30673879999999998</v>
      </c>
      <c r="E334" s="14">
        <v>0.43942219999999999</v>
      </c>
      <c r="F334" s="14">
        <v>7.1205099999999993E-2</v>
      </c>
      <c r="G334" s="14">
        <v>6.5491450000000002</v>
      </c>
      <c r="H334" s="14">
        <v>0.24188570000000001</v>
      </c>
      <c r="R334" s="11">
        <f t="shared" si="10"/>
        <v>6.8856273064180573E-7</v>
      </c>
      <c r="Z334" s="11">
        <f t="shared" si="11"/>
        <v>8.03482683632314E-7</v>
      </c>
    </row>
    <row r="335" spans="1:26" x14ac:dyDescent="0.2">
      <c r="A335" s="45">
        <v>61</v>
      </c>
      <c r="B335" s="45">
        <v>2004</v>
      </c>
      <c r="C335" s="17">
        <v>0</v>
      </c>
      <c r="D335" s="14">
        <v>0.3664809</v>
      </c>
      <c r="E335" s="14">
        <v>0.47917270000000001</v>
      </c>
      <c r="F335" s="14">
        <v>7.4601700000000007E-2</v>
      </c>
      <c r="G335" s="14">
        <v>10.345940000000001</v>
      </c>
      <c r="H335" s="14">
        <v>0.22860620000000001</v>
      </c>
      <c r="R335" s="11">
        <f t="shared" si="10"/>
        <v>1.490466166222236E-9</v>
      </c>
      <c r="Z335" s="11">
        <f t="shared" si="11"/>
        <v>1.6063660548459333E-9</v>
      </c>
    </row>
    <row r="336" spans="1:26" x14ac:dyDescent="0.2">
      <c r="A336" s="45">
        <v>62</v>
      </c>
      <c r="B336" s="45">
        <v>1997</v>
      </c>
      <c r="C336" s="17">
        <v>0</v>
      </c>
      <c r="D336" s="14">
        <v>2.95616E-2</v>
      </c>
      <c r="E336" s="14">
        <v>0.21136160000000001</v>
      </c>
      <c r="F336" s="14">
        <v>5.2333299999999999E-2</v>
      </c>
      <c r="G336" s="14">
        <v>2.1049090000000001</v>
      </c>
      <c r="H336" s="14">
        <v>0.19883290000000001</v>
      </c>
      <c r="R336" s="11">
        <f t="shared" si="10"/>
        <v>1.3266265295665631E-3</v>
      </c>
      <c r="Z336" s="11">
        <f t="shared" si="11"/>
        <v>1.6673391730875503E-3</v>
      </c>
    </row>
    <row r="337" spans="1:26" x14ac:dyDescent="0.2">
      <c r="A337" s="45">
        <v>62</v>
      </c>
      <c r="B337" s="45">
        <v>1998</v>
      </c>
      <c r="C337" s="17">
        <v>0</v>
      </c>
      <c r="D337" s="14">
        <v>3.2088600000000002E-2</v>
      </c>
      <c r="E337" s="14">
        <v>0.12044870000000001</v>
      </c>
      <c r="F337" s="14">
        <v>-0.16361039999999999</v>
      </c>
      <c r="G337" s="14">
        <v>1.5499369999999999</v>
      </c>
      <c r="H337" s="14">
        <v>0.2857383</v>
      </c>
      <c r="R337" s="11">
        <f t="shared" si="10"/>
        <v>2.0235919420735195E-2</v>
      </c>
      <c r="Z337" s="11">
        <f t="shared" si="11"/>
        <v>2.148196862070912E-2</v>
      </c>
    </row>
    <row r="338" spans="1:26" x14ac:dyDescent="0.2">
      <c r="A338" s="45">
        <v>62</v>
      </c>
      <c r="B338" s="45">
        <v>1999</v>
      </c>
      <c r="C338" s="17">
        <v>0</v>
      </c>
      <c r="D338" s="14">
        <v>5.8323300000000002E-2</v>
      </c>
      <c r="E338" s="14">
        <v>0.13092999999999999</v>
      </c>
      <c r="F338" s="14">
        <v>2.2407300000000002E-2</v>
      </c>
      <c r="G338" s="14">
        <v>1.870107</v>
      </c>
      <c r="H338" s="14">
        <v>0.33595639999999999</v>
      </c>
      <c r="R338" s="11">
        <f t="shared" si="10"/>
        <v>2.7503298047272086E-3</v>
      </c>
      <c r="Z338" s="11">
        <f t="shared" si="11"/>
        <v>3.3800941970306355E-3</v>
      </c>
    </row>
    <row r="339" spans="1:26" x14ac:dyDescent="0.2">
      <c r="A339" s="45">
        <v>62</v>
      </c>
      <c r="B339" s="45">
        <v>2000</v>
      </c>
      <c r="C339" s="17">
        <v>0</v>
      </c>
      <c r="D339" s="14">
        <v>4.6558500000000003E-2</v>
      </c>
      <c r="E339" s="14">
        <v>0.13012380000000001</v>
      </c>
      <c r="F339" s="14">
        <v>6.1271100000000002E-2</v>
      </c>
      <c r="G339" s="14">
        <v>2.274937</v>
      </c>
      <c r="H339" s="14">
        <v>0.47893360000000001</v>
      </c>
      <c r="R339" s="11">
        <f t="shared" si="10"/>
        <v>1.0603273721919721E-3</v>
      </c>
      <c r="Z339" s="11">
        <f t="shared" si="11"/>
        <v>1.3338005550145595E-3</v>
      </c>
    </row>
    <row r="340" spans="1:26" x14ac:dyDescent="0.2">
      <c r="A340" s="45">
        <v>63</v>
      </c>
      <c r="B340" s="45">
        <v>1997</v>
      </c>
      <c r="C340" s="17">
        <v>0</v>
      </c>
      <c r="D340" s="14">
        <v>9.3892699999999996E-2</v>
      </c>
      <c r="E340" s="14">
        <v>0.25661610000000001</v>
      </c>
      <c r="F340" s="14">
        <v>3.9420499999999997E-2</v>
      </c>
      <c r="G340" s="14">
        <v>7.0842150000000004</v>
      </c>
      <c r="H340" s="14">
        <v>0.1205357</v>
      </c>
      <c r="R340" s="11">
        <f t="shared" si="10"/>
        <v>4.9372215412952175E-7</v>
      </c>
      <c r="Z340" s="11">
        <f t="shared" si="11"/>
        <v>5.5126714627857279E-7</v>
      </c>
    </row>
    <row r="341" spans="1:26" x14ac:dyDescent="0.2">
      <c r="A341" s="45">
        <v>63</v>
      </c>
      <c r="B341" s="45">
        <v>1998</v>
      </c>
      <c r="C341" s="17">
        <v>0</v>
      </c>
      <c r="D341" s="14">
        <v>0.1151549</v>
      </c>
      <c r="E341" s="14">
        <v>0.29753380000000001</v>
      </c>
      <c r="F341" s="14">
        <v>4.4184000000000001E-2</v>
      </c>
      <c r="G341" s="14">
        <v>6.9431979999999998</v>
      </c>
      <c r="H341" s="14">
        <v>0.1077574</v>
      </c>
      <c r="R341" s="11">
        <f t="shared" si="10"/>
        <v>5.6065067281727486E-7</v>
      </c>
      <c r="Z341" s="11">
        <f t="shared" si="11"/>
        <v>6.3128482388670447E-7</v>
      </c>
    </row>
    <row r="342" spans="1:26" x14ac:dyDescent="0.2">
      <c r="A342" s="45">
        <v>63</v>
      </c>
      <c r="B342" s="45">
        <v>1999</v>
      </c>
      <c r="C342" s="17">
        <v>0</v>
      </c>
      <c r="D342" s="14">
        <v>0.10971499999999999</v>
      </c>
      <c r="E342" s="14">
        <v>0.2973789</v>
      </c>
      <c r="F342" s="14">
        <v>4.0454299999999999E-2</v>
      </c>
      <c r="G342" s="14">
        <v>5.8827769999999999</v>
      </c>
      <c r="H342" s="14">
        <v>9.5808299999999999E-2</v>
      </c>
      <c r="R342" s="11">
        <f t="shared" si="10"/>
        <v>3.1307740075979934E-6</v>
      </c>
      <c r="Z342" s="11">
        <f t="shared" si="11"/>
        <v>3.5974609777044033E-6</v>
      </c>
    </row>
    <row r="343" spans="1:26" x14ac:dyDescent="0.2">
      <c r="A343" s="45">
        <v>63</v>
      </c>
      <c r="B343" s="45">
        <v>2000</v>
      </c>
      <c r="C343" s="17">
        <v>0</v>
      </c>
      <c r="D343" s="14">
        <v>0.14100460000000001</v>
      </c>
      <c r="E343" s="14">
        <v>9.6374600000000005E-2</v>
      </c>
      <c r="F343" s="14">
        <v>6.8806599999999996E-2</v>
      </c>
      <c r="G343" s="14">
        <v>4.3216960000000002</v>
      </c>
      <c r="H343" s="14">
        <v>0.1108591</v>
      </c>
      <c r="R343" s="11">
        <f t="shared" ref="R343:R406" si="12">1/(1+EXP(-(K$2+$M$2*E343+$N$2*F343+$O$2*G343)))</f>
        <v>4.0223261714167622E-5</v>
      </c>
      <c r="Z343" s="11">
        <f t="shared" si="11"/>
        <v>4.8623809431634002E-5</v>
      </c>
    </row>
    <row r="344" spans="1:26" x14ac:dyDescent="0.2">
      <c r="A344" s="45">
        <v>63</v>
      </c>
      <c r="B344" s="45">
        <v>2001</v>
      </c>
      <c r="C344" s="17">
        <v>0</v>
      </c>
      <c r="D344" s="14">
        <v>0.127304</v>
      </c>
      <c r="E344" s="14">
        <v>-0.13728989999999999</v>
      </c>
      <c r="F344" s="14">
        <v>2.8851000000000002E-2</v>
      </c>
      <c r="G344" s="14">
        <v>4.2823450000000003</v>
      </c>
      <c r="H344" s="14">
        <v>0.1168975</v>
      </c>
      <c r="R344" s="11">
        <f t="shared" si="12"/>
        <v>8.2803692019395197E-5</v>
      </c>
      <c r="Z344" s="11">
        <f t="shared" si="11"/>
        <v>9.6181917348143621E-5</v>
      </c>
    </row>
    <row r="345" spans="1:26" x14ac:dyDescent="0.2">
      <c r="A345" s="45">
        <v>63</v>
      </c>
      <c r="B345" s="45">
        <v>2002</v>
      </c>
      <c r="C345" s="17">
        <v>0</v>
      </c>
      <c r="D345" s="14">
        <v>0.19598740000000001</v>
      </c>
      <c r="E345" s="14">
        <v>-0.1088884</v>
      </c>
      <c r="F345" s="14">
        <v>3.9818899999999997E-2</v>
      </c>
      <c r="G345" s="14">
        <v>4.3624749999999999</v>
      </c>
      <c r="H345" s="14">
        <v>0.1430633</v>
      </c>
      <c r="R345" s="11">
        <f t="shared" si="12"/>
        <v>6.4056624014383241E-5</v>
      </c>
      <c r="Z345" s="11">
        <f t="shared" si="11"/>
        <v>7.501873497354503E-5</v>
      </c>
    </row>
    <row r="346" spans="1:26" x14ac:dyDescent="0.2">
      <c r="A346" s="45">
        <v>63</v>
      </c>
      <c r="B346" s="45">
        <v>2003</v>
      </c>
      <c r="C346" s="17">
        <v>0</v>
      </c>
      <c r="D346" s="14">
        <v>0.2252343</v>
      </c>
      <c r="E346" s="14">
        <v>-0.10129009999999999</v>
      </c>
      <c r="F346" s="14">
        <v>3.9025799999999999E-2</v>
      </c>
      <c r="G346" s="14">
        <v>6.5302110000000004</v>
      </c>
      <c r="H346" s="14">
        <v>0.1255154</v>
      </c>
      <c r="R346" s="11">
        <f t="shared" si="12"/>
        <v>2.0150296669469231E-6</v>
      </c>
      <c r="Z346" s="11">
        <f t="shared" si="11"/>
        <v>2.2490075368527439E-6</v>
      </c>
    </row>
    <row r="347" spans="1:26" x14ac:dyDescent="0.2">
      <c r="A347" s="45">
        <v>63</v>
      </c>
      <c r="B347" s="45">
        <v>2004</v>
      </c>
      <c r="C347" s="17">
        <v>0</v>
      </c>
      <c r="D347" s="14">
        <v>0.28891519999999998</v>
      </c>
      <c r="E347" s="14">
        <v>-6.16663E-2</v>
      </c>
      <c r="F347" s="14">
        <v>5.1513299999999998E-2</v>
      </c>
      <c r="G347" s="14">
        <v>4.7946160000000004</v>
      </c>
      <c r="H347" s="14">
        <v>0.1100164</v>
      </c>
      <c r="R347" s="11">
        <f t="shared" si="12"/>
        <v>2.7356130116094132E-5</v>
      </c>
      <c r="Z347" s="11">
        <f t="shared" si="11"/>
        <v>3.2091958153722001E-5</v>
      </c>
    </row>
    <row r="348" spans="1:26" x14ac:dyDescent="0.2">
      <c r="A348" s="45">
        <v>64</v>
      </c>
      <c r="B348" s="45">
        <v>1999</v>
      </c>
      <c r="C348" s="17">
        <v>0</v>
      </c>
      <c r="D348" s="14">
        <v>0.3833511</v>
      </c>
      <c r="E348" s="14">
        <v>0.42472110000000002</v>
      </c>
      <c r="F348" s="14">
        <v>6.5228300000000003E-2</v>
      </c>
      <c r="G348" s="14">
        <v>1.9500679999999999</v>
      </c>
      <c r="H348" s="14">
        <v>0.16854720000000001</v>
      </c>
      <c r="R348" s="11">
        <f t="shared" si="12"/>
        <v>1.1232425534011057E-3</v>
      </c>
      <c r="Z348" s="11">
        <f t="shared" si="11"/>
        <v>1.4421345148853597E-3</v>
      </c>
    </row>
    <row r="349" spans="1:26" x14ac:dyDescent="0.2">
      <c r="A349" s="45">
        <v>64</v>
      </c>
      <c r="B349" s="45">
        <v>2000</v>
      </c>
      <c r="C349" s="17">
        <v>0</v>
      </c>
      <c r="D349" s="14">
        <v>0.28978989999999999</v>
      </c>
      <c r="E349" s="14">
        <v>0.45515939999999999</v>
      </c>
      <c r="F349" s="14">
        <v>3.9649999999999998E-2</v>
      </c>
      <c r="G349" s="14">
        <v>1.0742750000000001</v>
      </c>
      <c r="H349" s="14">
        <v>0.1760748</v>
      </c>
      <c r="R349" s="11">
        <f t="shared" si="12"/>
        <v>5.3017172201243997E-3</v>
      </c>
      <c r="Z349" s="11">
        <f t="shared" si="11"/>
        <v>6.7945158797355285E-3</v>
      </c>
    </row>
    <row r="350" spans="1:26" x14ac:dyDescent="0.2">
      <c r="A350" s="45">
        <v>64</v>
      </c>
      <c r="B350" s="45">
        <v>2001</v>
      </c>
      <c r="C350" s="17">
        <v>0</v>
      </c>
      <c r="D350" s="14">
        <v>0.27382020000000001</v>
      </c>
      <c r="E350" s="14">
        <v>0.43201440000000002</v>
      </c>
      <c r="F350" s="14">
        <v>4.1054500000000001E-2</v>
      </c>
      <c r="G350" s="14">
        <v>1.0293399999999999</v>
      </c>
      <c r="H350" s="14">
        <v>0.1765687</v>
      </c>
      <c r="R350" s="11">
        <f t="shared" si="12"/>
        <v>5.8213663441140876E-3</v>
      </c>
      <c r="Z350" s="11">
        <f t="shared" si="11"/>
        <v>7.4693677266572372E-3</v>
      </c>
    </row>
    <row r="351" spans="1:26" x14ac:dyDescent="0.2">
      <c r="A351" s="45">
        <v>64</v>
      </c>
      <c r="B351" s="45">
        <v>2002</v>
      </c>
      <c r="C351" s="17">
        <v>0</v>
      </c>
      <c r="D351" s="14">
        <v>0.19179589999999999</v>
      </c>
      <c r="E351" s="14">
        <v>0.45602379999999998</v>
      </c>
      <c r="F351" s="14">
        <v>5.3587799999999998E-2</v>
      </c>
      <c r="G351" s="14">
        <v>1.060605</v>
      </c>
      <c r="H351" s="14">
        <v>0.1876632</v>
      </c>
      <c r="R351" s="11">
        <f t="shared" si="12"/>
        <v>4.8429795189186779E-3</v>
      </c>
      <c r="Z351" s="11">
        <f t="shared" si="11"/>
        <v>6.2803586003653891E-3</v>
      </c>
    </row>
    <row r="352" spans="1:26" x14ac:dyDescent="0.2">
      <c r="A352" s="45">
        <v>64</v>
      </c>
      <c r="B352" s="45">
        <v>2003</v>
      </c>
      <c r="C352" s="17">
        <v>0</v>
      </c>
      <c r="D352" s="14">
        <v>0.21489179999999999</v>
      </c>
      <c r="E352" s="14">
        <v>0.52443980000000001</v>
      </c>
      <c r="F352" s="14">
        <v>5.6263199999999999E-2</v>
      </c>
      <c r="G352" s="14">
        <v>1.5386200000000001</v>
      </c>
      <c r="H352" s="14">
        <v>0.21181749999999999</v>
      </c>
      <c r="R352" s="11">
        <f t="shared" si="12"/>
        <v>2.0091922372938594E-3</v>
      </c>
      <c r="Z352" s="11">
        <f t="shared" si="11"/>
        <v>2.5921880906436792E-3</v>
      </c>
    </row>
    <row r="353" spans="1:26" x14ac:dyDescent="0.2">
      <c r="A353" s="45">
        <v>64</v>
      </c>
      <c r="B353" s="45">
        <v>2004</v>
      </c>
      <c r="C353" s="17">
        <v>0</v>
      </c>
      <c r="D353" s="14">
        <v>0.20833019999999999</v>
      </c>
      <c r="E353" s="14">
        <v>0.58425050000000001</v>
      </c>
      <c r="F353" s="14">
        <v>5.1084499999999998E-2</v>
      </c>
      <c r="G353" s="14">
        <v>2.1788379999999998</v>
      </c>
      <c r="H353" s="14">
        <v>0.22581799999999999</v>
      </c>
      <c r="R353" s="11">
        <f t="shared" si="12"/>
        <v>6.9299103972431488E-4</v>
      </c>
      <c r="Z353" s="11">
        <f t="shared" si="11"/>
        <v>8.7997238393717873E-4</v>
      </c>
    </row>
    <row r="354" spans="1:26" x14ac:dyDescent="0.2">
      <c r="A354" s="45">
        <v>65</v>
      </c>
      <c r="B354" s="45">
        <v>1999</v>
      </c>
      <c r="C354" s="17">
        <v>0</v>
      </c>
      <c r="D354" s="14">
        <v>0.15237990000000001</v>
      </c>
      <c r="E354" s="14">
        <v>0.1412369</v>
      </c>
      <c r="F354" s="14">
        <v>7.5082599999999999E-2</v>
      </c>
      <c r="G354" s="14">
        <v>2.9317920000000002</v>
      </c>
      <c r="H354" s="14">
        <v>0.22451769999999999</v>
      </c>
      <c r="R354" s="11">
        <f t="shared" si="12"/>
        <v>3.2821457655438519E-4</v>
      </c>
      <c r="Z354" s="11">
        <f t="shared" si="11"/>
        <v>4.1180497169356588E-4</v>
      </c>
    </row>
    <row r="355" spans="1:26" x14ac:dyDescent="0.2">
      <c r="A355" s="45">
        <v>65</v>
      </c>
      <c r="B355" s="45">
        <v>2000</v>
      </c>
      <c r="C355" s="17">
        <v>0</v>
      </c>
      <c r="D355" s="14">
        <v>6.76596E-2</v>
      </c>
      <c r="E355" s="14">
        <v>6.07942E-2</v>
      </c>
      <c r="F355" s="14">
        <v>6.2018400000000001E-2</v>
      </c>
      <c r="G355" s="14">
        <v>4.2816700000000001</v>
      </c>
      <c r="H355" s="14">
        <v>0.25008940000000002</v>
      </c>
      <c r="R355" s="11">
        <f t="shared" si="12"/>
        <v>4.7667846199733463E-5</v>
      </c>
      <c r="Z355" s="11">
        <f t="shared" si="11"/>
        <v>5.7283996598439157E-5</v>
      </c>
    </row>
    <row r="356" spans="1:26" x14ac:dyDescent="0.2">
      <c r="A356" s="45">
        <v>65</v>
      </c>
      <c r="B356" s="45">
        <v>2001</v>
      </c>
      <c r="C356" s="17">
        <v>0</v>
      </c>
      <c r="D356" s="14">
        <v>9.6034099999999997E-2</v>
      </c>
      <c r="E356" s="14">
        <v>8.9211499999999999E-2</v>
      </c>
      <c r="F356" s="14">
        <v>7.1138900000000005E-2</v>
      </c>
      <c r="G356" s="14">
        <v>4.856789</v>
      </c>
      <c r="H356" s="14">
        <v>0.24189289999999999</v>
      </c>
      <c r="R356" s="11">
        <f t="shared" si="12"/>
        <v>1.7004987434112651E-5</v>
      </c>
      <c r="Z356" s="11">
        <f t="shared" si="11"/>
        <v>2.0349622901382802E-5</v>
      </c>
    </row>
    <row r="357" spans="1:26" x14ac:dyDescent="0.2">
      <c r="A357" s="45">
        <v>65</v>
      </c>
      <c r="B357" s="45">
        <v>2002</v>
      </c>
      <c r="C357" s="17">
        <v>0</v>
      </c>
      <c r="D357" s="14">
        <v>0.1212966</v>
      </c>
      <c r="E357" s="14">
        <v>5.3348E-2</v>
      </c>
      <c r="F357" s="14">
        <v>7.6365699999999995E-2</v>
      </c>
      <c r="G357" s="14">
        <v>1.7725489999999999</v>
      </c>
      <c r="H357" s="14">
        <v>0.20907709999999999</v>
      </c>
      <c r="R357" s="11">
        <f t="shared" si="12"/>
        <v>2.3368237524357548E-3</v>
      </c>
      <c r="Z357" s="11">
        <f t="shared" si="11"/>
        <v>3.0001453750865071E-3</v>
      </c>
    </row>
    <row r="358" spans="1:26" x14ac:dyDescent="0.2">
      <c r="A358" s="45">
        <v>65</v>
      </c>
      <c r="B358" s="45">
        <v>2003</v>
      </c>
      <c r="C358" s="17">
        <v>0</v>
      </c>
      <c r="D358" s="14">
        <v>0.14209160000000001</v>
      </c>
      <c r="E358" s="14">
        <v>9.81012E-2</v>
      </c>
      <c r="F358" s="14">
        <v>7.3698200000000005E-2</v>
      </c>
      <c r="G358" s="14">
        <v>1.8183180000000001</v>
      </c>
      <c r="H358" s="14">
        <v>0.2157162</v>
      </c>
      <c r="R358" s="11">
        <f t="shared" si="12"/>
        <v>2.0800214540171924E-3</v>
      </c>
      <c r="Z358" s="11">
        <f t="shared" si="11"/>
        <v>2.6662242952338773E-3</v>
      </c>
    </row>
    <row r="359" spans="1:26" x14ac:dyDescent="0.2">
      <c r="A359" s="45">
        <v>65</v>
      </c>
      <c r="B359" s="45">
        <v>2004</v>
      </c>
      <c r="C359" s="17">
        <v>0</v>
      </c>
      <c r="D359" s="14">
        <v>0.15050659999999999</v>
      </c>
      <c r="E359" s="14">
        <v>9.1994099999999995E-2</v>
      </c>
      <c r="F359" s="14">
        <v>5.6694099999999997E-2</v>
      </c>
      <c r="G359" s="14">
        <v>2.0554610000000002</v>
      </c>
      <c r="H359" s="14">
        <v>0.20934349999999999</v>
      </c>
      <c r="R359" s="11">
        <f t="shared" si="12"/>
        <v>1.6483875925516419E-3</v>
      </c>
      <c r="Z359" s="11">
        <f t="shared" si="11"/>
        <v>2.0727483116315688E-3</v>
      </c>
    </row>
    <row r="360" spans="1:26" x14ac:dyDescent="0.2">
      <c r="A360" s="45">
        <v>66</v>
      </c>
      <c r="B360" s="45">
        <v>1999</v>
      </c>
      <c r="C360" s="17">
        <v>0</v>
      </c>
      <c r="D360" s="14">
        <v>0.1185789</v>
      </c>
      <c r="E360" s="14">
        <v>0.55898539999999997</v>
      </c>
      <c r="F360" s="14">
        <v>7.1512500000000007E-2</v>
      </c>
      <c r="G360" s="14">
        <v>2.6515949999999999</v>
      </c>
      <c r="H360" s="14">
        <v>0.2314988</v>
      </c>
      <c r="R360" s="11">
        <f t="shared" si="12"/>
        <v>2.8754261895432953E-4</v>
      </c>
      <c r="Z360" s="11">
        <f t="shared" si="11"/>
        <v>3.6716821707120521E-4</v>
      </c>
    </row>
    <row r="361" spans="1:26" x14ac:dyDescent="0.2">
      <c r="A361" s="45">
        <v>66</v>
      </c>
      <c r="B361" s="45">
        <v>2000</v>
      </c>
      <c r="C361" s="17">
        <v>0</v>
      </c>
      <c r="D361" s="14">
        <v>0.1050831</v>
      </c>
      <c r="E361" s="14">
        <v>0.58511659999999999</v>
      </c>
      <c r="F361" s="14">
        <v>5.9782000000000002E-2</v>
      </c>
      <c r="G361" s="14">
        <v>2.6622300000000001</v>
      </c>
      <c r="H361" s="14">
        <v>0.23866390000000001</v>
      </c>
      <c r="R361" s="11">
        <f t="shared" si="12"/>
        <v>2.9894197017537319E-4</v>
      </c>
      <c r="Z361" s="11">
        <f t="shared" si="11"/>
        <v>3.7832164245720027E-4</v>
      </c>
    </row>
    <row r="362" spans="1:26" x14ac:dyDescent="0.2">
      <c r="A362" s="45">
        <v>66</v>
      </c>
      <c r="B362" s="45">
        <v>2001</v>
      </c>
      <c r="C362" s="17">
        <v>0</v>
      </c>
      <c r="D362" s="14">
        <v>0.12632570000000001</v>
      </c>
      <c r="E362" s="14">
        <v>0.60012120000000002</v>
      </c>
      <c r="F362" s="14">
        <v>6.7106499999999999E-2</v>
      </c>
      <c r="G362" s="14">
        <v>3.9022260000000002</v>
      </c>
      <c r="H362" s="14">
        <v>0.24099419999999999</v>
      </c>
      <c r="R362" s="11">
        <f t="shared" si="12"/>
        <v>3.824656145919891E-5</v>
      </c>
      <c r="Z362" s="11">
        <f t="shared" si="11"/>
        <v>4.7409897141139941E-5</v>
      </c>
    </row>
    <row r="363" spans="1:26" x14ac:dyDescent="0.2">
      <c r="A363" s="45">
        <v>66</v>
      </c>
      <c r="B363" s="45">
        <v>2002</v>
      </c>
      <c r="C363" s="17">
        <v>0</v>
      </c>
      <c r="D363" s="14">
        <v>0.15209800000000001</v>
      </c>
      <c r="E363" s="14">
        <v>0.63693489999999997</v>
      </c>
      <c r="F363" s="14">
        <v>6.0526099999999999E-2</v>
      </c>
      <c r="G363" s="14">
        <v>2.8837920000000001</v>
      </c>
      <c r="H363" s="14">
        <v>0.23544309999999999</v>
      </c>
      <c r="R363" s="11">
        <f t="shared" si="12"/>
        <v>1.9363557412473297E-4</v>
      </c>
      <c r="Z363" s="11">
        <f t="shared" si="11"/>
        <v>2.4444950017352488E-4</v>
      </c>
    </row>
    <row r="364" spans="1:26" x14ac:dyDescent="0.2">
      <c r="A364" s="45">
        <v>66</v>
      </c>
      <c r="B364" s="45">
        <v>2003</v>
      </c>
      <c r="C364" s="17">
        <v>0</v>
      </c>
      <c r="D364" s="14">
        <v>0.26225939999999998</v>
      </c>
      <c r="E364" s="14">
        <v>0.69388470000000002</v>
      </c>
      <c r="F364" s="14">
        <v>6.1128500000000002E-2</v>
      </c>
      <c r="G364" s="14">
        <v>3.4625840000000001</v>
      </c>
      <c r="H364" s="14">
        <v>0.23008410000000001</v>
      </c>
      <c r="R364" s="11">
        <f t="shared" si="12"/>
        <v>7.0535535093367891E-5</v>
      </c>
      <c r="Z364" s="11">
        <f t="shared" si="11"/>
        <v>8.813597015504817E-5</v>
      </c>
    </row>
    <row r="365" spans="1:26" x14ac:dyDescent="0.2">
      <c r="A365" s="45">
        <v>66</v>
      </c>
      <c r="B365" s="45">
        <v>2004</v>
      </c>
      <c r="C365" s="17">
        <v>0</v>
      </c>
      <c r="D365" s="14">
        <v>0.31526029999999999</v>
      </c>
      <c r="E365" s="14">
        <v>0.73763939999999995</v>
      </c>
      <c r="F365" s="14">
        <v>5.7246199999999997E-2</v>
      </c>
      <c r="G365" s="14">
        <v>4.8542240000000003</v>
      </c>
      <c r="H365" s="14">
        <v>0.25003300000000001</v>
      </c>
      <c r="R365" s="11">
        <f t="shared" si="12"/>
        <v>7.4328160514122841E-6</v>
      </c>
      <c r="Z365" s="11">
        <f t="shared" si="11"/>
        <v>8.9921919356237239E-6</v>
      </c>
    </row>
    <row r="366" spans="1:26" x14ac:dyDescent="0.2">
      <c r="A366" s="45">
        <v>67</v>
      </c>
      <c r="B366" s="45">
        <v>1999</v>
      </c>
      <c r="C366" s="17">
        <v>0</v>
      </c>
      <c r="D366" s="14">
        <v>-1.23149E-2</v>
      </c>
      <c r="E366" s="14">
        <v>7.3664900000000005E-2</v>
      </c>
      <c r="F366" s="14">
        <v>7.1138000000000007E-2</v>
      </c>
      <c r="G366" s="14">
        <v>2.0747330000000002</v>
      </c>
      <c r="H366" s="14">
        <v>0.25442219999999999</v>
      </c>
      <c r="R366" s="11">
        <f t="shared" si="12"/>
        <v>1.4628478159641255E-3</v>
      </c>
      <c r="Z366" s="11">
        <f t="shared" si="11"/>
        <v>1.8594445301773719E-3</v>
      </c>
    </row>
    <row r="367" spans="1:26" x14ac:dyDescent="0.2">
      <c r="A367" s="45">
        <v>68</v>
      </c>
      <c r="B367" s="45">
        <v>1999</v>
      </c>
      <c r="C367" s="17">
        <v>0</v>
      </c>
      <c r="D367" s="14">
        <v>3.1482900000000001E-2</v>
      </c>
      <c r="E367" s="14">
        <v>0.25143300000000002</v>
      </c>
      <c r="F367" s="14">
        <v>4.5379200000000001E-2</v>
      </c>
      <c r="G367" s="14">
        <v>4.4205290000000002</v>
      </c>
      <c r="H367" s="14">
        <v>0.15386459999999999</v>
      </c>
      <c r="R367" s="11">
        <f t="shared" si="12"/>
        <v>3.307877958917735E-5</v>
      </c>
      <c r="Z367" s="11">
        <f t="shared" si="11"/>
        <v>3.9350037568132539E-5</v>
      </c>
    </row>
    <row r="368" spans="1:26" x14ac:dyDescent="0.2">
      <c r="A368" s="45">
        <v>68</v>
      </c>
      <c r="B368" s="45">
        <v>2000</v>
      </c>
      <c r="C368" s="17">
        <v>0</v>
      </c>
      <c r="D368" s="14">
        <v>-6.2114900000000001E-2</v>
      </c>
      <c r="E368" s="14">
        <v>5.8945299999999999E-2</v>
      </c>
      <c r="F368" s="14">
        <v>3.2893600000000002E-2</v>
      </c>
      <c r="G368" s="14">
        <v>1.088192</v>
      </c>
      <c r="H368" s="14">
        <v>0.12856899999999999</v>
      </c>
      <c r="R368" s="11">
        <f t="shared" si="12"/>
        <v>9.6946570590515941E-3</v>
      </c>
      <c r="Z368" s="11">
        <f t="shared" si="11"/>
        <v>1.2173123500509293E-2</v>
      </c>
    </row>
    <row r="369" spans="1:26" x14ac:dyDescent="0.2">
      <c r="A369" s="45">
        <v>68</v>
      </c>
      <c r="B369" s="45">
        <v>2001</v>
      </c>
      <c r="C369" s="17">
        <v>0</v>
      </c>
      <c r="D369" s="14">
        <v>-7.3574299999999995E-2</v>
      </c>
      <c r="E369" s="14">
        <v>5.9756499999999997E-2</v>
      </c>
      <c r="F369" s="14">
        <v>4.7843200000000002E-2</v>
      </c>
      <c r="G369" s="14">
        <v>0.82447269999999995</v>
      </c>
      <c r="H369" s="14">
        <v>0.1158838</v>
      </c>
      <c r="R369" s="11">
        <f t="shared" si="12"/>
        <v>1.3035738873295195E-2</v>
      </c>
      <c r="Z369" s="11">
        <f t="shared" si="11"/>
        <v>1.6647817533819703E-2</v>
      </c>
    </row>
    <row r="370" spans="1:26" x14ac:dyDescent="0.2">
      <c r="A370" s="45">
        <v>68</v>
      </c>
      <c r="B370" s="45">
        <v>2002</v>
      </c>
      <c r="C370" s="17">
        <v>0</v>
      </c>
      <c r="D370" s="14">
        <v>-2.7499599999999999E-2</v>
      </c>
      <c r="E370" s="14">
        <v>-0.1260385</v>
      </c>
      <c r="F370" s="14">
        <v>5.9821899999999997E-2</v>
      </c>
      <c r="G370" s="14">
        <v>1.013938</v>
      </c>
      <c r="H370" s="14">
        <v>0.1703923</v>
      </c>
      <c r="R370" s="11">
        <f t="shared" si="12"/>
        <v>1.1492080915275017E-2</v>
      </c>
      <c r="Z370" s="11">
        <f t="shared" si="11"/>
        <v>1.4672352461201658E-2</v>
      </c>
    </row>
    <row r="371" spans="1:26" x14ac:dyDescent="0.2">
      <c r="A371" s="45">
        <v>68</v>
      </c>
      <c r="B371" s="45">
        <v>2003</v>
      </c>
      <c r="C371" s="17">
        <v>0</v>
      </c>
      <c r="D371" s="14">
        <v>-1.06835E-2</v>
      </c>
      <c r="E371" s="14">
        <v>-0.1132094</v>
      </c>
      <c r="F371" s="14">
        <v>5.0565600000000002E-2</v>
      </c>
      <c r="G371" s="14">
        <v>1.0725629999999999</v>
      </c>
      <c r="H371" s="14">
        <v>0.16937630000000001</v>
      </c>
      <c r="R371" s="11">
        <f t="shared" si="12"/>
        <v>1.1067917874140919E-2</v>
      </c>
      <c r="Z371" s="11">
        <f t="shared" si="11"/>
        <v>1.4015393654561186E-2</v>
      </c>
    </row>
    <row r="372" spans="1:26" x14ac:dyDescent="0.2">
      <c r="A372" s="45">
        <v>68</v>
      </c>
      <c r="B372" s="45">
        <v>2004</v>
      </c>
      <c r="C372" s="17">
        <v>0</v>
      </c>
      <c r="D372" s="14">
        <v>-8.5240000000000003E-3</v>
      </c>
      <c r="E372" s="14">
        <v>-0.1164335</v>
      </c>
      <c r="F372" s="14">
        <v>4.5437699999999998E-2</v>
      </c>
      <c r="G372" s="14">
        <v>1.1036570000000001</v>
      </c>
      <c r="H372" s="14">
        <v>0.18613370000000001</v>
      </c>
      <c r="R372" s="11">
        <f t="shared" si="12"/>
        <v>1.1025912486888103E-2</v>
      </c>
      <c r="Z372" s="11">
        <f t="shared" si="11"/>
        <v>1.3893709334735056E-2</v>
      </c>
    </row>
    <row r="373" spans="1:26" x14ac:dyDescent="0.2">
      <c r="A373" s="45">
        <v>69</v>
      </c>
      <c r="B373" s="45">
        <v>1999</v>
      </c>
      <c r="C373" s="17">
        <v>0</v>
      </c>
      <c r="D373" s="14">
        <v>-0.10833329999999999</v>
      </c>
      <c r="E373" s="14">
        <v>0.29032809999999998</v>
      </c>
      <c r="F373" s="14">
        <v>8.1907800000000003E-2</v>
      </c>
      <c r="G373" s="14">
        <v>3.1082689999999999</v>
      </c>
      <c r="H373" s="14">
        <v>0.18092949999999999</v>
      </c>
      <c r="R373" s="11">
        <f t="shared" si="12"/>
        <v>1.8889614300828791E-4</v>
      </c>
      <c r="Z373" s="11">
        <f t="shared" si="11"/>
        <v>2.3863427454365028E-4</v>
      </c>
    </row>
    <row r="374" spans="1:26" x14ac:dyDescent="0.2">
      <c r="A374" s="45">
        <v>69</v>
      </c>
      <c r="B374" s="45">
        <v>2000</v>
      </c>
      <c r="C374" s="17">
        <v>0</v>
      </c>
      <c r="D374" s="14">
        <v>-9.9961300000000003E-2</v>
      </c>
      <c r="E374" s="14">
        <v>0.29538189999999998</v>
      </c>
      <c r="F374" s="14">
        <v>6.4254900000000004E-2</v>
      </c>
      <c r="G374" s="14">
        <v>2.2728199999999998</v>
      </c>
      <c r="H374" s="14">
        <v>0.1336128</v>
      </c>
      <c r="R374" s="11">
        <f t="shared" si="12"/>
        <v>8.1712637597362999E-4</v>
      </c>
      <c r="Z374" s="11">
        <f t="shared" si="11"/>
        <v>1.0363495136043799E-3</v>
      </c>
    </row>
    <row r="375" spans="1:26" x14ac:dyDescent="0.2">
      <c r="A375" s="45">
        <v>69</v>
      </c>
      <c r="B375" s="45">
        <v>2001</v>
      </c>
      <c r="C375" s="17">
        <v>0</v>
      </c>
      <c r="D375" s="14">
        <v>-1.6562299999999999E-2</v>
      </c>
      <c r="E375" s="14">
        <v>0.32004159999999998</v>
      </c>
      <c r="F375" s="14">
        <v>7.6657600000000006E-2</v>
      </c>
      <c r="G375" s="14">
        <v>2.1734330000000002</v>
      </c>
      <c r="H375" s="14">
        <v>0.1486973</v>
      </c>
      <c r="R375" s="11">
        <f t="shared" si="12"/>
        <v>8.3638697008919457E-4</v>
      </c>
      <c r="Z375" s="11">
        <f t="shared" si="11"/>
        <v>1.0748521993802699E-3</v>
      </c>
    </row>
    <row r="376" spans="1:26" x14ac:dyDescent="0.2">
      <c r="A376" s="45">
        <v>69</v>
      </c>
      <c r="B376" s="45">
        <v>2002</v>
      </c>
      <c r="C376" s="17">
        <v>0</v>
      </c>
      <c r="D376" s="14">
        <v>4.3800000000000002E-3</v>
      </c>
      <c r="E376" s="14">
        <v>0.32967580000000002</v>
      </c>
      <c r="F376" s="14">
        <v>5.5579200000000002E-2</v>
      </c>
      <c r="G376" s="14">
        <v>1.536754</v>
      </c>
      <c r="H376" s="14">
        <v>0.14881269999999999</v>
      </c>
      <c r="R376" s="11">
        <f t="shared" si="12"/>
        <v>2.6877073349815535E-3</v>
      </c>
      <c r="Z376" s="11">
        <f t="shared" si="11"/>
        <v>3.4421295737884616E-3</v>
      </c>
    </row>
    <row r="377" spans="1:26" x14ac:dyDescent="0.2">
      <c r="A377" s="45">
        <v>69</v>
      </c>
      <c r="B377" s="45">
        <v>2003</v>
      </c>
      <c r="C377" s="17">
        <v>0</v>
      </c>
      <c r="D377" s="14">
        <v>3.9497200000000003E-2</v>
      </c>
      <c r="E377" s="14">
        <v>0.34403980000000001</v>
      </c>
      <c r="F377" s="14">
        <v>6.8530800000000003E-2</v>
      </c>
      <c r="G377" s="14">
        <v>1.7790109999999999</v>
      </c>
      <c r="H377" s="14">
        <v>0.1352333</v>
      </c>
      <c r="R377" s="11">
        <f t="shared" si="12"/>
        <v>1.6148114870486732E-3</v>
      </c>
      <c r="Z377" s="11">
        <f t="shared" si="11"/>
        <v>2.0806575958865091E-3</v>
      </c>
    </row>
    <row r="378" spans="1:26" x14ac:dyDescent="0.2">
      <c r="A378" s="45">
        <v>69</v>
      </c>
      <c r="B378" s="45">
        <v>2004</v>
      </c>
      <c r="C378" s="17">
        <v>0</v>
      </c>
      <c r="D378" s="14">
        <v>-5.7111599999999998E-2</v>
      </c>
      <c r="E378" s="14">
        <v>0.33628940000000002</v>
      </c>
      <c r="F378" s="14">
        <v>5.8042900000000001E-2</v>
      </c>
      <c r="G378" s="14">
        <v>1.422177</v>
      </c>
      <c r="H378" s="14">
        <v>0.11590979999999999</v>
      </c>
      <c r="R378" s="11">
        <f t="shared" si="12"/>
        <v>3.1314905649229164E-3</v>
      </c>
      <c r="Z378" s="11">
        <f t="shared" si="11"/>
        <v>4.0290723599152589E-3</v>
      </c>
    </row>
    <row r="379" spans="1:26" x14ac:dyDescent="0.2">
      <c r="A379" s="45">
        <v>70</v>
      </c>
      <c r="B379" s="45">
        <v>1999</v>
      </c>
      <c r="C379" s="17">
        <v>0</v>
      </c>
      <c r="D379" s="14">
        <v>5.3413799999999997E-2</v>
      </c>
      <c r="E379" s="14">
        <v>0.1121973</v>
      </c>
      <c r="F379" s="14">
        <v>5.08761E-2</v>
      </c>
      <c r="G379" s="14">
        <v>0.7646733</v>
      </c>
      <c r="H379" s="14">
        <v>0.1263842</v>
      </c>
      <c r="R379" s="11">
        <f t="shared" si="12"/>
        <v>1.2968821778332933E-2</v>
      </c>
      <c r="Z379" s="11">
        <f t="shared" si="11"/>
        <v>1.6654138199772548E-2</v>
      </c>
    </row>
    <row r="380" spans="1:26" x14ac:dyDescent="0.2">
      <c r="A380" s="45">
        <v>70</v>
      </c>
      <c r="B380" s="45">
        <v>2000</v>
      </c>
      <c r="C380" s="17">
        <v>0</v>
      </c>
      <c r="D380" s="14">
        <v>7.0123500000000005E-2</v>
      </c>
      <c r="E380" s="14">
        <v>0.12937290000000001</v>
      </c>
      <c r="F380" s="14">
        <v>5.9364199999999999E-2</v>
      </c>
      <c r="G380" s="14">
        <v>0.62998620000000005</v>
      </c>
      <c r="H380" s="14">
        <v>0.1387535</v>
      </c>
      <c r="R380" s="11">
        <f t="shared" si="12"/>
        <v>1.4623594973074309E-2</v>
      </c>
      <c r="Z380" s="11">
        <f t="shared" si="11"/>
        <v>1.8964800217842002E-2</v>
      </c>
    </row>
    <row r="381" spans="1:26" x14ac:dyDescent="0.2">
      <c r="A381" s="45">
        <v>70</v>
      </c>
      <c r="B381" s="45">
        <v>2001</v>
      </c>
      <c r="C381" s="17">
        <v>0</v>
      </c>
      <c r="D381" s="14">
        <v>5.8799499999999998E-2</v>
      </c>
      <c r="E381" s="14">
        <v>0.1054205</v>
      </c>
      <c r="F381" s="14">
        <v>4.8049500000000002E-2</v>
      </c>
      <c r="G381" s="14">
        <v>0.86998790000000004</v>
      </c>
      <c r="H381" s="14">
        <v>0.1188399</v>
      </c>
      <c r="R381" s="11">
        <f t="shared" si="12"/>
        <v>1.1345559163946391E-2</v>
      </c>
      <c r="Z381" s="11">
        <f t="shared" si="11"/>
        <v>1.4506644861432839E-2</v>
      </c>
    </row>
    <row r="382" spans="1:26" x14ac:dyDescent="0.2">
      <c r="A382" s="45">
        <v>70</v>
      </c>
      <c r="B382" s="45">
        <v>2002</v>
      </c>
      <c r="C382" s="17">
        <v>0</v>
      </c>
      <c r="D382" s="14">
        <v>6.7398299999999994E-2</v>
      </c>
      <c r="E382" s="14">
        <v>0.13252359999999999</v>
      </c>
      <c r="F382" s="14">
        <v>5.51935E-2</v>
      </c>
      <c r="G382" s="14">
        <v>1.1333709999999999</v>
      </c>
      <c r="H382" s="14">
        <v>0.1316109</v>
      </c>
      <c r="R382" s="11">
        <f t="shared" si="12"/>
        <v>6.8014282094108359E-3</v>
      </c>
      <c r="Z382" s="11">
        <f t="shared" si="11"/>
        <v>8.7160901078333977E-3</v>
      </c>
    </row>
    <row r="383" spans="1:26" x14ac:dyDescent="0.2">
      <c r="A383" s="45">
        <v>70</v>
      </c>
      <c r="B383" s="45">
        <v>2003</v>
      </c>
      <c r="C383" s="17">
        <v>0</v>
      </c>
      <c r="D383" s="14">
        <v>4.79686E-2</v>
      </c>
      <c r="E383" s="14">
        <v>0.15467330000000001</v>
      </c>
      <c r="F383" s="14">
        <v>5.4837499999999997E-2</v>
      </c>
      <c r="G383" s="14">
        <v>1.6107849999999999</v>
      </c>
      <c r="H383" s="14">
        <v>0.14685819999999999</v>
      </c>
      <c r="R383" s="11">
        <f t="shared" si="12"/>
        <v>3.0977995435613657E-3</v>
      </c>
      <c r="Z383" s="11">
        <f t="shared" si="11"/>
        <v>3.9344625852734379E-3</v>
      </c>
    </row>
    <row r="384" spans="1:26" x14ac:dyDescent="0.2">
      <c r="A384" s="45">
        <v>70</v>
      </c>
      <c r="B384" s="45">
        <v>2004</v>
      </c>
      <c r="C384" s="17">
        <v>0</v>
      </c>
      <c r="D384" s="14">
        <v>4.6171299999999998E-2</v>
      </c>
      <c r="E384" s="14">
        <v>0.17526269999999999</v>
      </c>
      <c r="F384" s="14">
        <v>5.7063900000000001E-2</v>
      </c>
      <c r="G384" s="14">
        <v>1.526276</v>
      </c>
      <c r="H384" s="14">
        <v>0.1501371</v>
      </c>
      <c r="R384" s="11">
        <f t="shared" si="12"/>
        <v>3.3781805884689916E-3</v>
      </c>
      <c r="Z384" s="11">
        <f t="shared" si="11"/>
        <v>4.3090454450001236E-3</v>
      </c>
    </row>
    <row r="385" spans="1:26" x14ac:dyDescent="0.2">
      <c r="A385" s="45">
        <v>71</v>
      </c>
      <c r="B385" s="45">
        <v>1999</v>
      </c>
      <c r="C385" s="17">
        <v>0</v>
      </c>
      <c r="D385" s="14">
        <v>0.24634909999999999</v>
      </c>
      <c r="E385" s="14">
        <v>0.51878150000000001</v>
      </c>
      <c r="F385" s="14">
        <v>7.3504399999999998E-2</v>
      </c>
      <c r="G385" s="14">
        <v>2.2878090000000002</v>
      </c>
      <c r="H385" s="14">
        <v>0.3501513</v>
      </c>
      <c r="R385" s="11">
        <f t="shared" si="12"/>
        <v>5.355928016810772E-4</v>
      </c>
      <c r="Z385" s="11">
        <f t="shared" si="11"/>
        <v>6.8953300668024456E-4</v>
      </c>
    </row>
    <row r="386" spans="1:26" x14ac:dyDescent="0.2">
      <c r="A386" s="45">
        <v>71</v>
      </c>
      <c r="B386" s="45">
        <v>2000</v>
      </c>
      <c r="C386" s="17">
        <v>0</v>
      </c>
      <c r="D386" s="14">
        <v>0.1062681</v>
      </c>
      <c r="E386" s="14">
        <v>0.442801</v>
      </c>
      <c r="F386" s="14">
        <v>6.4849199999999996E-2</v>
      </c>
      <c r="G386" s="14">
        <v>1.6775119999999999</v>
      </c>
      <c r="H386" s="14">
        <v>0.33176800000000001</v>
      </c>
      <c r="R386" s="11">
        <f t="shared" si="12"/>
        <v>1.6933964404729194E-3</v>
      </c>
      <c r="Z386" s="11">
        <f t="shared" ref="Z386:Z449" si="13">1/(1+EXP(-(U$2+$V$2*E386+$W$2*F386+$X$2*G386)))</f>
        <v>2.1875367198540036E-3</v>
      </c>
    </row>
    <row r="387" spans="1:26" x14ac:dyDescent="0.2">
      <c r="A387" s="45">
        <v>71</v>
      </c>
      <c r="B387" s="45">
        <v>2001</v>
      </c>
      <c r="C387" s="17">
        <v>0</v>
      </c>
      <c r="D387" s="14">
        <v>0.20755850000000001</v>
      </c>
      <c r="E387" s="14">
        <v>0.49016860000000001</v>
      </c>
      <c r="F387" s="14">
        <v>7.0566500000000004E-2</v>
      </c>
      <c r="G387" s="14">
        <v>2.528778</v>
      </c>
      <c r="H387" s="14">
        <v>0.31490699999999999</v>
      </c>
      <c r="R387" s="11">
        <f t="shared" si="12"/>
        <v>3.8940417386862527E-4</v>
      </c>
      <c r="Z387" s="11">
        <f t="shared" si="13"/>
        <v>4.9700952682140212E-4</v>
      </c>
    </row>
    <row r="388" spans="1:26" x14ac:dyDescent="0.2">
      <c r="A388" s="45">
        <v>71</v>
      </c>
      <c r="B388" s="45">
        <v>2002</v>
      </c>
      <c r="C388" s="17">
        <v>0</v>
      </c>
      <c r="D388" s="14">
        <v>0.21110619999999999</v>
      </c>
      <c r="E388" s="14">
        <v>0.44686369999999997</v>
      </c>
      <c r="F388" s="14">
        <v>6.4445600000000006E-2</v>
      </c>
      <c r="G388" s="14">
        <v>2.0454460000000001</v>
      </c>
      <c r="H388" s="14">
        <v>0.31090889999999999</v>
      </c>
      <c r="R388" s="11">
        <f t="shared" si="12"/>
        <v>9.4032847822202962E-4</v>
      </c>
      <c r="Z388" s="11">
        <f t="shared" si="13"/>
        <v>1.2049644673517905E-3</v>
      </c>
    </row>
    <row r="389" spans="1:26" x14ac:dyDescent="0.2">
      <c r="A389" s="45">
        <v>71</v>
      </c>
      <c r="B389" s="45">
        <v>2003</v>
      </c>
      <c r="C389" s="17">
        <v>0</v>
      </c>
      <c r="D389" s="14">
        <v>0.22897419999999999</v>
      </c>
      <c r="E389" s="14">
        <v>0.51673950000000002</v>
      </c>
      <c r="F389" s="14">
        <v>5.0957500000000003E-2</v>
      </c>
      <c r="G389" s="14">
        <v>2.3216519999999998</v>
      </c>
      <c r="H389" s="14">
        <v>0.31393900000000002</v>
      </c>
      <c r="R389" s="11">
        <f t="shared" si="12"/>
        <v>6.0953190163829719E-4</v>
      </c>
      <c r="Z389" s="11">
        <f t="shared" si="13"/>
        <v>7.6972129325152052E-4</v>
      </c>
    </row>
    <row r="390" spans="1:26" x14ac:dyDescent="0.2">
      <c r="A390" s="45">
        <v>71</v>
      </c>
      <c r="B390" s="45">
        <v>2004</v>
      </c>
      <c r="C390" s="17">
        <v>0</v>
      </c>
      <c r="D390" s="14">
        <v>0.22542760000000001</v>
      </c>
      <c r="E390" s="14">
        <v>0.55324669999999998</v>
      </c>
      <c r="F390" s="14">
        <v>5.7829499999999999E-2</v>
      </c>
      <c r="G390" s="14">
        <v>2.6885110000000001</v>
      </c>
      <c r="H390" s="14">
        <v>0.31501990000000002</v>
      </c>
      <c r="R390" s="11">
        <f t="shared" si="12"/>
        <v>3.0500245309710662E-4</v>
      </c>
      <c r="Z390" s="11">
        <f t="shared" si="13"/>
        <v>3.8473052339457541E-4</v>
      </c>
    </row>
    <row r="391" spans="1:26" x14ac:dyDescent="0.2">
      <c r="A391" s="45">
        <v>72</v>
      </c>
      <c r="B391" s="45">
        <v>1999</v>
      </c>
      <c r="C391" s="17">
        <v>0</v>
      </c>
      <c r="D391" s="14">
        <v>0.15831609999999999</v>
      </c>
      <c r="E391" s="14">
        <v>0.111305</v>
      </c>
      <c r="F391" s="14">
        <v>4.4752599999999997E-2</v>
      </c>
      <c r="G391" s="14">
        <v>0.36114309999999999</v>
      </c>
      <c r="H391" s="14">
        <v>1.007002</v>
      </c>
      <c r="R391" s="11">
        <f t="shared" si="12"/>
        <v>2.5610456954942015E-2</v>
      </c>
      <c r="Z391" s="11">
        <f t="shared" si="13"/>
        <v>3.2890658999716306E-2</v>
      </c>
    </row>
    <row r="392" spans="1:26" x14ac:dyDescent="0.2">
      <c r="A392" s="45">
        <v>72</v>
      </c>
      <c r="B392" s="45">
        <v>2000</v>
      </c>
      <c r="C392" s="17">
        <v>0</v>
      </c>
      <c r="D392" s="14">
        <v>0.2718526</v>
      </c>
      <c r="E392" s="14">
        <v>-3.0235600000000001E-2</v>
      </c>
      <c r="F392" s="14">
        <v>5.2559599999999998E-2</v>
      </c>
      <c r="G392" s="14">
        <v>0.43611349999999999</v>
      </c>
      <c r="H392" s="14">
        <v>1.3193109999999999</v>
      </c>
      <c r="R392" s="11">
        <f t="shared" si="12"/>
        <v>2.6213219604795064E-2</v>
      </c>
      <c r="Z392" s="11">
        <f t="shared" si="13"/>
        <v>3.3655496704328929E-2</v>
      </c>
    </row>
    <row r="393" spans="1:26" x14ac:dyDescent="0.2">
      <c r="A393" s="45">
        <v>73</v>
      </c>
      <c r="B393" s="45">
        <v>1999</v>
      </c>
      <c r="C393" s="17">
        <v>0</v>
      </c>
      <c r="D393" s="14">
        <v>0.18901000000000001</v>
      </c>
      <c r="E393" s="14">
        <v>0.30207089999999998</v>
      </c>
      <c r="F393" s="14">
        <v>0.119214</v>
      </c>
      <c r="G393" s="14">
        <v>5.9035149999999996</v>
      </c>
      <c r="H393" s="14">
        <v>1.47393</v>
      </c>
      <c r="R393" s="11">
        <f t="shared" si="12"/>
        <v>1.602248639427697E-6</v>
      </c>
      <c r="Z393" s="11">
        <f t="shared" si="13"/>
        <v>1.9632859314166265E-6</v>
      </c>
    </row>
    <row r="394" spans="1:26" x14ac:dyDescent="0.2">
      <c r="A394" s="45">
        <v>73</v>
      </c>
      <c r="B394" s="45">
        <v>2000</v>
      </c>
      <c r="C394" s="17">
        <v>0</v>
      </c>
      <c r="D394" s="14">
        <v>7.7470800000000006E-2</v>
      </c>
      <c r="E394" s="14">
        <v>0.30065829999999999</v>
      </c>
      <c r="F394" s="14">
        <v>8.6640999999999996E-2</v>
      </c>
      <c r="G394" s="14">
        <v>2.8473069999999998</v>
      </c>
      <c r="H394" s="14">
        <v>1.163489</v>
      </c>
      <c r="R394" s="11">
        <f t="shared" si="12"/>
        <v>2.7153763679161675E-4</v>
      </c>
      <c r="Z394" s="11">
        <f t="shared" si="13"/>
        <v>3.464681680399743E-4</v>
      </c>
    </row>
    <row r="395" spans="1:26" x14ac:dyDescent="0.2">
      <c r="A395" s="45">
        <v>73</v>
      </c>
      <c r="B395" s="45">
        <v>2001</v>
      </c>
      <c r="C395" s="17">
        <v>0</v>
      </c>
      <c r="D395" s="14">
        <v>0.15770980000000001</v>
      </c>
      <c r="E395" s="14">
        <v>0.26578659999999998</v>
      </c>
      <c r="F395" s="14">
        <v>0.1213122</v>
      </c>
      <c r="G395" s="14">
        <v>2.9546739999999998</v>
      </c>
      <c r="H395" s="14">
        <v>0.9777806</v>
      </c>
      <c r="R395" s="11">
        <f t="shared" si="12"/>
        <v>1.8244661644020813E-4</v>
      </c>
      <c r="Z395" s="11">
        <f t="shared" si="13"/>
        <v>2.3865687286903596E-4</v>
      </c>
    </row>
    <row r="396" spans="1:26" x14ac:dyDescent="0.2">
      <c r="A396" s="45">
        <v>73</v>
      </c>
      <c r="B396" s="45">
        <v>2002</v>
      </c>
      <c r="C396" s="17">
        <v>0</v>
      </c>
      <c r="D396" s="14">
        <v>0.1787986</v>
      </c>
      <c r="E396" s="14">
        <v>0.26532919999999999</v>
      </c>
      <c r="F396" s="14">
        <v>0.1017961</v>
      </c>
      <c r="G396" s="14">
        <v>1.928504</v>
      </c>
      <c r="H396" s="14">
        <v>0.9399824</v>
      </c>
      <c r="R396" s="11">
        <f t="shared" si="12"/>
        <v>1.0940257713977545E-3</v>
      </c>
      <c r="Z396" s="11">
        <f t="shared" si="13"/>
        <v>1.4401219363090634E-3</v>
      </c>
    </row>
    <row r="397" spans="1:26" x14ac:dyDescent="0.2">
      <c r="A397" s="45">
        <v>73</v>
      </c>
      <c r="B397" s="45">
        <v>2003</v>
      </c>
      <c r="C397" s="17">
        <v>0</v>
      </c>
      <c r="D397" s="14">
        <v>0.1688182</v>
      </c>
      <c r="E397" s="14">
        <v>0.31858789999999998</v>
      </c>
      <c r="F397" s="14">
        <v>0.12884660000000001</v>
      </c>
      <c r="G397" s="14">
        <v>3.3380239999999999</v>
      </c>
      <c r="H397" s="14">
        <v>1.0020560000000001</v>
      </c>
      <c r="R397" s="11">
        <f t="shared" si="12"/>
        <v>8.6367122392777847E-5</v>
      </c>
      <c r="Z397" s="11">
        <f t="shared" si="13"/>
        <v>1.1292793324461487E-4</v>
      </c>
    </row>
    <row r="398" spans="1:26" x14ac:dyDescent="0.2">
      <c r="A398" s="45">
        <v>73</v>
      </c>
      <c r="B398" s="45">
        <v>2004</v>
      </c>
      <c r="C398" s="17">
        <v>0</v>
      </c>
      <c r="D398" s="14">
        <v>0.2067447</v>
      </c>
      <c r="E398" s="14">
        <v>0.38140049999999998</v>
      </c>
      <c r="F398" s="14">
        <v>0.1128574</v>
      </c>
      <c r="G398" s="14">
        <v>3.0627409999999999</v>
      </c>
      <c r="H398" s="14">
        <v>0.94271479999999996</v>
      </c>
      <c r="R398" s="11">
        <f t="shared" si="12"/>
        <v>1.3890797560847415E-4</v>
      </c>
      <c r="Z398" s="11">
        <f t="shared" si="13"/>
        <v>1.8073790197519136E-4</v>
      </c>
    </row>
    <row r="399" spans="1:26" x14ac:dyDescent="0.2">
      <c r="A399" s="45">
        <v>74</v>
      </c>
      <c r="B399" s="45">
        <v>1999</v>
      </c>
      <c r="C399" s="17">
        <v>0</v>
      </c>
      <c r="D399" s="14">
        <v>6.4599500000000004E-2</v>
      </c>
      <c r="E399" s="14">
        <v>-0.11623459999999999</v>
      </c>
      <c r="F399" s="14">
        <v>1.8562499999999999E-2</v>
      </c>
      <c r="G399" s="14">
        <v>0.30531079999999999</v>
      </c>
      <c r="H399" s="14">
        <v>0.22483230000000001</v>
      </c>
      <c r="R399" s="11">
        <f t="shared" si="12"/>
        <v>4.6998851329764557E-2</v>
      </c>
      <c r="Z399" s="11">
        <f t="shared" si="13"/>
        <v>5.8423186574859717E-2</v>
      </c>
    </row>
    <row r="400" spans="1:26" x14ac:dyDescent="0.2">
      <c r="A400" s="45">
        <v>74</v>
      </c>
      <c r="B400" s="45">
        <v>2000</v>
      </c>
      <c r="C400" s="17">
        <v>1</v>
      </c>
      <c r="D400" s="14">
        <v>6.5496899999999997E-2</v>
      </c>
      <c r="E400" s="14">
        <v>-0.1320064</v>
      </c>
      <c r="F400" s="14">
        <v>4.3704E-3</v>
      </c>
      <c r="G400" s="14">
        <v>8.4955199999999995E-2</v>
      </c>
      <c r="H400" s="14">
        <v>0.1891719</v>
      </c>
      <c r="R400" s="11">
        <f t="shared" si="12"/>
        <v>7.4338504525133908E-2</v>
      </c>
      <c r="Z400" s="11">
        <f t="shared" si="13"/>
        <v>9.1160151371565093E-2</v>
      </c>
    </row>
    <row r="401" spans="1:26" x14ac:dyDescent="0.2">
      <c r="A401" s="45">
        <v>75</v>
      </c>
      <c r="B401" s="45">
        <v>1999</v>
      </c>
      <c r="C401" s="17">
        <v>0</v>
      </c>
      <c r="D401" s="14">
        <v>9.3111100000000002E-2</v>
      </c>
      <c r="E401" s="14">
        <v>-4.1657800000000002E-2</v>
      </c>
      <c r="F401" s="14">
        <v>2.56142E-2</v>
      </c>
      <c r="G401" s="14">
        <v>0.3656778</v>
      </c>
      <c r="H401" s="14">
        <v>0.34493600000000002</v>
      </c>
      <c r="R401" s="11">
        <f t="shared" si="12"/>
        <v>3.659590400802476E-2</v>
      </c>
      <c r="Z401" s="11">
        <f t="shared" si="13"/>
        <v>4.591855996385593E-2</v>
      </c>
    </row>
    <row r="402" spans="1:26" x14ac:dyDescent="0.2">
      <c r="A402" s="45">
        <v>75</v>
      </c>
      <c r="B402" s="45">
        <v>2000</v>
      </c>
      <c r="C402" s="17">
        <v>0</v>
      </c>
      <c r="D402" s="14">
        <v>-1.65801E-2</v>
      </c>
      <c r="E402" s="14">
        <v>-6.0391100000000003E-2</v>
      </c>
      <c r="F402" s="14">
        <v>3.00085E-2</v>
      </c>
      <c r="G402" s="14">
        <v>0.66758130000000004</v>
      </c>
      <c r="H402" s="14">
        <v>0.37610529999999998</v>
      </c>
      <c r="R402" s="11">
        <f t="shared" si="12"/>
        <v>2.2763730438689185E-2</v>
      </c>
      <c r="Z402" s="11">
        <f t="shared" si="13"/>
        <v>2.8565021494442566E-2</v>
      </c>
    </row>
    <row r="403" spans="1:26" x14ac:dyDescent="0.2">
      <c r="A403" s="45">
        <v>75</v>
      </c>
      <c r="B403" s="45">
        <v>2001</v>
      </c>
      <c r="C403" s="17">
        <v>0</v>
      </c>
      <c r="D403" s="14">
        <v>5.57799E-2</v>
      </c>
      <c r="E403" s="14">
        <v>-0.26799780000000001</v>
      </c>
      <c r="F403" s="14">
        <v>6.0458999999999999E-2</v>
      </c>
      <c r="G403" s="14">
        <v>0.68437689999999995</v>
      </c>
      <c r="H403" s="14">
        <v>0.4339961</v>
      </c>
      <c r="R403" s="11">
        <f t="shared" si="12"/>
        <v>2.3475643443683251E-2</v>
      </c>
      <c r="Z403" s="11">
        <f t="shared" si="13"/>
        <v>2.9956537125950772E-2</v>
      </c>
    </row>
    <row r="404" spans="1:26" x14ac:dyDescent="0.2">
      <c r="A404" s="45">
        <v>75</v>
      </c>
      <c r="B404" s="45">
        <v>2003</v>
      </c>
      <c r="C404" s="17">
        <v>0</v>
      </c>
      <c r="D404" s="14">
        <v>0.1082404</v>
      </c>
      <c r="E404" s="14">
        <v>-0.3946674</v>
      </c>
      <c r="F404" s="14">
        <v>5.5288400000000001E-2</v>
      </c>
      <c r="G404" s="14">
        <v>0.85279749999999999</v>
      </c>
      <c r="H404" s="14">
        <v>0.37346449999999998</v>
      </c>
      <c r="R404" s="11">
        <f t="shared" si="12"/>
        <v>2.2513041204614438E-2</v>
      </c>
      <c r="Z404" s="11">
        <f t="shared" si="13"/>
        <v>2.8395002194741045E-2</v>
      </c>
    </row>
    <row r="405" spans="1:26" x14ac:dyDescent="0.2">
      <c r="A405" s="45">
        <v>75</v>
      </c>
      <c r="B405" s="45">
        <v>2004</v>
      </c>
      <c r="C405" s="17">
        <v>0</v>
      </c>
      <c r="D405" s="14">
        <v>0.15758520000000001</v>
      </c>
      <c r="E405" s="14">
        <v>-0.36332959999999997</v>
      </c>
      <c r="F405" s="14">
        <v>5.5391999999999997E-2</v>
      </c>
      <c r="G405" s="14">
        <v>0.94156390000000001</v>
      </c>
      <c r="H405" s="14">
        <v>0.4141532</v>
      </c>
      <c r="R405" s="11">
        <f t="shared" si="12"/>
        <v>1.8729610414855918E-2</v>
      </c>
      <c r="Z405" s="11">
        <f t="shared" si="13"/>
        <v>2.3628627517352035E-2</v>
      </c>
    </row>
    <row r="406" spans="1:26" x14ac:dyDescent="0.2">
      <c r="A406" s="45">
        <v>76</v>
      </c>
      <c r="B406" s="45">
        <v>1996</v>
      </c>
      <c r="C406" s="17">
        <v>0</v>
      </c>
      <c r="D406" s="14">
        <v>3.0913699999999999E-2</v>
      </c>
      <c r="E406" s="14">
        <v>-0.105063</v>
      </c>
      <c r="F406" s="14">
        <v>5.2774399999999999E-2</v>
      </c>
      <c r="G406" s="14">
        <v>0.97566589999999997</v>
      </c>
      <c r="H406" s="14">
        <v>8.4078100000000003E-2</v>
      </c>
      <c r="R406" s="11">
        <f t="shared" si="12"/>
        <v>1.2521918483287021E-2</v>
      </c>
      <c r="Z406" s="11">
        <f t="shared" si="13"/>
        <v>1.5916419423180499E-2</v>
      </c>
    </row>
    <row r="407" spans="1:26" x14ac:dyDescent="0.2">
      <c r="A407" s="45">
        <v>76</v>
      </c>
      <c r="B407" s="45">
        <v>1997</v>
      </c>
      <c r="C407" s="17">
        <v>1</v>
      </c>
      <c r="D407" s="14">
        <v>6.5524899999999997E-2</v>
      </c>
      <c r="E407" s="14">
        <v>-0.22874269999999999</v>
      </c>
      <c r="F407" s="14">
        <v>-0.13054180000000001</v>
      </c>
      <c r="G407" s="14">
        <v>0.83395680000000005</v>
      </c>
      <c r="H407" s="14">
        <v>9.4177800000000006E-2</v>
      </c>
      <c r="R407" s="11">
        <f t="shared" ref="R407:R470" si="14">1/(1+EXP(-(K$2+$M$2*E407+$N$2*F407+$O$2*G407)))</f>
        <v>7.6163209900074427E-2</v>
      </c>
      <c r="Z407" s="11">
        <f t="shared" si="13"/>
        <v>8.2889052337778088E-2</v>
      </c>
    </row>
    <row r="408" spans="1:26" x14ac:dyDescent="0.2">
      <c r="A408" s="45">
        <v>77</v>
      </c>
      <c r="B408" s="45">
        <v>1996</v>
      </c>
      <c r="C408" s="17">
        <v>0</v>
      </c>
      <c r="D408" s="14">
        <v>0.37698530000000002</v>
      </c>
      <c r="E408" s="14">
        <v>4.7507899999999999E-2</v>
      </c>
      <c r="F408" s="14">
        <v>2.2253100000000001E-2</v>
      </c>
      <c r="G408" s="14">
        <v>0.26763209999999998</v>
      </c>
      <c r="H408" s="14">
        <v>0.21180479999999999</v>
      </c>
      <c r="R408" s="11">
        <f t="shared" si="14"/>
        <v>3.8528944595592043E-2</v>
      </c>
      <c r="Z408" s="11">
        <f t="shared" si="13"/>
        <v>4.8432597255475558E-2</v>
      </c>
    </row>
    <row r="409" spans="1:26" x14ac:dyDescent="0.2">
      <c r="A409" s="45">
        <v>77</v>
      </c>
      <c r="B409" s="45">
        <v>1997</v>
      </c>
      <c r="C409" s="17">
        <v>0</v>
      </c>
      <c r="D409" s="14">
        <v>0.29734569999999999</v>
      </c>
      <c r="E409" s="14">
        <v>-5.6424099999999998E-2</v>
      </c>
      <c r="F409" s="14">
        <v>3.6141800000000002E-2</v>
      </c>
      <c r="G409" s="14">
        <v>0.12599369999999999</v>
      </c>
      <c r="H409" s="14">
        <v>0.25267970000000001</v>
      </c>
      <c r="R409" s="11">
        <f t="shared" si="14"/>
        <v>4.9674264476196148E-2</v>
      </c>
      <c r="Z409" s="11">
        <f t="shared" si="13"/>
        <v>6.2899085137152311E-2</v>
      </c>
    </row>
    <row r="410" spans="1:26" x14ac:dyDescent="0.2">
      <c r="A410" s="45">
        <v>77</v>
      </c>
      <c r="B410" s="45">
        <v>1998</v>
      </c>
      <c r="C410" s="17">
        <v>1</v>
      </c>
      <c r="D410" s="14">
        <v>0.23901249999999999</v>
      </c>
      <c r="E410" s="14">
        <v>-0.20424970000000001</v>
      </c>
      <c r="F410" s="14">
        <v>2.2092199999999999E-2</v>
      </c>
      <c r="G410" s="14">
        <v>4.7139899999999998E-2</v>
      </c>
      <c r="H410" s="14">
        <v>0.23221439999999999</v>
      </c>
      <c r="R410" s="11">
        <f t="shared" si="14"/>
        <v>7.5975209575637359E-2</v>
      </c>
      <c r="Z410" s="11">
        <f t="shared" si="13"/>
        <v>9.4223734256744976E-2</v>
      </c>
    </row>
    <row r="411" spans="1:26" x14ac:dyDescent="0.2">
      <c r="A411" s="45">
        <v>78</v>
      </c>
      <c r="B411" s="45">
        <v>1999</v>
      </c>
      <c r="C411" s="17">
        <v>0</v>
      </c>
      <c r="D411" s="14">
        <v>0.29040359999999998</v>
      </c>
      <c r="E411" s="14">
        <v>0.32565929999999998</v>
      </c>
      <c r="F411" s="14">
        <v>5.64669E-2</v>
      </c>
      <c r="G411" s="14">
        <v>0.67444550000000003</v>
      </c>
      <c r="H411" s="14">
        <v>0.31983470000000003</v>
      </c>
      <c r="R411" s="11">
        <f t="shared" si="14"/>
        <v>1.0524529766087878E-2</v>
      </c>
      <c r="Z411" s="11">
        <f t="shared" si="13"/>
        <v>1.371130292524683E-2</v>
      </c>
    </row>
    <row r="412" spans="1:26" x14ac:dyDescent="0.2">
      <c r="A412" s="45">
        <v>78</v>
      </c>
      <c r="B412" s="45">
        <v>2000</v>
      </c>
      <c r="C412" s="17">
        <v>0</v>
      </c>
      <c r="D412" s="14">
        <v>0.31045729999999999</v>
      </c>
      <c r="E412" s="14">
        <v>0.37282910000000002</v>
      </c>
      <c r="F412" s="14">
        <v>6.3725699999999996E-2</v>
      </c>
      <c r="G412" s="14">
        <v>1.029431</v>
      </c>
      <c r="H412" s="14">
        <v>0.29714010000000002</v>
      </c>
      <c r="R412" s="11">
        <f t="shared" si="14"/>
        <v>5.294287345459254E-3</v>
      </c>
      <c r="Z412" s="11">
        <f t="shared" si="13"/>
        <v>6.9067095361501369E-3</v>
      </c>
    </row>
    <row r="413" spans="1:26" x14ac:dyDescent="0.2">
      <c r="A413" s="45">
        <v>78</v>
      </c>
      <c r="B413" s="45">
        <v>2001</v>
      </c>
      <c r="C413" s="17">
        <v>0</v>
      </c>
      <c r="D413" s="14">
        <v>0.3817393</v>
      </c>
      <c r="E413" s="14">
        <v>0.39153840000000001</v>
      </c>
      <c r="F413" s="14">
        <v>8.9960399999999996E-2</v>
      </c>
      <c r="G413" s="14">
        <v>2.005995</v>
      </c>
      <c r="H413" s="14">
        <v>0.3662996</v>
      </c>
      <c r="R413" s="11">
        <f t="shared" si="14"/>
        <v>8.8492537877798267E-4</v>
      </c>
      <c r="Z413" s="11">
        <f t="shared" si="13"/>
        <v>1.1567378413753127E-3</v>
      </c>
    </row>
    <row r="414" spans="1:26" x14ac:dyDescent="0.2">
      <c r="A414" s="45">
        <v>78</v>
      </c>
      <c r="B414" s="45">
        <v>2002</v>
      </c>
      <c r="C414" s="17">
        <v>0</v>
      </c>
      <c r="D414" s="14">
        <v>0.37947520000000001</v>
      </c>
      <c r="E414" s="14">
        <v>0.51727429999999996</v>
      </c>
      <c r="F414" s="14">
        <v>8.4913500000000003E-2</v>
      </c>
      <c r="G414" s="14">
        <v>2.9821</v>
      </c>
      <c r="H414" s="14">
        <v>0.37346259999999998</v>
      </c>
      <c r="R414" s="11">
        <f t="shared" si="14"/>
        <v>1.6210740396052119E-4</v>
      </c>
      <c r="Z414" s="11">
        <f t="shared" si="13"/>
        <v>2.0747675574010578E-4</v>
      </c>
    </row>
    <row r="415" spans="1:26" x14ac:dyDescent="0.2">
      <c r="A415" s="45">
        <v>78</v>
      </c>
      <c r="B415" s="45">
        <v>2003</v>
      </c>
      <c r="C415" s="17">
        <v>0</v>
      </c>
      <c r="D415" s="14">
        <v>0.46635979999999999</v>
      </c>
      <c r="E415" s="14">
        <v>0.48164610000000002</v>
      </c>
      <c r="F415" s="14">
        <v>6.1995700000000001E-2</v>
      </c>
      <c r="G415" s="14">
        <v>3.0220609999999999</v>
      </c>
      <c r="H415" s="14">
        <v>0.28947469999999997</v>
      </c>
      <c r="R415" s="11">
        <f t="shared" si="14"/>
        <v>1.9241839705211195E-4</v>
      </c>
      <c r="Z415" s="11">
        <f t="shared" si="13"/>
        <v>2.411796478945619E-4</v>
      </c>
    </row>
    <row r="416" spans="1:26" x14ac:dyDescent="0.2">
      <c r="A416" s="45">
        <v>78</v>
      </c>
      <c r="B416" s="45">
        <v>2004</v>
      </c>
      <c r="C416" s="17">
        <v>0</v>
      </c>
      <c r="D416" s="14">
        <v>0.46392129999999998</v>
      </c>
      <c r="E416" s="14">
        <v>0.43194169999999998</v>
      </c>
      <c r="F416" s="14">
        <v>5.3459100000000002E-2</v>
      </c>
      <c r="G416" s="14">
        <v>1.882919</v>
      </c>
      <c r="H416" s="14">
        <v>0.25929920000000001</v>
      </c>
      <c r="R416" s="11">
        <f t="shared" si="14"/>
        <v>1.3588457558138206E-3</v>
      </c>
      <c r="Z416" s="11">
        <f t="shared" si="13"/>
        <v>1.7307695199582579E-3</v>
      </c>
    </row>
    <row r="417" spans="1:26" x14ac:dyDescent="0.2">
      <c r="A417" s="45">
        <v>79</v>
      </c>
      <c r="B417" s="45">
        <v>1999</v>
      </c>
      <c r="C417" s="17">
        <v>0</v>
      </c>
      <c r="D417" s="14">
        <v>0.1171328</v>
      </c>
      <c r="E417" s="14">
        <v>3.2626999999999999E-3</v>
      </c>
      <c r="F417" s="14">
        <v>8.4226999999999996E-2</v>
      </c>
      <c r="G417" s="14">
        <v>1.4384729999999999</v>
      </c>
      <c r="H417" s="14">
        <v>0.3693533</v>
      </c>
      <c r="R417" s="11">
        <f t="shared" si="14"/>
        <v>4.0125829979850616E-3</v>
      </c>
      <c r="Z417" s="11">
        <f t="shared" si="13"/>
        <v>5.2113970246083045E-3</v>
      </c>
    </row>
    <row r="418" spans="1:26" x14ac:dyDescent="0.2">
      <c r="A418" s="45">
        <v>79</v>
      </c>
      <c r="B418" s="45">
        <v>2000</v>
      </c>
      <c r="C418" s="17">
        <v>0</v>
      </c>
      <c r="D418" s="14">
        <v>0.11541170000000001</v>
      </c>
      <c r="E418" s="14">
        <v>5.3651499999999998E-2</v>
      </c>
      <c r="F418" s="14">
        <v>5.8967499999999999E-2</v>
      </c>
      <c r="G418" s="14">
        <v>0.98854569999999997</v>
      </c>
      <c r="H418" s="14">
        <v>0.33496930000000003</v>
      </c>
      <c r="R418" s="11">
        <f t="shared" si="14"/>
        <v>9.2989436397750529E-3</v>
      </c>
      <c r="Z418" s="11">
        <f t="shared" si="13"/>
        <v>1.1950438225125978E-2</v>
      </c>
    </row>
    <row r="419" spans="1:26" x14ac:dyDescent="0.2">
      <c r="A419" s="45">
        <v>79</v>
      </c>
      <c r="B419" s="45">
        <v>2001</v>
      </c>
      <c r="C419" s="17">
        <v>0</v>
      </c>
      <c r="D419" s="14">
        <v>0.2362969</v>
      </c>
      <c r="E419" s="14">
        <v>6.5634999999999999E-2</v>
      </c>
      <c r="F419" s="14">
        <v>5.4391200000000001E-2</v>
      </c>
      <c r="G419" s="14">
        <v>0.93740210000000002</v>
      </c>
      <c r="H419" s="14">
        <v>0.32539050000000003</v>
      </c>
      <c r="R419" s="11">
        <f t="shared" si="14"/>
        <v>1.027383390685516E-2</v>
      </c>
      <c r="Z419" s="11">
        <f t="shared" si="13"/>
        <v>1.317079483233106E-2</v>
      </c>
    </row>
    <row r="420" spans="1:26" x14ac:dyDescent="0.2">
      <c r="A420" s="45">
        <v>79</v>
      </c>
      <c r="B420" s="45">
        <v>2002</v>
      </c>
      <c r="C420" s="17">
        <v>0</v>
      </c>
      <c r="D420" s="14">
        <v>0.21200379999999999</v>
      </c>
      <c r="E420" s="14">
        <v>3.2812899999999999E-2</v>
      </c>
      <c r="F420" s="14">
        <v>6.5084299999999998E-2</v>
      </c>
      <c r="G420" s="14">
        <v>1.007641</v>
      </c>
      <c r="H420" s="14">
        <v>0.32111640000000002</v>
      </c>
      <c r="R420" s="11">
        <f t="shared" si="14"/>
        <v>8.8576991536684427E-3</v>
      </c>
      <c r="Z420" s="11">
        <f t="shared" si="13"/>
        <v>1.1428567027388771E-2</v>
      </c>
    </row>
    <row r="421" spans="1:26" x14ac:dyDescent="0.2">
      <c r="A421" s="45">
        <v>79</v>
      </c>
      <c r="B421" s="45">
        <v>2003</v>
      </c>
      <c r="C421" s="17">
        <v>0</v>
      </c>
      <c r="D421" s="14">
        <v>0.23748349999999999</v>
      </c>
      <c r="E421" s="14">
        <v>9.7600800000000001E-2</v>
      </c>
      <c r="F421" s="14">
        <v>6.2421299999999999E-2</v>
      </c>
      <c r="G421" s="14">
        <v>1.163937</v>
      </c>
      <c r="H421" s="14">
        <v>0.34595589999999998</v>
      </c>
      <c r="R421" s="11">
        <f t="shared" si="14"/>
        <v>6.4350173839115427E-3</v>
      </c>
      <c r="Z421" s="11">
        <f t="shared" si="13"/>
        <v>8.2806173167732297E-3</v>
      </c>
    </row>
    <row r="422" spans="1:26" x14ac:dyDescent="0.2">
      <c r="A422" s="45">
        <v>79</v>
      </c>
      <c r="B422" s="45">
        <v>2004</v>
      </c>
      <c r="C422" s="17">
        <v>0</v>
      </c>
      <c r="D422" s="14">
        <v>0.24546870000000001</v>
      </c>
      <c r="E422" s="14">
        <v>0.17855770000000001</v>
      </c>
      <c r="F422" s="14">
        <v>6.6895899999999994E-2</v>
      </c>
      <c r="G422" s="14">
        <v>1.8326150000000001</v>
      </c>
      <c r="H422" s="14">
        <v>0.3335687</v>
      </c>
      <c r="R422" s="11">
        <f t="shared" si="14"/>
        <v>1.9101683398978179E-3</v>
      </c>
      <c r="Z422" s="11">
        <f t="shared" si="13"/>
        <v>2.4409790772340124E-3</v>
      </c>
    </row>
    <row r="423" spans="1:26" x14ac:dyDescent="0.2">
      <c r="A423" s="45">
        <v>80</v>
      </c>
      <c r="B423" s="45">
        <v>1999</v>
      </c>
      <c r="C423" s="17">
        <v>0</v>
      </c>
      <c r="D423" s="14">
        <v>-6.2080000000000002E-4</v>
      </c>
      <c r="E423" s="14">
        <v>0.27483669999999999</v>
      </c>
      <c r="F423" s="14">
        <v>3.5412100000000002E-2</v>
      </c>
      <c r="G423" s="14">
        <v>1.067496</v>
      </c>
      <c r="H423" s="14">
        <v>0.34915869999999999</v>
      </c>
      <c r="R423" s="11">
        <f t="shared" si="14"/>
        <v>7.1923886387873608E-3</v>
      </c>
      <c r="Z423" s="11">
        <f t="shared" si="13"/>
        <v>9.1262525836047579E-3</v>
      </c>
    </row>
    <row r="424" spans="1:26" x14ac:dyDescent="0.2">
      <c r="A424" s="45">
        <v>80</v>
      </c>
      <c r="B424" s="45">
        <v>2000</v>
      </c>
      <c r="C424" s="17">
        <v>0</v>
      </c>
      <c r="D424" s="14">
        <v>-9.5508899999999994E-2</v>
      </c>
      <c r="E424" s="14">
        <v>0.1702128</v>
      </c>
      <c r="F424" s="14">
        <v>7.0114899999999994E-2</v>
      </c>
      <c r="G424" s="14">
        <v>1.0163610000000001</v>
      </c>
      <c r="H424" s="14">
        <v>0.47193299999999999</v>
      </c>
      <c r="R424" s="11">
        <f t="shared" si="14"/>
        <v>6.8850803984269243E-3</v>
      </c>
      <c r="Z424" s="11">
        <f t="shared" si="13"/>
        <v>8.9649959699509511E-3</v>
      </c>
    </row>
    <row r="425" spans="1:26" x14ac:dyDescent="0.2">
      <c r="A425" s="45">
        <v>80</v>
      </c>
      <c r="B425" s="45">
        <v>2001</v>
      </c>
      <c r="C425" s="17">
        <v>0</v>
      </c>
      <c r="D425" s="14">
        <v>-0.19410859999999999</v>
      </c>
      <c r="E425" s="14">
        <v>0.18918779999999999</v>
      </c>
      <c r="F425" s="14">
        <v>3.03732E-2</v>
      </c>
      <c r="G425" s="14">
        <v>0.80509750000000002</v>
      </c>
      <c r="H425" s="14">
        <v>8.6286399999999999E-2</v>
      </c>
      <c r="R425" s="11">
        <f t="shared" si="14"/>
        <v>1.2811534047564691E-2</v>
      </c>
      <c r="Z425" s="11">
        <f t="shared" si="13"/>
        <v>1.6211002663916854E-2</v>
      </c>
    </row>
    <row r="426" spans="1:26" x14ac:dyDescent="0.2">
      <c r="A426" s="45">
        <v>80</v>
      </c>
      <c r="B426" s="45">
        <v>2002</v>
      </c>
      <c r="C426" s="17">
        <v>0</v>
      </c>
      <c r="D426" s="14">
        <v>-0.1041661</v>
      </c>
      <c r="E426" s="14">
        <v>0.18255199999999999</v>
      </c>
      <c r="F426" s="14">
        <v>4.6041400000000003E-2</v>
      </c>
      <c r="G426" s="14">
        <v>0.51964960000000004</v>
      </c>
      <c r="H426" s="14">
        <v>0.16585140000000001</v>
      </c>
      <c r="R426" s="11">
        <f t="shared" si="14"/>
        <v>1.7892673654697856E-2</v>
      </c>
      <c r="Z426" s="11">
        <f t="shared" si="13"/>
        <v>2.303100163048773E-2</v>
      </c>
    </row>
    <row r="427" spans="1:26" x14ac:dyDescent="0.2">
      <c r="A427" s="45">
        <v>80</v>
      </c>
      <c r="B427" s="45">
        <v>2003</v>
      </c>
      <c r="C427" s="17">
        <v>0</v>
      </c>
      <c r="D427" s="14">
        <v>0.1374891</v>
      </c>
      <c r="E427" s="14">
        <v>0.16866719999999999</v>
      </c>
      <c r="F427" s="14">
        <v>2.99455E-2</v>
      </c>
      <c r="G427" s="14">
        <v>0.74955329999999998</v>
      </c>
      <c r="H427" s="14">
        <v>0.17411670000000001</v>
      </c>
      <c r="R427" s="11">
        <f t="shared" si="14"/>
        <v>1.4446637027078244E-2</v>
      </c>
      <c r="Z427" s="11">
        <f t="shared" si="13"/>
        <v>1.8274975988850937E-2</v>
      </c>
    </row>
    <row r="428" spans="1:26" x14ac:dyDescent="0.2">
      <c r="A428" s="45">
        <v>81</v>
      </c>
      <c r="B428" s="45">
        <v>1999</v>
      </c>
      <c r="C428" s="17">
        <v>0</v>
      </c>
      <c r="D428" s="14">
        <v>0.1035312</v>
      </c>
      <c r="E428" s="14">
        <v>0.29572320000000002</v>
      </c>
      <c r="F428" s="14">
        <v>2.8006099999999999E-2</v>
      </c>
      <c r="G428" s="14">
        <v>4.2895859999999999</v>
      </c>
      <c r="H428" s="14">
        <v>7.0791599999999996E-2</v>
      </c>
      <c r="R428" s="11">
        <f t="shared" si="14"/>
        <v>4.3909063101936771E-5</v>
      </c>
      <c r="Z428" s="11">
        <f t="shared" si="13"/>
        <v>5.1722096701146707E-5</v>
      </c>
    </row>
    <row r="429" spans="1:26" x14ac:dyDescent="0.2">
      <c r="A429" s="45">
        <v>81</v>
      </c>
      <c r="B429" s="45">
        <v>2000</v>
      </c>
      <c r="C429" s="17">
        <v>0</v>
      </c>
      <c r="D429" s="14">
        <v>0.10808230000000001</v>
      </c>
      <c r="E429" s="14">
        <v>0.3098746</v>
      </c>
      <c r="F429" s="14">
        <v>5.2184000000000001E-2</v>
      </c>
      <c r="G429" s="14">
        <v>6.0768389999999997</v>
      </c>
      <c r="H429" s="14">
        <v>0.1118059</v>
      </c>
      <c r="R429" s="11">
        <f t="shared" si="14"/>
        <v>2.0544941947491446E-6</v>
      </c>
      <c r="Z429" s="11">
        <f t="shared" si="13"/>
        <v>2.3744064889821109E-6</v>
      </c>
    </row>
    <row r="430" spans="1:26" x14ac:dyDescent="0.2">
      <c r="A430" s="45">
        <v>81</v>
      </c>
      <c r="B430" s="45">
        <v>2001</v>
      </c>
      <c r="C430" s="17">
        <v>0</v>
      </c>
      <c r="D430" s="14">
        <v>0.1635143</v>
      </c>
      <c r="E430" s="14">
        <v>0.36942740000000002</v>
      </c>
      <c r="F430" s="14">
        <v>4.6915900000000003E-2</v>
      </c>
      <c r="G430" s="14">
        <v>3.8101180000000001</v>
      </c>
      <c r="H430" s="14">
        <v>0.1034577</v>
      </c>
      <c r="R430" s="11">
        <f t="shared" si="14"/>
        <v>7.2801840575619767E-5</v>
      </c>
      <c r="Z430" s="11">
        <f t="shared" si="13"/>
        <v>8.8242006545722907E-5</v>
      </c>
    </row>
    <row r="431" spans="1:26" x14ac:dyDescent="0.2">
      <c r="A431" s="45">
        <v>81</v>
      </c>
      <c r="B431" s="45">
        <v>2002</v>
      </c>
      <c r="C431" s="17">
        <v>0</v>
      </c>
      <c r="D431" s="14">
        <v>9.1356699999999999E-2</v>
      </c>
      <c r="E431" s="14">
        <v>0.301257</v>
      </c>
      <c r="F431" s="14">
        <v>4.7917300000000003E-2</v>
      </c>
      <c r="G431" s="14">
        <v>4.0316809999999998</v>
      </c>
      <c r="H431" s="14">
        <v>7.9208399999999998E-2</v>
      </c>
      <c r="R431" s="11">
        <f t="shared" si="14"/>
        <v>5.6024405787061028E-5</v>
      </c>
      <c r="Z431" s="11">
        <f t="shared" si="13"/>
        <v>6.747373365663819E-5</v>
      </c>
    </row>
    <row r="432" spans="1:26" x14ac:dyDescent="0.2">
      <c r="A432" s="45">
        <v>81</v>
      </c>
      <c r="B432" s="45">
        <v>2003</v>
      </c>
      <c r="C432" s="17">
        <v>0</v>
      </c>
      <c r="D432" s="14">
        <v>0.14075670000000001</v>
      </c>
      <c r="E432" s="14">
        <v>0.32405010000000001</v>
      </c>
      <c r="F432" s="14">
        <v>4.4675899999999998E-2</v>
      </c>
      <c r="G432" s="14">
        <v>3.7459570000000002</v>
      </c>
      <c r="H432" s="14">
        <v>8.2086000000000006E-2</v>
      </c>
      <c r="R432" s="11">
        <f t="shared" si="14"/>
        <v>8.7695480572450195E-5</v>
      </c>
      <c r="Z432" s="11">
        <f t="shared" si="13"/>
        <v>1.0608394481760692E-4</v>
      </c>
    </row>
    <row r="433" spans="1:26" x14ac:dyDescent="0.2">
      <c r="A433" s="45">
        <v>81</v>
      </c>
      <c r="B433" s="45">
        <v>2004</v>
      </c>
      <c r="C433" s="17">
        <v>0</v>
      </c>
      <c r="D433" s="14">
        <v>0.1055653</v>
      </c>
      <c r="E433" s="14">
        <v>0.33246029999999999</v>
      </c>
      <c r="F433" s="14">
        <v>5.6804300000000002E-2</v>
      </c>
      <c r="G433" s="14">
        <v>4.2336980000000004</v>
      </c>
      <c r="H433" s="14">
        <v>7.7384900000000006E-2</v>
      </c>
      <c r="R433" s="11">
        <f t="shared" si="14"/>
        <v>3.6140578512970834E-5</v>
      </c>
      <c r="Z433" s="11">
        <f t="shared" si="13"/>
        <v>4.3696878889088822E-5</v>
      </c>
    </row>
    <row r="434" spans="1:26" x14ac:dyDescent="0.2">
      <c r="A434" s="45">
        <v>82</v>
      </c>
      <c r="B434" s="45">
        <v>1999</v>
      </c>
      <c r="C434" s="17">
        <v>0</v>
      </c>
      <c r="D434" s="14">
        <v>9.6011100000000002E-2</v>
      </c>
      <c r="E434" s="14">
        <v>0.32393759999999999</v>
      </c>
      <c r="F434" s="14">
        <v>5.7811000000000001E-2</v>
      </c>
      <c r="G434" s="14">
        <v>1.602738</v>
      </c>
      <c r="H434" s="14">
        <v>0.44504260000000001</v>
      </c>
      <c r="R434" s="11">
        <f t="shared" si="14"/>
        <v>2.3972426558483213E-3</v>
      </c>
      <c r="Z434" s="11">
        <f t="shared" si="13"/>
        <v>3.0709343221387879E-3</v>
      </c>
    </row>
    <row r="435" spans="1:26" x14ac:dyDescent="0.2">
      <c r="A435" s="45">
        <v>82</v>
      </c>
      <c r="B435" s="45">
        <v>2000</v>
      </c>
      <c r="C435" s="17">
        <v>0</v>
      </c>
      <c r="D435" s="14">
        <v>-3.6956000000000003E-2</v>
      </c>
      <c r="E435" s="14">
        <v>0.31460549999999998</v>
      </c>
      <c r="F435" s="14">
        <v>6.7681199999999997E-2</v>
      </c>
      <c r="G435" s="14">
        <v>1.9203699999999999</v>
      </c>
      <c r="H435" s="14">
        <v>0.36185089999999998</v>
      </c>
      <c r="R435" s="11">
        <f t="shared" si="14"/>
        <v>1.3550029285845295E-3</v>
      </c>
      <c r="Z435" s="11">
        <f t="shared" si="13"/>
        <v>1.7376517436978689E-3</v>
      </c>
    </row>
    <row r="436" spans="1:26" x14ac:dyDescent="0.2">
      <c r="A436" s="45">
        <v>82</v>
      </c>
      <c r="B436" s="45">
        <v>2001</v>
      </c>
      <c r="C436" s="17">
        <v>0</v>
      </c>
      <c r="D436" s="14">
        <v>-6.7698900000000006E-2</v>
      </c>
      <c r="E436" s="14">
        <v>0.31651849999999998</v>
      </c>
      <c r="F436" s="14">
        <v>4.9693300000000003E-2</v>
      </c>
      <c r="G436" s="14">
        <v>0.84387659999999998</v>
      </c>
      <c r="H436" s="14">
        <v>0.34959420000000002</v>
      </c>
      <c r="R436" s="11">
        <f t="shared" si="14"/>
        <v>8.6115906161245738E-3</v>
      </c>
      <c r="Z436" s="11">
        <f t="shared" si="13"/>
        <v>1.1119684615332297E-2</v>
      </c>
    </row>
    <row r="437" spans="1:26" x14ac:dyDescent="0.2">
      <c r="A437" s="45">
        <v>82</v>
      </c>
      <c r="B437" s="45">
        <v>2002</v>
      </c>
      <c r="C437" s="17">
        <v>0</v>
      </c>
      <c r="D437" s="14">
        <v>-3.0575600000000001E-2</v>
      </c>
      <c r="E437" s="14">
        <v>0.2391192</v>
      </c>
      <c r="F437" s="14">
        <v>4.3849899999999997E-2</v>
      </c>
      <c r="G437" s="14">
        <v>0.61160119999999996</v>
      </c>
      <c r="H437" s="14">
        <v>0.27943760000000001</v>
      </c>
      <c r="R437" s="11">
        <f t="shared" si="14"/>
        <v>1.4534875980650114E-2</v>
      </c>
      <c r="Z437" s="11">
        <f t="shared" si="13"/>
        <v>1.8692755894554429E-2</v>
      </c>
    </row>
    <row r="438" spans="1:26" x14ac:dyDescent="0.2">
      <c r="A438" s="45">
        <v>82</v>
      </c>
      <c r="B438" s="45">
        <v>2003</v>
      </c>
      <c r="C438" s="17">
        <v>0</v>
      </c>
      <c r="D438" s="14">
        <v>5.9731999999999997E-3</v>
      </c>
      <c r="E438" s="14">
        <v>0.22346079999999999</v>
      </c>
      <c r="F438" s="14">
        <v>5.8437099999999999E-2</v>
      </c>
      <c r="G438" s="14">
        <v>0.78707990000000005</v>
      </c>
      <c r="H438" s="14">
        <v>0.28408640000000002</v>
      </c>
      <c r="R438" s="11">
        <f t="shared" si="14"/>
        <v>1.0049611829502588E-2</v>
      </c>
      <c r="Z438" s="11">
        <f t="shared" si="13"/>
        <v>1.3038152697491461E-2</v>
      </c>
    </row>
    <row r="439" spans="1:26" x14ac:dyDescent="0.2">
      <c r="A439" s="45">
        <v>82</v>
      </c>
      <c r="B439" s="45">
        <v>2004</v>
      </c>
      <c r="C439" s="17">
        <v>0</v>
      </c>
      <c r="D439" s="14">
        <v>-9.71336E-2</v>
      </c>
      <c r="E439" s="14">
        <v>0.28498810000000002</v>
      </c>
      <c r="F439" s="14">
        <v>2.1768599999999999E-2</v>
      </c>
      <c r="G439" s="14">
        <v>1.0409349999999999</v>
      </c>
      <c r="H439" s="14">
        <v>0.30221969999999998</v>
      </c>
      <c r="R439" s="11">
        <f t="shared" si="14"/>
        <v>8.2372996425216696E-3</v>
      </c>
      <c r="Z439" s="11">
        <f t="shared" si="13"/>
        <v>1.0343696780794578E-2</v>
      </c>
    </row>
    <row r="440" spans="1:26" x14ac:dyDescent="0.2">
      <c r="A440" s="45">
        <v>83</v>
      </c>
      <c r="B440" s="45">
        <v>1999</v>
      </c>
      <c r="C440" s="17">
        <v>0</v>
      </c>
      <c r="D440" s="14">
        <v>0.1136669</v>
      </c>
      <c r="E440" s="14">
        <v>0.21514449999999999</v>
      </c>
      <c r="F440" s="14">
        <v>5.0044999999999999E-2</v>
      </c>
      <c r="G440" s="14">
        <v>0.68787399999999999</v>
      </c>
      <c r="H440" s="14">
        <v>0.38222</v>
      </c>
      <c r="R440" s="11">
        <f t="shared" si="14"/>
        <v>1.2707099606288304E-2</v>
      </c>
      <c r="Z440" s="11">
        <f t="shared" si="13"/>
        <v>1.6392291157390958E-2</v>
      </c>
    </row>
    <row r="441" spans="1:26" x14ac:dyDescent="0.2">
      <c r="A441" s="45">
        <v>83</v>
      </c>
      <c r="B441" s="45">
        <v>2000</v>
      </c>
      <c r="C441" s="17">
        <v>0</v>
      </c>
      <c r="D441" s="14">
        <v>0.13656779999999999</v>
      </c>
      <c r="E441" s="14">
        <v>0.22917750000000001</v>
      </c>
      <c r="F441" s="14">
        <v>3.98214E-2</v>
      </c>
      <c r="G441" s="14">
        <v>0.58558429999999995</v>
      </c>
      <c r="H441" s="14">
        <v>0.37810719999999998</v>
      </c>
      <c r="R441" s="11">
        <f t="shared" si="14"/>
        <v>1.5852903478404953E-2</v>
      </c>
      <c r="Z441" s="11">
        <f t="shared" si="13"/>
        <v>2.0318822698278203E-2</v>
      </c>
    </row>
    <row r="442" spans="1:26" x14ac:dyDescent="0.2">
      <c r="A442" s="45">
        <v>83</v>
      </c>
      <c r="B442" s="45">
        <v>2001</v>
      </c>
      <c r="C442" s="17">
        <v>0</v>
      </c>
      <c r="D442" s="14">
        <v>3.2763199999999999E-2</v>
      </c>
      <c r="E442" s="14">
        <v>0.19445200000000001</v>
      </c>
      <c r="F442" s="14">
        <v>4.5128599999999998E-2</v>
      </c>
      <c r="G442" s="14">
        <v>0.62502259999999998</v>
      </c>
      <c r="H442" s="14">
        <v>0.38662269999999999</v>
      </c>
      <c r="R442" s="11">
        <f t="shared" si="14"/>
        <v>1.5020093548715601E-2</v>
      </c>
      <c r="Z442" s="11">
        <f t="shared" si="13"/>
        <v>1.9299316718565957E-2</v>
      </c>
    </row>
    <row r="443" spans="1:26" x14ac:dyDescent="0.2">
      <c r="A443" s="45">
        <v>83</v>
      </c>
      <c r="B443" s="45">
        <v>2002</v>
      </c>
      <c r="C443" s="17">
        <v>0</v>
      </c>
      <c r="D443" s="14">
        <v>8.8359099999999996E-2</v>
      </c>
      <c r="E443" s="14">
        <v>0.15026349999999999</v>
      </c>
      <c r="F443" s="14">
        <v>3.9216599999999997E-2</v>
      </c>
      <c r="G443" s="14">
        <v>0.47827409999999998</v>
      </c>
      <c r="H443" s="14">
        <v>0.38552619999999999</v>
      </c>
      <c r="R443" s="11">
        <f t="shared" si="14"/>
        <v>2.1086022807637748E-2</v>
      </c>
      <c r="Z443" s="11">
        <f t="shared" si="13"/>
        <v>2.6963757070875217E-2</v>
      </c>
    </row>
    <row r="444" spans="1:26" x14ac:dyDescent="0.2">
      <c r="A444" s="45">
        <v>83</v>
      </c>
      <c r="B444" s="45">
        <v>2003</v>
      </c>
      <c r="C444" s="17">
        <v>0</v>
      </c>
      <c r="D444" s="14">
        <v>8.6490200000000003E-2</v>
      </c>
      <c r="E444" s="14">
        <v>0.12854769999999999</v>
      </c>
      <c r="F444" s="14">
        <v>3.7525200000000002E-2</v>
      </c>
      <c r="G444" s="14">
        <v>0.733483</v>
      </c>
      <c r="H444" s="14">
        <v>0.36112339999999998</v>
      </c>
      <c r="R444" s="11">
        <f t="shared" si="14"/>
        <v>1.4782360333682807E-2</v>
      </c>
      <c r="Z444" s="11">
        <f t="shared" si="13"/>
        <v>1.8793477309136445E-2</v>
      </c>
    </row>
    <row r="445" spans="1:26" x14ac:dyDescent="0.2">
      <c r="A445" s="45">
        <v>83</v>
      </c>
      <c r="B445" s="45">
        <v>2004</v>
      </c>
      <c r="C445" s="17">
        <v>0</v>
      </c>
      <c r="D445" s="14">
        <v>0.20636090000000001</v>
      </c>
      <c r="E445" s="14">
        <v>0.15727949999999999</v>
      </c>
      <c r="F445" s="14">
        <v>2.8453300000000001E-2</v>
      </c>
      <c r="G445" s="14">
        <v>0.61910750000000003</v>
      </c>
      <c r="H445" s="14">
        <v>0.40197870000000002</v>
      </c>
      <c r="R445" s="11">
        <f t="shared" si="14"/>
        <v>1.8228544581152768E-2</v>
      </c>
      <c r="Z445" s="11">
        <f t="shared" si="13"/>
        <v>2.3064012320595507E-2</v>
      </c>
    </row>
    <row r="446" spans="1:26" x14ac:dyDescent="0.2">
      <c r="A446" s="45">
        <v>84</v>
      </c>
      <c r="B446" s="45">
        <v>1995</v>
      </c>
      <c r="C446" s="17">
        <v>0</v>
      </c>
      <c r="D446" s="14">
        <v>1.93067E-2</v>
      </c>
      <c r="E446" s="14">
        <v>6.3464300000000001E-2</v>
      </c>
      <c r="F446" s="14">
        <v>6.7076700000000003E-2</v>
      </c>
      <c r="G446" s="14">
        <v>0.38837319999999997</v>
      </c>
      <c r="H446" s="14">
        <v>0.53096969999999999</v>
      </c>
      <c r="R446" s="11">
        <f t="shared" si="14"/>
        <v>2.2070092426800723E-2</v>
      </c>
      <c r="Z446" s="11">
        <f t="shared" si="13"/>
        <v>2.8819294513091336E-2</v>
      </c>
    </row>
    <row r="447" spans="1:26" x14ac:dyDescent="0.2">
      <c r="A447" s="45">
        <v>84</v>
      </c>
      <c r="B447" s="45">
        <v>1996</v>
      </c>
      <c r="C447" s="17">
        <v>0</v>
      </c>
      <c r="D447" s="14">
        <v>3.17582E-2</v>
      </c>
      <c r="E447" s="14">
        <v>6.9364499999999996E-2</v>
      </c>
      <c r="F447" s="14">
        <v>6.4205300000000007E-2</v>
      </c>
      <c r="G447" s="14">
        <v>0.3644869</v>
      </c>
      <c r="H447" s="14">
        <v>0.60920790000000002</v>
      </c>
      <c r="R447" s="11">
        <f t="shared" si="14"/>
        <v>2.323105805208316E-2</v>
      </c>
      <c r="Z447" s="11">
        <f t="shared" si="13"/>
        <v>3.027652410943971E-2</v>
      </c>
    </row>
    <row r="448" spans="1:26" x14ac:dyDescent="0.2">
      <c r="A448" s="45">
        <v>84</v>
      </c>
      <c r="B448" s="45">
        <v>1997</v>
      </c>
      <c r="C448" s="17">
        <v>0</v>
      </c>
      <c r="D448" s="14">
        <v>2.6746099999999998E-2</v>
      </c>
      <c r="E448" s="14">
        <v>8.85209E-2</v>
      </c>
      <c r="F448" s="14">
        <v>5.1093300000000001E-2</v>
      </c>
      <c r="G448" s="14">
        <v>0.7282421</v>
      </c>
      <c r="H448" s="14">
        <v>0.53140710000000002</v>
      </c>
      <c r="R448" s="11">
        <f t="shared" si="14"/>
        <v>1.4183256249797171E-2</v>
      </c>
      <c r="Z448" s="11">
        <f t="shared" si="13"/>
        <v>1.8210326425282912E-2</v>
      </c>
    </row>
    <row r="449" spans="1:26" x14ac:dyDescent="0.2">
      <c r="A449" s="45">
        <v>84</v>
      </c>
      <c r="B449" s="45">
        <v>1998</v>
      </c>
      <c r="C449" s="17">
        <v>0</v>
      </c>
      <c r="D449" s="14">
        <v>0.25147989999999998</v>
      </c>
      <c r="E449" s="14">
        <v>0.20030100000000001</v>
      </c>
      <c r="F449" s="14">
        <v>6.8533700000000003E-2</v>
      </c>
      <c r="G449" s="14">
        <v>1.3476159999999999</v>
      </c>
      <c r="H449" s="14">
        <v>0.82750380000000001</v>
      </c>
      <c r="R449" s="11">
        <f t="shared" si="14"/>
        <v>3.9484481821514287E-3</v>
      </c>
      <c r="Z449" s="11">
        <f t="shared" si="13"/>
        <v>5.1072773222729318E-3</v>
      </c>
    </row>
    <row r="450" spans="1:26" x14ac:dyDescent="0.2">
      <c r="A450" s="45">
        <v>84</v>
      </c>
      <c r="B450" s="45">
        <v>1999</v>
      </c>
      <c r="C450" s="17">
        <v>0</v>
      </c>
      <c r="D450" s="14">
        <v>0.16829169999999999</v>
      </c>
      <c r="E450" s="14">
        <v>0.25955440000000002</v>
      </c>
      <c r="F450" s="14">
        <v>6.4390600000000006E-2</v>
      </c>
      <c r="G450" s="14">
        <v>0.7089337</v>
      </c>
      <c r="H450" s="14">
        <v>1.084889</v>
      </c>
      <c r="R450" s="11">
        <f t="shared" si="14"/>
        <v>1.0295589458828884E-2</v>
      </c>
      <c r="Z450" s="11">
        <f t="shared" ref="Z450:Z513" si="15">1/(1+EXP(-(U$2+$V$2*E450+$W$2*F450+$X$2*G450)))</f>
        <v>1.3459976766154806E-2</v>
      </c>
    </row>
    <row r="451" spans="1:26" x14ac:dyDescent="0.2">
      <c r="A451" s="45">
        <v>85</v>
      </c>
      <c r="B451" s="45">
        <v>1999</v>
      </c>
      <c r="C451" s="17">
        <v>0</v>
      </c>
      <c r="D451" s="14">
        <v>6.7600000000000003E-5</v>
      </c>
      <c r="E451" s="14">
        <v>9.6732200000000004E-2</v>
      </c>
      <c r="F451" s="14">
        <v>5.9409299999999998E-2</v>
      </c>
      <c r="G451" s="14">
        <v>0.70080129999999996</v>
      </c>
      <c r="H451" s="14">
        <v>0.14464589999999999</v>
      </c>
      <c r="R451" s="11">
        <f t="shared" si="14"/>
        <v>1.3705761615399503E-2</v>
      </c>
      <c r="Z451" s="11">
        <f t="shared" si="15"/>
        <v>1.7733345608618035E-2</v>
      </c>
    </row>
    <row r="452" spans="1:26" x14ac:dyDescent="0.2">
      <c r="A452" s="45">
        <v>85</v>
      </c>
      <c r="B452" s="45">
        <v>2000</v>
      </c>
      <c r="C452" s="17">
        <v>0</v>
      </c>
      <c r="D452" s="14">
        <v>-6.7105999999999997E-3</v>
      </c>
      <c r="E452" s="14">
        <v>8.7346800000000002E-2</v>
      </c>
      <c r="F452" s="14">
        <v>6.2200499999999999E-2</v>
      </c>
      <c r="G452" s="14">
        <v>0.57624070000000005</v>
      </c>
      <c r="H452" s="14">
        <v>0.1562598</v>
      </c>
      <c r="R452" s="11">
        <f t="shared" si="14"/>
        <v>1.652334316177767E-2</v>
      </c>
      <c r="Z452" s="11">
        <f t="shared" si="15"/>
        <v>2.1459638603260039E-2</v>
      </c>
    </row>
    <row r="453" spans="1:26" x14ac:dyDescent="0.2">
      <c r="A453" s="45">
        <v>85</v>
      </c>
      <c r="B453" s="45">
        <v>2001</v>
      </c>
      <c r="C453" s="17">
        <v>0</v>
      </c>
      <c r="D453" s="14">
        <v>-8.8469099999999995E-2</v>
      </c>
      <c r="E453" s="14">
        <v>8.7244500000000003E-2</v>
      </c>
      <c r="F453" s="14">
        <v>4.0687599999999997E-2</v>
      </c>
      <c r="G453" s="14">
        <v>0.62451100000000004</v>
      </c>
      <c r="H453" s="14">
        <v>0.1688047</v>
      </c>
      <c r="R453" s="11">
        <f t="shared" si="14"/>
        <v>1.814566377283628E-2</v>
      </c>
      <c r="Z453" s="11">
        <f t="shared" si="15"/>
        <v>2.3128708382159188E-2</v>
      </c>
    </row>
    <row r="454" spans="1:26" x14ac:dyDescent="0.2">
      <c r="A454" s="45">
        <v>85</v>
      </c>
      <c r="B454" s="45">
        <v>2002</v>
      </c>
      <c r="C454" s="17">
        <v>0</v>
      </c>
      <c r="D454" s="14">
        <v>-2.86246E-2</v>
      </c>
      <c r="E454" s="14">
        <v>9.1046199999999994E-2</v>
      </c>
      <c r="F454" s="14">
        <v>3.5402000000000003E-2</v>
      </c>
      <c r="G454" s="14">
        <v>0.52684779999999998</v>
      </c>
      <c r="H454" s="14">
        <v>0.12828239999999999</v>
      </c>
      <c r="R454" s="11">
        <f t="shared" si="14"/>
        <v>2.1910745415365765E-2</v>
      </c>
      <c r="Z454" s="11">
        <f t="shared" si="15"/>
        <v>2.784276785498483E-2</v>
      </c>
    </row>
    <row r="455" spans="1:26" x14ac:dyDescent="0.2">
      <c r="A455" s="45">
        <v>85</v>
      </c>
      <c r="B455" s="45">
        <v>2003</v>
      </c>
      <c r="C455" s="17">
        <v>0</v>
      </c>
      <c r="D455" s="14">
        <v>-5.1817200000000001E-2</v>
      </c>
      <c r="E455" s="14">
        <v>8.8195099999999998E-2</v>
      </c>
      <c r="F455" s="14">
        <v>6.2407799999999999E-2</v>
      </c>
      <c r="G455" s="14">
        <v>0.53844820000000004</v>
      </c>
      <c r="H455" s="14">
        <v>0.14478859999999999</v>
      </c>
      <c r="R455" s="11">
        <f t="shared" si="14"/>
        <v>1.7481336280222776E-2</v>
      </c>
      <c r="Z455" s="11">
        <f t="shared" si="15"/>
        <v>2.2720110357797356E-2</v>
      </c>
    </row>
    <row r="456" spans="1:26" x14ac:dyDescent="0.2">
      <c r="A456" s="45">
        <v>85</v>
      </c>
      <c r="B456" s="45">
        <v>2004</v>
      </c>
      <c r="C456" s="17">
        <v>0</v>
      </c>
      <c r="D456" s="14">
        <v>-9.7320000000000002E-4</v>
      </c>
      <c r="E456" s="14">
        <v>9.7767000000000007E-2</v>
      </c>
      <c r="F456" s="14">
        <v>4.4006799999999999E-2</v>
      </c>
      <c r="G456" s="14">
        <v>0.54048759999999996</v>
      </c>
      <c r="H456" s="14">
        <v>0.1331891</v>
      </c>
      <c r="R456" s="11">
        <f t="shared" si="14"/>
        <v>1.986049075530219E-2</v>
      </c>
      <c r="Z456" s="11">
        <f t="shared" si="15"/>
        <v>2.5424226413027468E-2</v>
      </c>
    </row>
    <row r="457" spans="1:26" x14ac:dyDescent="0.2">
      <c r="A457" s="45">
        <v>86</v>
      </c>
      <c r="B457" s="45">
        <v>1999</v>
      </c>
      <c r="C457" s="17">
        <v>0</v>
      </c>
      <c r="D457" s="14">
        <v>5.4964199999999998E-2</v>
      </c>
      <c r="E457" s="14">
        <v>0.18100669999999999</v>
      </c>
      <c r="F457" s="14">
        <v>4.6203099999999997E-2</v>
      </c>
      <c r="G457" s="14">
        <v>1.0390820000000001</v>
      </c>
      <c r="H457" s="14">
        <v>0.15033679999999999</v>
      </c>
      <c r="R457" s="11">
        <f t="shared" si="14"/>
        <v>7.9065931587662258E-3</v>
      </c>
      <c r="Z457" s="11">
        <f t="shared" si="15"/>
        <v>1.009285161767603E-2</v>
      </c>
    </row>
    <row r="458" spans="1:26" x14ac:dyDescent="0.2">
      <c r="A458" s="45">
        <v>86</v>
      </c>
      <c r="B458" s="45">
        <v>2000</v>
      </c>
      <c r="C458" s="17">
        <v>0</v>
      </c>
      <c r="D458" s="14">
        <v>-4.3019799999999997E-2</v>
      </c>
      <c r="E458" s="14">
        <v>0.18426609999999999</v>
      </c>
      <c r="F458" s="14">
        <v>4.1070500000000003E-2</v>
      </c>
      <c r="G458" s="14">
        <v>0.90271040000000002</v>
      </c>
      <c r="H458" s="14">
        <v>0.1618695</v>
      </c>
      <c r="R458" s="11">
        <f t="shared" si="14"/>
        <v>1.0166059255539159E-2</v>
      </c>
      <c r="Z458" s="11">
        <f t="shared" si="15"/>
        <v>1.295494153005107E-2</v>
      </c>
    </row>
    <row r="459" spans="1:26" x14ac:dyDescent="0.2">
      <c r="A459" s="45">
        <v>86</v>
      </c>
      <c r="B459" s="45">
        <v>2001</v>
      </c>
      <c r="C459" s="17">
        <v>0</v>
      </c>
      <c r="D459" s="14">
        <v>6.7632999999999999E-3</v>
      </c>
      <c r="E459" s="14">
        <v>0.1703732</v>
      </c>
      <c r="F459" s="14">
        <v>2.9986100000000002E-2</v>
      </c>
      <c r="G459" s="14">
        <v>0.72243760000000001</v>
      </c>
      <c r="H459" s="14">
        <v>0.14515359999999999</v>
      </c>
      <c r="R459" s="11">
        <f t="shared" si="14"/>
        <v>1.5033367772269837E-2</v>
      </c>
      <c r="Z459" s="11">
        <f t="shared" si="15"/>
        <v>1.9027043527847724E-2</v>
      </c>
    </row>
    <row r="460" spans="1:26" x14ac:dyDescent="0.2">
      <c r="A460" s="45">
        <v>86</v>
      </c>
      <c r="B460" s="45">
        <v>2002</v>
      </c>
      <c r="C460" s="17">
        <v>0</v>
      </c>
      <c r="D460" s="14">
        <v>4.1383700000000002E-2</v>
      </c>
      <c r="E460" s="14">
        <v>0.1290453</v>
      </c>
      <c r="F460" s="14">
        <v>2.1452599999999999E-2</v>
      </c>
      <c r="G460" s="14">
        <v>0.61984070000000002</v>
      </c>
      <c r="H460" s="14">
        <v>0.1486508</v>
      </c>
      <c r="R460" s="11">
        <f t="shared" si="14"/>
        <v>2.0026167112828615E-2</v>
      </c>
      <c r="Z460" s="11">
        <f t="shared" si="15"/>
        <v>2.5160775449279488E-2</v>
      </c>
    </row>
    <row r="461" spans="1:26" x14ac:dyDescent="0.2">
      <c r="A461" s="45">
        <v>86</v>
      </c>
      <c r="B461" s="45">
        <v>2003</v>
      </c>
      <c r="C461" s="17">
        <v>0</v>
      </c>
      <c r="D461" s="14">
        <v>5.8766699999999998E-2</v>
      </c>
      <c r="E461" s="14">
        <v>8.5604899999999998E-2</v>
      </c>
      <c r="F461" s="14">
        <v>1.39487E-2</v>
      </c>
      <c r="G461" s="14">
        <v>0.67437239999999998</v>
      </c>
      <c r="H461" s="14">
        <v>0.16619149999999999</v>
      </c>
      <c r="R461" s="11">
        <f t="shared" si="14"/>
        <v>2.0750825179027235E-2</v>
      </c>
      <c r="Z461" s="11">
        <f t="shared" si="15"/>
        <v>2.5842788805929408E-2</v>
      </c>
    </row>
    <row r="462" spans="1:26" x14ac:dyDescent="0.2">
      <c r="A462" s="45">
        <v>86</v>
      </c>
      <c r="B462" s="45">
        <v>2004</v>
      </c>
      <c r="C462" s="17">
        <v>0</v>
      </c>
      <c r="D462" s="14">
        <v>8.6581500000000006E-2</v>
      </c>
      <c r="E462" s="14">
        <v>6.8356200000000006E-2</v>
      </c>
      <c r="F462" s="14">
        <v>2.9008900000000001E-2</v>
      </c>
      <c r="G462" s="14">
        <v>0.64447960000000004</v>
      </c>
      <c r="H462" s="14">
        <v>0.1758123</v>
      </c>
      <c r="R462" s="11">
        <f t="shared" si="14"/>
        <v>1.9802408704972511E-2</v>
      </c>
      <c r="Z462" s="11">
        <f t="shared" si="15"/>
        <v>2.4967892711773267E-2</v>
      </c>
    </row>
    <row r="463" spans="1:26" x14ac:dyDescent="0.2">
      <c r="A463" s="45">
        <v>87</v>
      </c>
      <c r="B463" s="45">
        <v>1996</v>
      </c>
      <c r="C463" s="17">
        <v>0</v>
      </c>
      <c r="D463" s="14">
        <v>0.37119950000000002</v>
      </c>
      <c r="E463" s="14">
        <v>0.1415479</v>
      </c>
      <c r="F463" s="14">
        <v>7.6069700000000004E-2</v>
      </c>
      <c r="G463" s="14">
        <v>1.1959960000000001</v>
      </c>
      <c r="H463" s="14">
        <v>0.48530649999999997</v>
      </c>
      <c r="R463" s="11">
        <f t="shared" si="14"/>
        <v>5.1494207775208897E-3</v>
      </c>
      <c r="Z463" s="11">
        <f t="shared" si="15"/>
        <v>6.7081713386402762E-3</v>
      </c>
    </row>
    <row r="464" spans="1:26" x14ac:dyDescent="0.2">
      <c r="A464" s="45">
        <v>87</v>
      </c>
      <c r="B464" s="45">
        <v>1997</v>
      </c>
      <c r="C464" s="17">
        <v>0</v>
      </c>
      <c r="D464" s="14">
        <v>0.32827139999999999</v>
      </c>
      <c r="E464" s="14">
        <v>0.1599506</v>
      </c>
      <c r="F464" s="14">
        <v>3.5979499999999998E-2</v>
      </c>
      <c r="G464" s="14">
        <v>0.87521850000000001</v>
      </c>
      <c r="H464" s="14">
        <v>0.4811358</v>
      </c>
      <c r="R464" s="11">
        <f t="shared" si="14"/>
        <v>1.1446110710110763E-2</v>
      </c>
      <c r="Z464" s="11">
        <f t="shared" si="15"/>
        <v>1.4517878015166213E-2</v>
      </c>
    </row>
    <row r="465" spans="1:26" x14ac:dyDescent="0.2">
      <c r="A465" s="45">
        <v>88</v>
      </c>
      <c r="B465" s="45">
        <v>1997</v>
      </c>
      <c r="C465" s="17">
        <v>0</v>
      </c>
      <c r="D465" s="14">
        <v>0.27094000000000001</v>
      </c>
      <c r="E465" s="14">
        <v>0.61660440000000005</v>
      </c>
      <c r="F465" s="14">
        <v>9.0095300000000003E-2</v>
      </c>
      <c r="G465" s="14">
        <v>2.6126330000000002</v>
      </c>
      <c r="H465" s="14">
        <v>0.4879619</v>
      </c>
      <c r="R465" s="11">
        <f t="shared" si="14"/>
        <v>2.4251937482666749E-4</v>
      </c>
      <c r="Z465" s="11">
        <f t="shared" si="15"/>
        <v>3.1532463516965799E-4</v>
      </c>
    </row>
    <row r="466" spans="1:26" x14ac:dyDescent="0.2">
      <c r="A466" s="45">
        <v>88</v>
      </c>
      <c r="B466" s="45">
        <v>1998</v>
      </c>
      <c r="C466" s="17">
        <v>0</v>
      </c>
      <c r="D466" s="14">
        <v>0.22520219999999999</v>
      </c>
      <c r="E466" s="14">
        <v>0.69173510000000005</v>
      </c>
      <c r="F466" s="14">
        <v>8.1264400000000001E-2</v>
      </c>
      <c r="G466" s="14">
        <v>1.9291290000000001</v>
      </c>
      <c r="H466" s="14">
        <v>0.51082930000000004</v>
      </c>
      <c r="R466" s="11">
        <f t="shared" si="14"/>
        <v>6.9315668939678955E-4</v>
      </c>
      <c r="Z466" s="11">
        <f t="shared" si="15"/>
        <v>9.1052434327069758E-4</v>
      </c>
    </row>
    <row r="467" spans="1:26" x14ac:dyDescent="0.2">
      <c r="A467" s="45">
        <v>88</v>
      </c>
      <c r="B467" s="45">
        <v>1999</v>
      </c>
      <c r="C467" s="17">
        <v>0</v>
      </c>
      <c r="D467" s="14">
        <v>0.23166539999999999</v>
      </c>
      <c r="E467" s="14">
        <v>0.72595240000000005</v>
      </c>
      <c r="F467" s="14">
        <v>9.7898600000000002E-2</v>
      </c>
      <c r="G467" s="14">
        <v>2.6712669999999998</v>
      </c>
      <c r="H467" s="14">
        <v>0.53870700000000005</v>
      </c>
      <c r="R467" s="11">
        <f t="shared" si="14"/>
        <v>1.7702571366479963E-4</v>
      </c>
      <c r="Z467" s="11">
        <f t="shared" si="15"/>
        <v>2.3222039711774767E-4</v>
      </c>
    </row>
    <row r="468" spans="1:26" x14ac:dyDescent="0.2">
      <c r="A468" s="45">
        <v>88</v>
      </c>
      <c r="B468" s="45">
        <v>2000</v>
      </c>
      <c r="C468" s="17">
        <v>0</v>
      </c>
      <c r="D468" s="14">
        <v>0.206925</v>
      </c>
      <c r="E468" s="14">
        <v>0.79433359999999997</v>
      </c>
      <c r="F468" s="14">
        <v>8.2627400000000004E-2</v>
      </c>
      <c r="G468" s="14">
        <v>1.49342</v>
      </c>
      <c r="H468" s="14">
        <v>0.45266669999999998</v>
      </c>
      <c r="R468" s="11">
        <f t="shared" si="14"/>
        <v>1.1820753958789437E-3</v>
      </c>
      <c r="Z468" s="11">
        <f t="shared" si="15"/>
        <v>1.5747388179245629E-3</v>
      </c>
    </row>
    <row r="469" spans="1:26" x14ac:dyDescent="0.2">
      <c r="A469" s="45">
        <v>88</v>
      </c>
      <c r="B469" s="45">
        <v>2001</v>
      </c>
      <c r="C469" s="17">
        <v>0</v>
      </c>
      <c r="D469" s="14">
        <v>0.31985219999999998</v>
      </c>
      <c r="E469" s="14">
        <v>0.60822549999999997</v>
      </c>
      <c r="F469" s="14">
        <v>4.6973099999999997E-2</v>
      </c>
      <c r="G469" s="14">
        <v>1.0783</v>
      </c>
      <c r="H469" s="14">
        <v>0.29461569999999998</v>
      </c>
      <c r="R469" s="11">
        <f t="shared" si="14"/>
        <v>3.9820755108904825E-3</v>
      </c>
      <c r="Z469" s="11">
        <f t="shared" si="15"/>
        <v>5.1622119303782162E-3</v>
      </c>
    </row>
    <row r="470" spans="1:26" x14ac:dyDescent="0.2">
      <c r="A470" s="45">
        <v>88</v>
      </c>
      <c r="B470" s="45">
        <v>2002</v>
      </c>
      <c r="C470" s="17">
        <v>0</v>
      </c>
      <c r="D470" s="14">
        <v>0.32906849999999999</v>
      </c>
      <c r="E470" s="14">
        <v>0.60201729999999998</v>
      </c>
      <c r="F470" s="14">
        <v>7.5750899999999996E-2</v>
      </c>
      <c r="G470" s="14">
        <v>0.94691069999999999</v>
      </c>
      <c r="H470" s="14">
        <v>0.36610749999999997</v>
      </c>
      <c r="R470" s="11">
        <f t="shared" si="14"/>
        <v>3.9355969630173286E-3</v>
      </c>
      <c r="Z470" s="11">
        <f t="shared" si="15"/>
        <v>5.2371229554352468E-3</v>
      </c>
    </row>
    <row r="471" spans="1:26" x14ac:dyDescent="0.2">
      <c r="A471" s="45">
        <v>88</v>
      </c>
      <c r="B471" s="45">
        <v>2003</v>
      </c>
      <c r="C471" s="17">
        <v>0</v>
      </c>
      <c r="D471" s="14">
        <v>0.37407580000000001</v>
      </c>
      <c r="E471" s="14">
        <v>0.60010589999999997</v>
      </c>
      <c r="F471" s="14">
        <v>7.3679300000000003E-2</v>
      </c>
      <c r="G471" s="14">
        <v>1.169071</v>
      </c>
      <c r="H471" s="14">
        <v>0.37037300000000001</v>
      </c>
      <c r="R471" s="11">
        <f t="shared" ref="R471:R534" si="16">1/(1+EXP(-(K$2+$M$2*E471+$N$2*F471+$O$2*G471)))</f>
        <v>2.8193301613311868E-3</v>
      </c>
      <c r="Z471" s="11">
        <f t="shared" si="15"/>
        <v>3.728286547421029E-3</v>
      </c>
    </row>
    <row r="472" spans="1:26" x14ac:dyDescent="0.2">
      <c r="A472" s="45">
        <v>88</v>
      </c>
      <c r="B472" s="45">
        <v>2004</v>
      </c>
      <c r="C472" s="17">
        <v>0</v>
      </c>
      <c r="D472" s="14">
        <v>0.43658370000000002</v>
      </c>
      <c r="E472" s="14">
        <v>0.61464149999999995</v>
      </c>
      <c r="F472" s="14">
        <v>7.5201599999999993E-2</v>
      </c>
      <c r="G472" s="14">
        <v>2.4379300000000002</v>
      </c>
      <c r="H472" s="14">
        <v>0.35225479999999998</v>
      </c>
      <c r="R472" s="11">
        <f t="shared" si="16"/>
        <v>3.6189625015164295E-4</v>
      </c>
      <c r="Z472" s="11">
        <f t="shared" si="15"/>
        <v>4.6657478988946588E-4</v>
      </c>
    </row>
    <row r="473" spans="1:26" x14ac:dyDescent="0.2">
      <c r="A473" s="45">
        <v>89</v>
      </c>
      <c r="B473" s="45">
        <v>1999</v>
      </c>
      <c r="C473" s="17">
        <v>0</v>
      </c>
      <c r="D473" s="14">
        <v>0.26097629999999999</v>
      </c>
      <c r="E473" s="14">
        <v>0.86495449999999996</v>
      </c>
      <c r="F473" s="14">
        <v>9.8012600000000005E-2</v>
      </c>
      <c r="G473" s="14">
        <v>15.06826</v>
      </c>
      <c r="H473" s="14">
        <v>0.30023840000000002</v>
      </c>
      <c r="R473" s="11">
        <f t="shared" si="16"/>
        <v>3.8029140049508011E-13</v>
      </c>
      <c r="Z473" s="11">
        <f t="shared" si="15"/>
        <v>3.8155107852250698E-13</v>
      </c>
    </row>
    <row r="474" spans="1:26" x14ac:dyDescent="0.2">
      <c r="A474" s="45">
        <v>89</v>
      </c>
      <c r="B474" s="45">
        <v>2000</v>
      </c>
      <c r="C474" s="17">
        <v>0</v>
      </c>
      <c r="D474" s="14">
        <v>0.2729702</v>
      </c>
      <c r="E474" s="14">
        <v>0.98310770000000003</v>
      </c>
      <c r="F474" s="14">
        <v>9.3898599999999999E-2</v>
      </c>
      <c r="G474" s="14">
        <v>17.248380000000001</v>
      </c>
      <c r="H474" s="14">
        <v>0.30862440000000002</v>
      </c>
      <c r="R474" s="11">
        <f t="shared" si="16"/>
        <v>1.0255581899367905E-14</v>
      </c>
      <c r="Z474" s="11">
        <f t="shared" si="15"/>
        <v>9.8138785252770648E-15</v>
      </c>
    </row>
    <row r="475" spans="1:26" x14ac:dyDescent="0.2">
      <c r="A475" s="45">
        <v>89</v>
      </c>
      <c r="B475" s="45">
        <v>2001</v>
      </c>
      <c r="C475" s="17">
        <v>0</v>
      </c>
      <c r="D475" s="14">
        <v>0.1123714</v>
      </c>
      <c r="E475" s="14">
        <v>0.66622809999999999</v>
      </c>
      <c r="F475" s="14">
        <v>6.5260299999999993E-2</v>
      </c>
      <c r="G475" s="14">
        <v>5.3045960000000001</v>
      </c>
      <c r="H475" s="14">
        <v>0.20479610000000001</v>
      </c>
      <c r="R475" s="11">
        <f t="shared" si="16"/>
        <v>3.7732114733755424E-6</v>
      </c>
      <c r="Z475" s="11">
        <f t="shared" si="15"/>
        <v>4.5384374174582551E-6</v>
      </c>
    </row>
    <row r="476" spans="1:26" x14ac:dyDescent="0.2">
      <c r="A476" s="45">
        <v>89</v>
      </c>
      <c r="B476" s="45">
        <v>2002</v>
      </c>
      <c r="C476" s="17">
        <v>0</v>
      </c>
      <c r="D476" s="14">
        <v>0.1023858</v>
      </c>
      <c r="E476" s="14">
        <v>0.74365630000000005</v>
      </c>
      <c r="F476" s="14">
        <v>6.5008399999999994E-2</v>
      </c>
      <c r="G476" s="14">
        <v>2.8468</v>
      </c>
      <c r="H476" s="14">
        <v>0.22792119999999999</v>
      </c>
      <c r="R476" s="11">
        <f t="shared" si="16"/>
        <v>1.6968144060023889E-4</v>
      </c>
      <c r="Z476" s="11">
        <f t="shared" si="15"/>
        <v>2.1596253236996771E-4</v>
      </c>
    </row>
    <row r="477" spans="1:26" x14ac:dyDescent="0.2">
      <c r="A477" s="45">
        <v>89</v>
      </c>
      <c r="B477" s="45">
        <v>2003</v>
      </c>
      <c r="C477" s="17">
        <v>0</v>
      </c>
      <c r="D477" s="14">
        <v>0.18812480000000001</v>
      </c>
      <c r="E477" s="14">
        <v>0.69563419999999998</v>
      </c>
      <c r="F477" s="14">
        <v>6.6763799999999998E-2</v>
      </c>
      <c r="G477" s="14">
        <v>3.161152</v>
      </c>
      <c r="H477" s="14">
        <v>0.230378</v>
      </c>
      <c r="R477" s="11">
        <f t="shared" si="16"/>
        <v>1.0872457123120687E-4</v>
      </c>
      <c r="Z477" s="11">
        <f t="shared" si="15"/>
        <v>1.3739884769513167E-4</v>
      </c>
    </row>
    <row r="478" spans="1:26" x14ac:dyDescent="0.2">
      <c r="A478" s="45">
        <v>89</v>
      </c>
      <c r="B478" s="45">
        <v>2004</v>
      </c>
      <c r="C478" s="17">
        <v>0</v>
      </c>
      <c r="D478" s="14">
        <v>0.18419469999999999</v>
      </c>
      <c r="E478" s="14">
        <v>0.65549429999999997</v>
      </c>
      <c r="F478" s="14">
        <v>5.6307200000000002E-2</v>
      </c>
      <c r="G478" s="14">
        <v>2.4882610000000001</v>
      </c>
      <c r="H478" s="14">
        <v>0.19764280000000001</v>
      </c>
      <c r="R478" s="11">
        <f t="shared" si="16"/>
        <v>3.6609131505302569E-4</v>
      </c>
      <c r="Z478" s="11">
        <f t="shared" si="15"/>
        <v>4.6486808349701937E-4</v>
      </c>
    </row>
    <row r="479" spans="1:26" x14ac:dyDescent="0.2">
      <c r="A479" s="45">
        <v>90</v>
      </c>
      <c r="B479" s="45">
        <v>2001</v>
      </c>
      <c r="C479" s="17">
        <v>0</v>
      </c>
      <c r="D479" s="14">
        <v>-2.6840000000000002E-4</v>
      </c>
      <c r="E479" s="14">
        <v>0.13287950000000001</v>
      </c>
      <c r="F479" s="14">
        <v>3.6577699999999998E-2</v>
      </c>
      <c r="G479" s="14">
        <v>0.2401083</v>
      </c>
      <c r="H479" s="14">
        <v>0.12383810000000001</v>
      </c>
      <c r="R479" s="11">
        <f t="shared" si="16"/>
        <v>3.1925365884585381E-2</v>
      </c>
      <c r="Z479" s="11">
        <f t="shared" si="15"/>
        <v>4.0796111744381129E-2</v>
      </c>
    </row>
    <row r="480" spans="1:26" x14ac:dyDescent="0.2">
      <c r="A480" s="45">
        <v>90</v>
      </c>
      <c r="B480" s="45">
        <v>2002</v>
      </c>
      <c r="C480" s="17">
        <v>0</v>
      </c>
      <c r="D480" s="14">
        <v>-2.3466600000000001E-2</v>
      </c>
      <c r="E480" s="14">
        <v>8.0314700000000003E-2</v>
      </c>
      <c r="F480" s="14">
        <v>3.5131799999999998E-2</v>
      </c>
      <c r="G480" s="14">
        <v>0.2462289</v>
      </c>
      <c r="H480" s="14">
        <v>0.13566929999999999</v>
      </c>
      <c r="R480" s="11">
        <f t="shared" si="16"/>
        <v>3.4434135605304367E-2</v>
      </c>
      <c r="Z480" s="11">
        <f t="shared" si="15"/>
        <v>4.3839263082997931E-2</v>
      </c>
    </row>
    <row r="481" spans="1:26" x14ac:dyDescent="0.2">
      <c r="A481" s="45">
        <v>90</v>
      </c>
      <c r="B481" s="45">
        <v>2003</v>
      </c>
      <c r="C481" s="17">
        <v>0</v>
      </c>
      <c r="D481" s="14">
        <v>-2.7586800000000002E-2</v>
      </c>
      <c r="E481" s="14">
        <v>6.5229800000000004E-2</v>
      </c>
      <c r="F481" s="14">
        <v>4.6713200000000003E-2</v>
      </c>
      <c r="G481" s="14">
        <v>0.37440849999999998</v>
      </c>
      <c r="H481" s="14">
        <v>0.1462956</v>
      </c>
      <c r="R481" s="11">
        <f t="shared" si="16"/>
        <v>2.6374252143356633E-2</v>
      </c>
      <c r="Z481" s="11">
        <f t="shared" si="15"/>
        <v>3.3855383588938831E-2</v>
      </c>
    </row>
    <row r="482" spans="1:26" x14ac:dyDescent="0.2">
      <c r="A482" s="45">
        <v>90</v>
      </c>
      <c r="B482" s="45">
        <v>2004</v>
      </c>
      <c r="C482" s="17">
        <v>0</v>
      </c>
      <c r="D482" s="14">
        <v>7.8616900000000003E-2</v>
      </c>
      <c r="E482" s="14">
        <v>9.1855199999999998E-2</v>
      </c>
      <c r="F482" s="14">
        <v>5.4779300000000003E-2</v>
      </c>
      <c r="G482" s="14">
        <v>0.56112740000000005</v>
      </c>
      <c r="H482" s="14">
        <v>0.1555357</v>
      </c>
      <c r="R482" s="11">
        <f t="shared" si="16"/>
        <v>1.7820440458854978E-2</v>
      </c>
      <c r="Z482" s="11">
        <f t="shared" si="15"/>
        <v>2.3008996359700419E-2</v>
      </c>
    </row>
    <row r="483" spans="1:26" x14ac:dyDescent="0.2">
      <c r="A483" s="45">
        <v>91</v>
      </c>
      <c r="B483" s="45">
        <v>1999</v>
      </c>
      <c r="C483" s="17">
        <v>0</v>
      </c>
      <c r="D483" s="14">
        <v>0.44619419999999999</v>
      </c>
      <c r="E483" s="14">
        <v>0.22536629999999999</v>
      </c>
      <c r="F483" s="14">
        <v>4.2703199999999997E-2</v>
      </c>
      <c r="G483" s="14">
        <v>0.49404290000000001</v>
      </c>
      <c r="H483" s="14">
        <v>0.59521210000000002</v>
      </c>
      <c r="R483" s="11">
        <f t="shared" si="16"/>
        <v>1.7985274090527064E-2</v>
      </c>
      <c r="Z483" s="11">
        <f t="shared" si="15"/>
        <v>2.3133632534402322E-2</v>
      </c>
    </row>
    <row r="484" spans="1:26" x14ac:dyDescent="0.2">
      <c r="A484" s="45">
        <v>91</v>
      </c>
      <c r="B484" s="45">
        <v>2000</v>
      </c>
      <c r="C484" s="17">
        <v>0</v>
      </c>
      <c r="D484" s="14">
        <v>0.38710030000000001</v>
      </c>
      <c r="E484" s="14">
        <v>0.23378640000000001</v>
      </c>
      <c r="F484" s="14">
        <v>4.9061E-2</v>
      </c>
      <c r="G484" s="14">
        <v>0.63543139999999998</v>
      </c>
      <c r="H484" s="14">
        <v>0.57197180000000003</v>
      </c>
      <c r="R484" s="11">
        <f t="shared" si="16"/>
        <v>1.3540082920362417E-2</v>
      </c>
      <c r="Z484" s="11">
        <f t="shared" si="15"/>
        <v>1.7479522420485106E-2</v>
      </c>
    </row>
    <row r="485" spans="1:26" x14ac:dyDescent="0.2">
      <c r="A485" s="45">
        <v>91</v>
      </c>
      <c r="B485" s="45">
        <v>2001</v>
      </c>
      <c r="C485" s="17">
        <v>0</v>
      </c>
      <c r="D485" s="14">
        <v>0.35527910000000001</v>
      </c>
      <c r="E485" s="14">
        <v>0.23651539999999999</v>
      </c>
      <c r="F485" s="14">
        <v>3.7075299999999999E-2</v>
      </c>
      <c r="G485" s="14">
        <v>0.65202680000000002</v>
      </c>
      <c r="H485" s="14">
        <v>0.62699320000000003</v>
      </c>
      <c r="R485" s="11">
        <f t="shared" si="16"/>
        <v>1.4442840083545405E-2</v>
      </c>
      <c r="Z485" s="11">
        <f t="shared" si="15"/>
        <v>1.8456173558856401E-2</v>
      </c>
    </row>
    <row r="486" spans="1:26" x14ac:dyDescent="0.2">
      <c r="A486" s="45">
        <v>91</v>
      </c>
      <c r="B486" s="45">
        <v>2002</v>
      </c>
      <c r="C486" s="17">
        <v>0</v>
      </c>
      <c r="D486" s="14">
        <v>0.3796292</v>
      </c>
      <c r="E486" s="14">
        <v>0.28567999999999999</v>
      </c>
      <c r="F486" s="14">
        <v>4.9646200000000001E-2</v>
      </c>
      <c r="G486" s="14">
        <v>1.151699</v>
      </c>
      <c r="H486" s="14">
        <v>0.66000570000000003</v>
      </c>
      <c r="R486" s="11">
        <f t="shared" si="16"/>
        <v>5.5338362951520741E-3</v>
      </c>
      <c r="Z486" s="11">
        <f t="shared" si="15"/>
        <v>7.0963145358575843E-3</v>
      </c>
    </row>
    <row r="487" spans="1:26" x14ac:dyDescent="0.2">
      <c r="A487" s="45">
        <v>91</v>
      </c>
      <c r="B487" s="45">
        <v>2003</v>
      </c>
      <c r="C487" s="17">
        <v>0</v>
      </c>
      <c r="D487" s="14">
        <v>0.44305</v>
      </c>
      <c r="E487" s="14">
        <v>0.35084890000000002</v>
      </c>
      <c r="F487" s="14">
        <v>5.0590099999999999E-2</v>
      </c>
      <c r="G487" s="14">
        <v>1.8480570000000001</v>
      </c>
      <c r="H487" s="14">
        <v>0.62647580000000003</v>
      </c>
      <c r="R487" s="11">
        <f t="shared" si="16"/>
        <v>1.6532723206325872E-3</v>
      </c>
      <c r="Z487" s="11">
        <f t="shared" si="15"/>
        <v>2.0964636406694409E-3</v>
      </c>
    </row>
    <row r="488" spans="1:26" x14ac:dyDescent="0.2">
      <c r="A488" s="45">
        <v>91</v>
      </c>
      <c r="B488" s="45">
        <v>2004</v>
      </c>
      <c r="C488" s="17">
        <v>0</v>
      </c>
      <c r="D488" s="14">
        <v>0.35712379999999999</v>
      </c>
      <c r="E488" s="14">
        <v>0.34255439999999998</v>
      </c>
      <c r="F488" s="14">
        <v>5.3746299999999997E-2</v>
      </c>
      <c r="G488" s="14">
        <v>1.1887669999999999</v>
      </c>
      <c r="H488" s="14">
        <v>0.60078319999999996</v>
      </c>
      <c r="R488" s="11">
        <f t="shared" si="16"/>
        <v>4.6515627713409136E-3</v>
      </c>
      <c r="Z488" s="11">
        <f t="shared" si="15"/>
        <v>5.9931381369809945E-3</v>
      </c>
    </row>
    <row r="489" spans="1:26" x14ac:dyDescent="0.2">
      <c r="A489" s="45">
        <v>92</v>
      </c>
      <c r="B489" s="45">
        <v>2003</v>
      </c>
      <c r="C489" s="17">
        <v>0</v>
      </c>
      <c r="D489" s="14">
        <v>3.2454700000000003E-2</v>
      </c>
      <c r="E489" s="14">
        <v>9.9009E-2</v>
      </c>
      <c r="F489" s="14">
        <v>4.85265E-2</v>
      </c>
      <c r="G489" s="14">
        <v>1.986993</v>
      </c>
      <c r="H489" s="14">
        <v>0.1113547</v>
      </c>
      <c r="R489" s="11">
        <f t="shared" si="16"/>
        <v>1.9420554346930091E-3</v>
      </c>
      <c r="Z489" s="11">
        <f t="shared" si="15"/>
        <v>2.4298129760680241E-3</v>
      </c>
    </row>
    <row r="490" spans="1:26" x14ac:dyDescent="0.2">
      <c r="A490" s="45">
        <v>93</v>
      </c>
      <c r="B490" s="45">
        <v>1995</v>
      </c>
      <c r="C490" s="17">
        <v>0</v>
      </c>
      <c r="D490" s="14">
        <v>0.172378</v>
      </c>
      <c r="E490" s="14">
        <v>0.45965349999999999</v>
      </c>
      <c r="F490" s="14">
        <v>5.3371000000000002E-2</v>
      </c>
      <c r="G490" s="14">
        <v>1.96702</v>
      </c>
      <c r="H490" s="14">
        <v>0.76872890000000005</v>
      </c>
      <c r="R490" s="11">
        <f t="shared" si="16"/>
        <v>1.142524792054501E-3</v>
      </c>
      <c r="Z490" s="11">
        <f t="shared" si="15"/>
        <v>1.4539112909678776E-3</v>
      </c>
    </row>
    <row r="491" spans="1:26" x14ac:dyDescent="0.2">
      <c r="A491" s="45">
        <v>93</v>
      </c>
      <c r="B491" s="45">
        <v>1996</v>
      </c>
      <c r="C491" s="17">
        <v>0</v>
      </c>
      <c r="D491" s="14">
        <v>2.9645500000000002E-2</v>
      </c>
      <c r="E491" s="14">
        <v>0.35654400000000003</v>
      </c>
      <c r="F491" s="14">
        <v>6.5884899999999996E-2</v>
      </c>
      <c r="G491" s="14">
        <v>0.38149359999999999</v>
      </c>
      <c r="H491" s="14">
        <v>0.97301199999999999</v>
      </c>
      <c r="R491" s="11">
        <f t="shared" si="16"/>
        <v>1.4819777921474884E-2</v>
      </c>
      <c r="Z491" s="11">
        <f t="shared" si="15"/>
        <v>1.9571898144226593E-2</v>
      </c>
    </row>
    <row r="492" spans="1:26" x14ac:dyDescent="0.2">
      <c r="A492" s="45">
        <v>93</v>
      </c>
      <c r="B492" s="45">
        <v>1997</v>
      </c>
      <c r="C492" s="17">
        <v>1</v>
      </c>
      <c r="D492" s="14">
        <v>4.3173700000000002E-2</v>
      </c>
      <c r="E492" s="14">
        <v>0.2086286</v>
      </c>
      <c r="F492" s="14">
        <v>3.4858899999999998E-2</v>
      </c>
      <c r="G492" s="14">
        <v>9.0540099999999998E-2</v>
      </c>
      <c r="H492" s="14">
        <v>1.016006</v>
      </c>
      <c r="R492" s="11">
        <f t="shared" si="16"/>
        <v>3.6616617499095803E-2</v>
      </c>
      <c r="Z492" s="11">
        <f t="shared" si="15"/>
        <v>4.6927968325856259E-2</v>
      </c>
    </row>
    <row r="493" spans="1:26" x14ac:dyDescent="0.2">
      <c r="A493" s="45">
        <v>94</v>
      </c>
      <c r="B493" s="45">
        <v>1999</v>
      </c>
      <c r="C493" s="17">
        <v>0</v>
      </c>
      <c r="D493" s="14">
        <v>0.1750785</v>
      </c>
      <c r="E493" s="14">
        <v>0.38961990000000002</v>
      </c>
      <c r="F493" s="14">
        <v>5.0903999999999998E-2</v>
      </c>
      <c r="G493" s="14">
        <v>1.0082139999999999</v>
      </c>
      <c r="H493" s="14">
        <v>0.28486349999999999</v>
      </c>
      <c r="R493" s="11">
        <f t="shared" si="16"/>
        <v>5.9177720762640523E-3</v>
      </c>
      <c r="Z493" s="11">
        <f t="shared" si="15"/>
        <v>7.6464360903331953E-3</v>
      </c>
    </row>
    <row r="494" spans="1:26" x14ac:dyDescent="0.2">
      <c r="A494" s="45">
        <v>94</v>
      </c>
      <c r="B494" s="45">
        <v>2000</v>
      </c>
      <c r="C494" s="17">
        <v>0</v>
      </c>
      <c r="D494" s="14">
        <v>0.20037840000000001</v>
      </c>
      <c r="E494" s="14">
        <v>0.3170095</v>
      </c>
      <c r="F494" s="14">
        <v>5.2392800000000003E-2</v>
      </c>
      <c r="G494" s="14">
        <v>0.65649440000000003</v>
      </c>
      <c r="H494" s="14">
        <v>0.2906377</v>
      </c>
      <c r="R494" s="11">
        <f t="shared" si="16"/>
        <v>1.1321187501033647E-2</v>
      </c>
      <c r="Z494" s="11">
        <f t="shared" si="15"/>
        <v>1.4698582093216462E-2</v>
      </c>
    </row>
    <row r="495" spans="1:26" x14ac:dyDescent="0.2">
      <c r="A495" s="45">
        <v>94</v>
      </c>
      <c r="B495" s="45">
        <v>2001</v>
      </c>
      <c r="C495" s="17">
        <v>0</v>
      </c>
      <c r="D495" s="14">
        <v>0.20451259999999999</v>
      </c>
      <c r="E495" s="14">
        <v>0.36942839999999999</v>
      </c>
      <c r="F495" s="14">
        <v>1.7382000000000002E-2</v>
      </c>
      <c r="G495" s="14">
        <v>0.96325099999999997</v>
      </c>
      <c r="H495" s="14">
        <v>0.25611060000000002</v>
      </c>
      <c r="R495" s="11">
        <f t="shared" si="16"/>
        <v>8.537577192951595E-3</v>
      </c>
      <c r="Z495" s="11">
        <f t="shared" si="15"/>
        <v>1.0730638758783157E-2</v>
      </c>
    </row>
    <row r="496" spans="1:26" x14ac:dyDescent="0.2">
      <c r="A496" s="45">
        <v>94</v>
      </c>
      <c r="B496" s="45">
        <v>2002</v>
      </c>
      <c r="C496" s="17">
        <v>0</v>
      </c>
      <c r="D496" s="14">
        <v>0.22077749999999999</v>
      </c>
      <c r="E496" s="14">
        <v>0.32398139999999997</v>
      </c>
      <c r="F496" s="14">
        <v>3.60568E-2</v>
      </c>
      <c r="G496" s="14">
        <v>0.80291080000000004</v>
      </c>
      <c r="H496" s="14">
        <v>0.29562260000000001</v>
      </c>
      <c r="R496" s="11">
        <f t="shared" si="16"/>
        <v>1.0125847263144626E-2</v>
      </c>
      <c r="Z496" s="11">
        <f t="shared" si="15"/>
        <v>1.2940537520822196E-2</v>
      </c>
    </row>
    <row r="497" spans="1:26" x14ac:dyDescent="0.2">
      <c r="A497" s="45">
        <v>94</v>
      </c>
      <c r="B497" s="45">
        <v>2003</v>
      </c>
      <c r="C497" s="17">
        <v>0</v>
      </c>
      <c r="D497" s="14">
        <v>0.20716380000000001</v>
      </c>
      <c r="E497" s="14">
        <v>0.3397599</v>
      </c>
      <c r="F497" s="14">
        <v>3.8941400000000001E-2</v>
      </c>
      <c r="G497" s="14">
        <v>1.306189</v>
      </c>
      <c r="H497" s="14">
        <v>0.32955109999999999</v>
      </c>
      <c r="R497" s="11">
        <f t="shared" si="16"/>
        <v>4.3616915128105015E-3</v>
      </c>
      <c r="Z497" s="11">
        <f t="shared" si="15"/>
        <v>5.5379334300323614E-3</v>
      </c>
    </row>
    <row r="498" spans="1:26" x14ac:dyDescent="0.2">
      <c r="A498" s="45">
        <v>94</v>
      </c>
      <c r="B498" s="45">
        <v>2004</v>
      </c>
      <c r="C498" s="17">
        <v>0</v>
      </c>
      <c r="D498" s="14">
        <v>0.2186004</v>
      </c>
      <c r="E498" s="14">
        <v>0.33965810000000002</v>
      </c>
      <c r="F498" s="14">
        <v>3.9348000000000001E-2</v>
      </c>
      <c r="G498" s="14">
        <v>1.84459</v>
      </c>
      <c r="H498" s="14">
        <v>0.3426188</v>
      </c>
      <c r="R498" s="11">
        <f t="shared" si="16"/>
        <v>1.8483327528386949E-3</v>
      </c>
      <c r="Z498" s="11">
        <f t="shared" si="15"/>
        <v>2.3215310093547097E-3</v>
      </c>
    </row>
    <row r="499" spans="1:26" x14ac:dyDescent="0.2">
      <c r="A499" s="45">
        <v>95</v>
      </c>
      <c r="B499" s="45">
        <v>1995</v>
      </c>
      <c r="C499" s="17">
        <v>0</v>
      </c>
      <c r="D499" s="14">
        <v>0.41006860000000001</v>
      </c>
      <c r="E499" s="14">
        <v>0.68542000000000003</v>
      </c>
      <c r="F499" s="14">
        <v>4.0095800000000001E-2</v>
      </c>
      <c r="G499" s="14">
        <v>2.144336</v>
      </c>
      <c r="H499" s="14">
        <v>0.27576610000000001</v>
      </c>
      <c r="R499" s="11">
        <f t="shared" si="16"/>
        <v>6.9007404169878531E-4</v>
      </c>
      <c r="Z499" s="11">
        <f t="shared" si="15"/>
        <v>8.7209415283433483E-4</v>
      </c>
    </row>
    <row r="500" spans="1:26" x14ac:dyDescent="0.2">
      <c r="A500" s="45">
        <v>95</v>
      </c>
      <c r="B500" s="45">
        <v>1996</v>
      </c>
      <c r="C500" s="17">
        <v>0</v>
      </c>
      <c r="D500" s="14">
        <v>0.39650999999999997</v>
      </c>
      <c r="E500" s="14">
        <v>0.68807240000000003</v>
      </c>
      <c r="F500" s="14">
        <v>5.2547299999999998E-2</v>
      </c>
      <c r="G500" s="14">
        <v>1.970215</v>
      </c>
      <c r="H500" s="14">
        <v>0.28429589999999999</v>
      </c>
      <c r="R500" s="11">
        <f t="shared" si="16"/>
        <v>8.2113622475256593E-4</v>
      </c>
      <c r="Z500" s="11">
        <f t="shared" si="15"/>
        <v>1.0524435373352205E-3</v>
      </c>
    </row>
    <row r="501" spans="1:26" x14ac:dyDescent="0.2">
      <c r="A501" s="45">
        <v>95</v>
      </c>
      <c r="B501" s="45">
        <v>1997</v>
      </c>
      <c r="C501" s="17">
        <v>0</v>
      </c>
      <c r="D501" s="14">
        <v>0.28294130000000001</v>
      </c>
      <c r="E501" s="14">
        <v>0.68697759999999997</v>
      </c>
      <c r="F501" s="14">
        <v>5.7850199999999997E-2</v>
      </c>
      <c r="G501" s="14">
        <v>2.7603689999999999</v>
      </c>
      <c r="H501" s="14">
        <v>0.32171889999999997</v>
      </c>
      <c r="R501" s="11">
        <f t="shared" si="16"/>
        <v>2.2391698109488131E-4</v>
      </c>
      <c r="Z501" s="11">
        <f t="shared" si="15"/>
        <v>2.8330878047497861E-4</v>
      </c>
    </row>
    <row r="502" spans="1:26" x14ac:dyDescent="0.2">
      <c r="A502" s="45">
        <v>95</v>
      </c>
      <c r="B502" s="45">
        <v>1998</v>
      </c>
      <c r="C502" s="17">
        <v>0</v>
      </c>
      <c r="D502" s="14">
        <v>0.28669620000000001</v>
      </c>
      <c r="E502" s="14">
        <v>0.60933320000000002</v>
      </c>
      <c r="F502" s="14">
        <v>2.99752E-2</v>
      </c>
      <c r="G502" s="14">
        <v>1.610633</v>
      </c>
      <c r="H502" s="14">
        <v>0.27317219999999998</v>
      </c>
      <c r="R502" s="11">
        <f t="shared" si="16"/>
        <v>1.9539854455232321E-3</v>
      </c>
      <c r="Z502" s="11">
        <f t="shared" si="15"/>
        <v>2.4706542010230923E-3</v>
      </c>
    </row>
    <row r="503" spans="1:26" x14ac:dyDescent="0.2">
      <c r="A503" s="45">
        <v>95</v>
      </c>
      <c r="B503" s="45">
        <v>1999</v>
      </c>
      <c r="C503" s="17">
        <v>0</v>
      </c>
      <c r="D503" s="14">
        <v>0.31839790000000001</v>
      </c>
      <c r="E503" s="14">
        <v>0.59143089999999998</v>
      </c>
      <c r="F503" s="14">
        <v>4.75837E-2</v>
      </c>
      <c r="G503" s="14">
        <v>1.375942</v>
      </c>
      <c r="H503" s="14">
        <v>0.30820350000000002</v>
      </c>
      <c r="R503" s="11">
        <f t="shared" si="16"/>
        <v>2.5306450808296379E-3</v>
      </c>
      <c r="Z503" s="11">
        <f t="shared" si="15"/>
        <v>3.2604338279151835E-3</v>
      </c>
    </row>
    <row r="504" spans="1:26" x14ac:dyDescent="0.2">
      <c r="A504" s="45">
        <v>95</v>
      </c>
      <c r="B504" s="45">
        <v>2000</v>
      </c>
      <c r="C504" s="17">
        <v>0</v>
      </c>
      <c r="D504" s="14">
        <v>0.36133710000000002</v>
      </c>
      <c r="E504" s="14">
        <v>0.56338440000000001</v>
      </c>
      <c r="F504" s="14">
        <v>5.3625199999999998E-2</v>
      </c>
      <c r="G504" s="14">
        <v>1.5040450000000001</v>
      </c>
      <c r="H504" s="14">
        <v>0.35594540000000002</v>
      </c>
      <c r="R504" s="11">
        <f t="shared" si="16"/>
        <v>2.0488257850646428E-3</v>
      </c>
      <c r="Z504" s="11">
        <f t="shared" si="15"/>
        <v>2.6431171600117404E-3</v>
      </c>
    </row>
    <row r="505" spans="1:26" x14ac:dyDescent="0.2">
      <c r="A505" s="45">
        <v>95</v>
      </c>
      <c r="B505" s="45">
        <v>2001</v>
      </c>
      <c r="C505" s="17">
        <v>0</v>
      </c>
      <c r="D505" s="14">
        <v>0.34661039999999999</v>
      </c>
      <c r="E505" s="14">
        <v>0.56445599999999996</v>
      </c>
      <c r="F505" s="14">
        <v>-5.6334999999999996E-3</v>
      </c>
      <c r="G505" s="14">
        <v>1.174382</v>
      </c>
      <c r="H505" s="14">
        <v>0.25221120000000002</v>
      </c>
      <c r="R505" s="11">
        <f t="shared" si="16"/>
        <v>5.5376460997579756E-3</v>
      </c>
      <c r="Z505" s="11">
        <f t="shared" si="15"/>
        <v>6.8500694719540135E-3</v>
      </c>
    </row>
    <row r="506" spans="1:26" x14ac:dyDescent="0.2">
      <c r="A506" s="45">
        <v>96</v>
      </c>
      <c r="B506" s="45">
        <v>1999</v>
      </c>
      <c r="C506" s="17">
        <v>0</v>
      </c>
      <c r="D506" s="14">
        <v>0.26226709999999998</v>
      </c>
      <c r="E506" s="14">
        <v>-1.8054600000000001E-2</v>
      </c>
      <c r="F506" s="14">
        <v>4.0525199999999997E-2</v>
      </c>
      <c r="G506" s="14">
        <v>0.22205240000000001</v>
      </c>
      <c r="H506" s="14">
        <v>0.2534322</v>
      </c>
      <c r="R506" s="11">
        <f t="shared" si="16"/>
        <v>3.9344883094678373E-2</v>
      </c>
      <c r="Z506" s="11">
        <f t="shared" si="15"/>
        <v>5.0097027194102889E-2</v>
      </c>
    </row>
    <row r="507" spans="1:26" x14ac:dyDescent="0.2">
      <c r="A507" s="45">
        <v>96</v>
      </c>
      <c r="B507" s="45">
        <v>2000</v>
      </c>
      <c r="C507" s="17">
        <v>0</v>
      </c>
      <c r="D507" s="14">
        <v>0.32369520000000002</v>
      </c>
      <c r="E507" s="14">
        <v>-0.44429950000000001</v>
      </c>
      <c r="F507" s="14">
        <v>1.5600299999999999E-2</v>
      </c>
      <c r="G507" s="14">
        <v>8.7162699999999996E-2</v>
      </c>
      <c r="H507" s="14">
        <v>0.35022910000000002</v>
      </c>
      <c r="R507" s="11">
        <f t="shared" si="16"/>
        <v>0.10329430684037751</v>
      </c>
      <c r="Z507" s="11">
        <f t="shared" si="15"/>
        <v>0.12560780305989253</v>
      </c>
    </row>
    <row r="508" spans="1:26" x14ac:dyDescent="0.2">
      <c r="A508" s="45">
        <v>97</v>
      </c>
      <c r="B508" s="45">
        <v>1996</v>
      </c>
      <c r="C508" s="17">
        <v>0</v>
      </c>
      <c r="D508" s="14">
        <v>-1.54103E-2</v>
      </c>
      <c r="E508" s="14">
        <v>8.22798E-2</v>
      </c>
      <c r="F508" s="14">
        <v>5.1805799999999999E-2</v>
      </c>
      <c r="G508" s="14">
        <v>0.98100229999999999</v>
      </c>
      <c r="H508" s="14">
        <v>0.14244860000000001</v>
      </c>
      <c r="R508" s="11">
        <f t="shared" si="16"/>
        <v>9.5574568932100656E-3</v>
      </c>
      <c r="Z508" s="11">
        <f t="shared" si="15"/>
        <v>1.2224586873958623E-2</v>
      </c>
    </row>
    <row r="509" spans="1:26" x14ac:dyDescent="0.2">
      <c r="A509" s="45">
        <v>97</v>
      </c>
      <c r="B509" s="45">
        <v>1997</v>
      </c>
      <c r="C509" s="17">
        <v>0</v>
      </c>
      <c r="D509" s="14">
        <v>-1.0821300000000001E-2</v>
      </c>
      <c r="E509" s="14">
        <v>0.1295145</v>
      </c>
      <c r="F509" s="14">
        <v>4.1383400000000001E-2</v>
      </c>
      <c r="G509" s="14">
        <v>1.0259149999999999</v>
      </c>
      <c r="H509" s="14">
        <v>0.1202348</v>
      </c>
      <c r="R509" s="11">
        <f t="shared" si="16"/>
        <v>9.0337435831476937E-3</v>
      </c>
      <c r="Z509" s="11">
        <f t="shared" si="15"/>
        <v>1.1466386544386154E-2</v>
      </c>
    </row>
    <row r="510" spans="1:26" x14ac:dyDescent="0.2">
      <c r="A510" s="45">
        <v>97</v>
      </c>
      <c r="B510" s="45">
        <v>1998</v>
      </c>
      <c r="C510" s="17">
        <v>0</v>
      </c>
      <c r="D510" s="14">
        <v>-2.0054499999999999E-2</v>
      </c>
      <c r="E510" s="14">
        <v>0.1584981</v>
      </c>
      <c r="F510" s="14">
        <v>6.7872100000000005E-2</v>
      </c>
      <c r="G510" s="14">
        <v>1.1171960000000001</v>
      </c>
      <c r="H510" s="14">
        <v>0.14444760000000001</v>
      </c>
      <c r="R510" s="11">
        <f t="shared" si="16"/>
        <v>6.0766535655373691E-3</v>
      </c>
      <c r="Z510" s="11">
        <f t="shared" si="15"/>
        <v>7.8793521101156276E-3</v>
      </c>
    </row>
    <row r="511" spans="1:26" x14ac:dyDescent="0.2">
      <c r="A511" s="45">
        <v>97</v>
      </c>
      <c r="B511" s="45">
        <v>1999</v>
      </c>
      <c r="C511" s="17">
        <v>0</v>
      </c>
      <c r="D511" s="14">
        <v>-1.5798E-2</v>
      </c>
      <c r="E511" s="14">
        <v>0.1969841</v>
      </c>
      <c r="F511" s="14">
        <v>6.0072199999999999E-2</v>
      </c>
      <c r="G511" s="14">
        <v>0.74392899999999995</v>
      </c>
      <c r="H511" s="14">
        <v>0.13828090000000001</v>
      </c>
      <c r="R511" s="11">
        <f t="shared" si="16"/>
        <v>1.103117571789128E-2</v>
      </c>
      <c r="Z511" s="11">
        <f t="shared" si="15"/>
        <v>1.4326911361430729E-2</v>
      </c>
    </row>
    <row r="512" spans="1:26" x14ac:dyDescent="0.2">
      <c r="A512" s="45">
        <v>97</v>
      </c>
      <c r="B512" s="45">
        <v>2000</v>
      </c>
      <c r="C512" s="17">
        <v>0</v>
      </c>
      <c r="D512" s="14">
        <v>-1.03362E-2</v>
      </c>
      <c r="E512" s="14">
        <v>0.2077146</v>
      </c>
      <c r="F512" s="14">
        <v>5.5138899999999998E-2</v>
      </c>
      <c r="G512" s="14">
        <v>0.70026029999999995</v>
      </c>
      <c r="H512" s="14">
        <v>0.12964890000000001</v>
      </c>
      <c r="R512" s="11">
        <f t="shared" si="16"/>
        <v>1.2098663854327224E-2</v>
      </c>
      <c r="Z512" s="11">
        <f t="shared" si="15"/>
        <v>1.566634928859818E-2</v>
      </c>
    </row>
    <row r="513" spans="1:26" x14ac:dyDescent="0.2">
      <c r="A513" s="45">
        <v>97</v>
      </c>
      <c r="B513" s="45">
        <v>2001</v>
      </c>
      <c r="C513" s="17">
        <v>0</v>
      </c>
      <c r="D513" s="14">
        <v>-1.5941500000000001E-2</v>
      </c>
      <c r="E513" s="14">
        <v>0.21948329999999999</v>
      </c>
      <c r="F513" s="14">
        <v>4.1434100000000001E-2</v>
      </c>
      <c r="G513" s="14">
        <v>0.67511810000000005</v>
      </c>
      <c r="H513" s="14">
        <v>0.113374</v>
      </c>
      <c r="R513" s="11">
        <f t="shared" si="16"/>
        <v>1.3790242820361799E-2</v>
      </c>
      <c r="Z513" s="11">
        <f t="shared" si="15"/>
        <v>1.7668480238942429E-2</v>
      </c>
    </row>
    <row r="514" spans="1:26" x14ac:dyDescent="0.2">
      <c r="A514" s="45">
        <v>97</v>
      </c>
      <c r="B514" s="45">
        <v>2002</v>
      </c>
      <c r="C514" s="17">
        <v>0</v>
      </c>
      <c r="D514" s="14">
        <v>-2.1429699999999999E-2</v>
      </c>
      <c r="E514" s="14">
        <v>0.23927789999999999</v>
      </c>
      <c r="F514" s="14">
        <v>5.3120500000000001E-2</v>
      </c>
      <c r="G514" s="14">
        <v>0.58233109999999999</v>
      </c>
      <c r="H514" s="14">
        <v>0.11835850000000001</v>
      </c>
      <c r="R514" s="11">
        <f t="shared" si="16"/>
        <v>1.414281322387498E-2</v>
      </c>
      <c r="Z514" s="11">
        <f t="shared" ref="Z514:Z577" si="17">1/(1+EXP(-(U$2+$V$2*E514+$W$2*F514+$X$2*G514)))</f>
        <v>1.833852266979687E-2</v>
      </c>
    </row>
    <row r="515" spans="1:26" x14ac:dyDescent="0.2">
      <c r="A515" s="45">
        <v>97</v>
      </c>
      <c r="B515" s="45">
        <v>2003</v>
      </c>
      <c r="C515" s="17">
        <v>0</v>
      </c>
      <c r="D515" s="14">
        <v>-3.3267699999999997E-2</v>
      </c>
      <c r="E515" s="14">
        <v>0.26230769999999998</v>
      </c>
      <c r="F515" s="14">
        <v>5.8218399999999997E-2</v>
      </c>
      <c r="G515" s="14">
        <v>0.68298979999999998</v>
      </c>
      <c r="H515" s="14">
        <v>0.1258986</v>
      </c>
      <c r="R515" s="11">
        <f t="shared" si="16"/>
        <v>1.1217733931031718E-2</v>
      </c>
      <c r="Z515" s="11">
        <f t="shared" si="17"/>
        <v>1.4598009863468755E-2</v>
      </c>
    </row>
    <row r="516" spans="1:26" x14ac:dyDescent="0.2">
      <c r="A516" s="45">
        <v>97</v>
      </c>
      <c r="B516" s="45">
        <v>2004</v>
      </c>
      <c r="C516" s="17">
        <v>0</v>
      </c>
      <c r="D516" s="14">
        <v>6.7133000000000002E-3</v>
      </c>
      <c r="E516" s="14">
        <v>0.25180130000000001</v>
      </c>
      <c r="F516" s="14">
        <v>5.5992599999999997E-2</v>
      </c>
      <c r="G516" s="14">
        <v>0.93210040000000005</v>
      </c>
      <c r="H516" s="14">
        <v>0.12850300000000001</v>
      </c>
      <c r="R516" s="11">
        <f t="shared" si="16"/>
        <v>7.8226490708776537E-3</v>
      </c>
      <c r="Z516" s="11">
        <f t="shared" si="17"/>
        <v>1.0113339167411384E-2</v>
      </c>
    </row>
    <row r="517" spans="1:26" x14ac:dyDescent="0.2">
      <c r="A517" s="45">
        <v>98</v>
      </c>
      <c r="B517" s="45">
        <v>1999</v>
      </c>
      <c r="C517" s="17">
        <v>0</v>
      </c>
      <c r="D517" s="14">
        <v>0.34895379999999998</v>
      </c>
      <c r="E517" s="14">
        <v>0.14743039999999999</v>
      </c>
      <c r="F517" s="14">
        <v>8.2982100000000003E-2</v>
      </c>
      <c r="G517" s="14">
        <v>2.6811720000000001</v>
      </c>
      <c r="H517" s="14">
        <v>0.45960129999999999</v>
      </c>
      <c r="R517" s="11">
        <f t="shared" si="16"/>
        <v>4.551982740826269E-4</v>
      </c>
      <c r="Z517" s="11">
        <f t="shared" si="17"/>
        <v>5.7812059280217248E-4</v>
      </c>
    </row>
    <row r="518" spans="1:26" x14ac:dyDescent="0.2">
      <c r="A518" s="45">
        <v>98</v>
      </c>
      <c r="B518" s="45">
        <v>2000</v>
      </c>
      <c r="C518" s="17">
        <v>0</v>
      </c>
      <c r="D518" s="14">
        <v>0.2581774</v>
      </c>
      <c r="E518" s="14">
        <v>0.176894</v>
      </c>
      <c r="F518" s="14">
        <v>7.7107999999999996E-2</v>
      </c>
      <c r="G518" s="14">
        <v>2.0799620000000001</v>
      </c>
      <c r="H518" s="14">
        <v>0.41053580000000001</v>
      </c>
      <c r="R518" s="11">
        <f t="shared" si="16"/>
        <v>1.1906187774911963E-3</v>
      </c>
      <c r="Z518" s="11">
        <f t="shared" si="17"/>
        <v>1.5261433979751845E-3</v>
      </c>
    </row>
    <row r="519" spans="1:26" x14ac:dyDescent="0.2">
      <c r="A519" s="45">
        <v>98</v>
      </c>
      <c r="B519" s="45">
        <v>2001</v>
      </c>
      <c r="C519" s="17">
        <v>0</v>
      </c>
      <c r="D519" s="14">
        <v>0.3277716</v>
      </c>
      <c r="E519" s="14">
        <v>9.3226100000000006E-2</v>
      </c>
      <c r="F519" s="14">
        <v>3.7770600000000001E-2</v>
      </c>
      <c r="G519" s="14">
        <v>0.77938980000000002</v>
      </c>
      <c r="H519" s="14">
        <v>0.32861050000000003</v>
      </c>
      <c r="R519" s="11">
        <f t="shared" si="16"/>
        <v>1.4440262713818619E-2</v>
      </c>
      <c r="Z519" s="11">
        <f t="shared" si="17"/>
        <v>1.8323903326761998E-2</v>
      </c>
    </row>
    <row r="520" spans="1:26" x14ac:dyDescent="0.2">
      <c r="A520" s="45">
        <v>98</v>
      </c>
      <c r="B520" s="45">
        <v>2002</v>
      </c>
      <c r="C520" s="17">
        <v>0</v>
      </c>
      <c r="D520" s="14">
        <v>0.25932640000000001</v>
      </c>
      <c r="E520" s="14">
        <v>-9.8641599999999996E-2</v>
      </c>
      <c r="F520" s="14">
        <v>6.4026899999999998E-2</v>
      </c>
      <c r="G520" s="14">
        <v>0.43745659999999997</v>
      </c>
      <c r="H520" s="14">
        <v>0.32948959999999999</v>
      </c>
      <c r="R520" s="11">
        <f t="shared" si="16"/>
        <v>2.6356436920837303E-2</v>
      </c>
      <c r="Z520" s="11">
        <f t="shared" si="17"/>
        <v>3.4068398820701083E-2</v>
      </c>
    </row>
    <row r="521" spans="1:26" x14ac:dyDescent="0.2">
      <c r="A521" s="45">
        <v>98</v>
      </c>
      <c r="B521" s="45">
        <v>2003</v>
      </c>
      <c r="C521" s="17">
        <v>0</v>
      </c>
      <c r="D521" s="14">
        <v>0.2143562</v>
      </c>
      <c r="E521" s="14">
        <v>-0.19132250000000001</v>
      </c>
      <c r="F521" s="14">
        <v>-3.2952200000000001E-2</v>
      </c>
      <c r="G521" s="14">
        <v>1.847629</v>
      </c>
      <c r="H521" s="14">
        <v>0.41461290000000001</v>
      </c>
      <c r="R521" s="11">
        <f t="shared" si="16"/>
        <v>7.0610613820671223E-3</v>
      </c>
      <c r="Z521" s="11">
        <f t="shared" si="17"/>
        <v>8.2016205607852877E-3</v>
      </c>
    </row>
    <row r="522" spans="1:26" x14ac:dyDescent="0.2">
      <c r="A522" s="45">
        <v>98</v>
      </c>
      <c r="B522" s="45">
        <v>2004</v>
      </c>
      <c r="C522" s="17">
        <v>0</v>
      </c>
      <c r="D522" s="14">
        <v>0.26066549999999999</v>
      </c>
      <c r="E522" s="14">
        <v>-0.25067660000000003</v>
      </c>
      <c r="F522" s="14">
        <v>3.2603699999999999E-2</v>
      </c>
      <c r="G522" s="14">
        <v>1.219206</v>
      </c>
      <c r="H522" s="14">
        <v>0.4341238</v>
      </c>
      <c r="R522" s="11">
        <f t="shared" si="16"/>
        <v>1.2337398128201605E-2</v>
      </c>
      <c r="Z522" s="11">
        <f t="shared" si="17"/>
        <v>1.5272969156730154E-2</v>
      </c>
    </row>
    <row r="523" spans="1:26" x14ac:dyDescent="0.2">
      <c r="A523" s="45">
        <v>99</v>
      </c>
      <c r="B523" s="45">
        <v>1995</v>
      </c>
      <c r="C523" s="17">
        <v>0</v>
      </c>
      <c r="D523" s="14">
        <v>2.9438499999999999E-2</v>
      </c>
      <c r="E523" s="14">
        <v>-0.1205022</v>
      </c>
      <c r="F523" s="14">
        <v>4.49161E-2</v>
      </c>
      <c r="G523" s="14">
        <v>0.20011899999999999</v>
      </c>
      <c r="H523" s="14">
        <v>0.28405979999999997</v>
      </c>
      <c r="R523" s="11">
        <f t="shared" si="16"/>
        <v>4.5370606261865086E-2</v>
      </c>
      <c r="Z523" s="11">
        <f t="shared" si="17"/>
        <v>5.7701622145961584E-2</v>
      </c>
    </row>
    <row r="524" spans="1:26" x14ac:dyDescent="0.2">
      <c r="A524" s="45">
        <v>99</v>
      </c>
      <c r="B524" s="45">
        <v>1996</v>
      </c>
      <c r="C524" s="17">
        <v>0</v>
      </c>
      <c r="D524" s="14">
        <v>0.117676</v>
      </c>
      <c r="E524" s="14">
        <v>-0.14446519999999999</v>
      </c>
      <c r="F524" s="14">
        <v>5.3694899999999997E-2</v>
      </c>
      <c r="G524" s="14">
        <v>0.26385059999999999</v>
      </c>
      <c r="H524" s="14">
        <v>0.2797866</v>
      </c>
      <c r="R524" s="11">
        <f t="shared" si="16"/>
        <v>3.9795192288219837E-2</v>
      </c>
      <c r="Z524" s="11">
        <f t="shared" si="17"/>
        <v>5.0931117958316195E-2</v>
      </c>
    </row>
    <row r="525" spans="1:26" x14ac:dyDescent="0.2">
      <c r="A525" s="45">
        <v>99</v>
      </c>
      <c r="B525" s="45">
        <v>1997</v>
      </c>
      <c r="C525" s="17">
        <v>0</v>
      </c>
      <c r="D525" s="14">
        <v>9.0322700000000006E-2</v>
      </c>
      <c r="E525" s="14">
        <v>-0.36406349999999998</v>
      </c>
      <c r="F525" s="14">
        <v>6.7310499999999995E-2</v>
      </c>
      <c r="G525" s="14">
        <v>0.81001339999999999</v>
      </c>
      <c r="H525" s="14">
        <v>0.36251369999999999</v>
      </c>
      <c r="R525" s="11">
        <f t="shared" si="16"/>
        <v>2.0971961531165366E-2</v>
      </c>
      <c r="Z525" s="11">
        <f t="shared" si="17"/>
        <v>2.6769070851492993E-2</v>
      </c>
    </row>
    <row r="526" spans="1:26" x14ac:dyDescent="0.2">
      <c r="A526" s="45">
        <v>99</v>
      </c>
      <c r="B526" s="45">
        <v>1998</v>
      </c>
      <c r="C526" s="17">
        <v>0</v>
      </c>
      <c r="D526" s="14">
        <v>7.2840199999999994E-2</v>
      </c>
      <c r="E526" s="14">
        <v>-0.32417600000000002</v>
      </c>
      <c r="F526" s="14">
        <v>7.6975600000000005E-2</v>
      </c>
      <c r="G526" s="14">
        <v>2.1917930000000001</v>
      </c>
      <c r="H526" s="14">
        <v>0.40092139999999998</v>
      </c>
      <c r="R526" s="11">
        <f t="shared" si="16"/>
        <v>2.0647508481555074E-3</v>
      </c>
      <c r="Z526" s="11">
        <f t="shared" si="17"/>
        <v>2.5943589067131917E-3</v>
      </c>
    </row>
    <row r="527" spans="1:26" x14ac:dyDescent="0.2">
      <c r="A527" s="45">
        <v>99</v>
      </c>
      <c r="B527" s="45">
        <v>1999</v>
      </c>
      <c r="C527" s="17">
        <v>0</v>
      </c>
      <c r="D527" s="14">
        <v>6.4070600000000005E-2</v>
      </c>
      <c r="E527" s="14">
        <v>-0.2390409</v>
      </c>
      <c r="F527" s="14">
        <v>8.1966999999999998E-2</v>
      </c>
      <c r="G527" s="14">
        <v>2.548594</v>
      </c>
      <c r="H527" s="14">
        <v>0.36178300000000002</v>
      </c>
      <c r="R527" s="11">
        <f t="shared" si="16"/>
        <v>9.9379081565194901E-4</v>
      </c>
      <c r="Z527" s="11">
        <f t="shared" si="17"/>
        <v>1.2479847204829747E-3</v>
      </c>
    </row>
    <row r="528" spans="1:26" x14ac:dyDescent="0.2">
      <c r="A528" s="45">
        <v>99</v>
      </c>
      <c r="B528" s="45">
        <v>2000</v>
      </c>
      <c r="C528" s="17">
        <v>0</v>
      </c>
      <c r="D528" s="14">
        <v>1.09268E-2</v>
      </c>
      <c r="E528" s="14">
        <v>-0.2080167</v>
      </c>
      <c r="F528" s="14">
        <v>6.0987199999999998E-2</v>
      </c>
      <c r="G528" s="14">
        <v>1.3201940000000001</v>
      </c>
      <c r="H528" s="14">
        <v>0.36061009999999999</v>
      </c>
      <c r="R528" s="11">
        <f t="shared" si="16"/>
        <v>7.9019720329037077E-3</v>
      </c>
      <c r="Z528" s="11">
        <f t="shared" si="17"/>
        <v>1.0013280616124233E-2</v>
      </c>
    </row>
    <row r="529" spans="1:26" x14ac:dyDescent="0.2">
      <c r="A529" s="45">
        <v>99</v>
      </c>
      <c r="B529" s="45">
        <v>2001</v>
      </c>
      <c r="C529" s="17">
        <v>0</v>
      </c>
      <c r="D529" s="14">
        <v>7.6895000000000002E-3</v>
      </c>
      <c r="E529" s="14">
        <v>-0.23767260000000001</v>
      </c>
      <c r="F529" s="14">
        <v>2.13847E-2</v>
      </c>
      <c r="G529" s="14">
        <v>1.105961</v>
      </c>
      <c r="H529" s="14">
        <v>0.2910837</v>
      </c>
      <c r="R529" s="11">
        <f t="shared" si="16"/>
        <v>1.5806425648449352E-2</v>
      </c>
      <c r="Z529" s="11">
        <f t="shared" si="17"/>
        <v>1.9431507356034529E-2</v>
      </c>
    </row>
    <row r="530" spans="1:26" x14ac:dyDescent="0.2">
      <c r="A530" s="45">
        <v>99</v>
      </c>
      <c r="B530" s="45">
        <v>2002</v>
      </c>
      <c r="C530" s="17">
        <v>0</v>
      </c>
      <c r="D530" s="14">
        <v>-1.49126E-2</v>
      </c>
      <c r="E530" s="14">
        <v>-0.55121109999999995</v>
      </c>
      <c r="F530" s="14">
        <v>5.3376899999999998E-2</v>
      </c>
      <c r="G530" s="14">
        <v>0.81683600000000001</v>
      </c>
      <c r="H530" s="14">
        <v>0.34311730000000001</v>
      </c>
      <c r="R530" s="11">
        <f t="shared" si="16"/>
        <v>3.0158256116295874E-2</v>
      </c>
      <c r="Z530" s="11">
        <f t="shared" si="17"/>
        <v>3.7736488318099067E-2</v>
      </c>
    </row>
    <row r="531" spans="1:26" x14ac:dyDescent="0.2">
      <c r="A531" s="45">
        <v>99</v>
      </c>
      <c r="B531" s="45">
        <v>2003</v>
      </c>
      <c r="C531" s="17">
        <v>0</v>
      </c>
      <c r="D531" s="14">
        <v>6.6430500000000003E-2</v>
      </c>
      <c r="E531" s="14">
        <v>-0.40847129999999998</v>
      </c>
      <c r="F531" s="14">
        <v>5.3925000000000001E-2</v>
      </c>
      <c r="G531" s="14">
        <v>1.230386</v>
      </c>
      <c r="H531" s="14">
        <v>0.32248670000000002</v>
      </c>
      <c r="R531" s="11">
        <f t="shared" si="16"/>
        <v>1.2847998715250587E-2</v>
      </c>
      <c r="Z531" s="11">
        <f t="shared" si="17"/>
        <v>1.6089189228691046E-2</v>
      </c>
    </row>
    <row r="532" spans="1:26" x14ac:dyDescent="0.2">
      <c r="A532" s="45">
        <v>99</v>
      </c>
      <c r="B532" s="45">
        <v>2004</v>
      </c>
      <c r="C532" s="17">
        <v>0</v>
      </c>
      <c r="D532" s="14">
        <v>9.63918E-2</v>
      </c>
      <c r="E532" s="14">
        <v>-0.39722030000000003</v>
      </c>
      <c r="F532" s="14">
        <v>4.1813900000000001E-2</v>
      </c>
      <c r="G532" s="14">
        <v>0.84801789999999999</v>
      </c>
      <c r="H532" s="14">
        <v>0.28654289999999999</v>
      </c>
      <c r="R532" s="11">
        <f t="shared" si="16"/>
        <v>2.528883577312659E-2</v>
      </c>
      <c r="Z532" s="11">
        <f t="shared" si="17"/>
        <v>3.1533866123156042E-2</v>
      </c>
    </row>
    <row r="533" spans="1:26" x14ac:dyDescent="0.2">
      <c r="A533" s="45">
        <v>100</v>
      </c>
      <c r="B533" s="45">
        <v>1999</v>
      </c>
      <c r="C533" s="17">
        <v>0</v>
      </c>
      <c r="D533" s="14">
        <v>0.17367640000000001</v>
      </c>
      <c r="E533" s="14">
        <v>0.24301929999999999</v>
      </c>
      <c r="F533" s="14">
        <v>8.4577200000000005E-2</v>
      </c>
      <c r="G533" s="14">
        <v>5.5894500000000003</v>
      </c>
      <c r="H533" s="14">
        <v>0.27193889999999998</v>
      </c>
      <c r="R533" s="11">
        <f t="shared" si="16"/>
        <v>3.7993199110185323E-6</v>
      </c>
      <c r="Z533" s="11">
        <f t="shared" si="17"/>
        <v>4.547299469894389E-6</v>
      </c>
    </row>
    <row r="534" spans="1:26" x14ac:dyDescent="0.2">
      <c r="A534" s="45">
        <v>100</v>
      </c>
      <c r="B534" s="45">
        <v>2000</v>
      </c>
      <c r="C534" s="17">
        <v>0</v>
      </c>
      <c r="D534" s="14">
        <v>0.1411664</v>
      </c>
      <c r="E534" s="14">
        <v>0.22650390000000001</v>
      </c>
      <c r="F534" s="14">
        <v>4.4581799999999998E-2</v>
      </c>
      <c r="G534" s="14">
        <v>3.0657100000000002</v>
      </c>
      <c r="H534" s="14">
        <v>0.23767959999999999</v>
      </c>
      <c r="R534" s="11">
        <f t="shared" si="16"/>
        <v>2.9895218624129697E-4</v>
      </c>
      <c r="Z534" s="11">
        <f t="shared" si="17"/>
        <v>3.6582488827507031E-4</v>
      </c>
    </row>
    <row r="535" spans="1:26" x14ac:dyDescent="0.2">
      <c r="A535" s="45">
        <v>100</v>
      </c>
      <c r="B535" s="45">
        <v>2001</v>
      </c>
      <c r="C535" s="17">
        <v>0</v>
      </c>
      <c r="D535" s="14">
        <v>0.19121630000000001</v>
      </c>
      <c r="E535" s="14">
        <v>0.23533129999999999</v>
      </c>
      <c r="F535" s="14">
        <v>5.82306E-2</v>
      </c>
      <c r="G535" s="14">
        <v>2.3514750000000002</v>
      </c>
      <c r="H535" s="14">
        <v>0.22386229999999999</v>
      </c>
      <c r="R535" s="11">
        <f t="shared" ref="R535:R598" si="18">1/(1+EXP(-(K$2+$M$2*E535+$N$2*F535+$O$2*G535)))</f>
        <v>8.2546330957261398E-4</v>
      </c>
      <c r="Z535" s="11">
        <f t="shared" si="17"/>
        <v>1.0378319325891146E-3</v>
      </c>
    </row>
    <row r="536" spans="1:26" x14ac:dyDescent="0.2">
      <c r="A536" s="45">
        <v>100</v>
      </c>
      <c r="B536" s="45">
        <v>2002</v>
      </c>
      <c r="C536" s="17">
        <v>0</v>
      </c>
      <c r="D536" s="14">
        <v>0.1354245</v>
      </c>
      <c r="E536" s="14">
        <v>0.25584610000000002</v>
      </c>
      <c r="F536" s="14">
        <v>1.9572300000000001E-2</v>
      </c>
      <c r="G536" s="14">
        <v>2.855982</v>
      </c>
      <c r="H536" s="14">
        <v>0.25526880000000002</v>
      </c>
      <c r="R536" s="11">
        <f t="shared" si="18"/>
        <v>4.8867785432384851E-4</v>
      </c>
      <c r="Z536" s="11">
        <f t="shared" si="17"/>
        <v>5.8914065838001168E-4</v>
      </c>
    </row>
    <row r="537" spans="1:26" x14ac:dyDescent="0.2">
      <c r="A537" s="45">
        <v>100</v>
      </c>
      <c r="B537" s="45">
        <v>2003</v>
      </c>
      <c r="C537" s="17">
        <v>0</v>
      </c>
      <c r="D537" s="14">
        <v>2.6060900000000001E-2</v>
      </c>
      <c r="E537" s="14">
        <v>0.28777419999999998</v>
      </c>
      <c r="F537" s="14">
        <v>5.3037899999999999E-2</v>
      </c>
      <c r="G537" s="14">
        <v>3.0221469999999999</v>
      </c>
      <c r="H537" s="14">
        <v>0.25141419999999998</v>
      </c>
      <c r="R537" s="11">
        <f t="shared" si="18"/>
        <v>2.7396524591922393E-4</v>
      </c>
      <c r="Z537" s="11">
        <f t="shared" si="17"/>
        <v>3.3861558380171743E-4</v>
      </c>
    </row>
    <row r="538" spans="1:26" x14ac:dyDescent="0.2">
      <c r="A538" s="45">
        <v>100</v>
      </c>
      <c r="B538" s="45">
        <v>2004</v>
      </c>
      <c r="C538" s="17">
        <v>0</v>
      </c>
      <c r="D538" s="14">
        <v>1.022E-2</v>
      </c>
      <c r="E538" s="14">
        <v>0.31305300000000003</v>
      </c>
      <c r="F538" s="14">
        <v>4.5284999999999999E-2</v>
      </c>
      <c r="G538" s="14">
        <v>3.452213</v>
      </c>
      <c r="H538" s="14">
        <v>0.26087700000000003</v>
      </c>
      <c r="R538" s="11">
        <f t="shared" si="18"/>
        <v>1.4160520939260628E-4</v>
      </c>
      <c r="Z538" s="11">
        <f t="shared" si="17"/>
        <v>1.7242836045017329E-4</v>
      </c>
    </row>
    <row r="539" spans="1:26" x14ac:dyDescent="0.2">
      <c r="A539" s="45">
        <v>101</v>
      </c>
      <c r="B539" s="45">
        <v>1995</v>
      </c>
      <c r="C539" s="17">
        <v>0</v>
      </c>
      <c r="D539" s="14">
        <v>0.61588449999999995</v>
      </c>
      <c r="E539" s="14">
        <v>0.13211980000000001</v>
      </c>
      <c r="F539" s="14">
        <v>4.2569799999999998E-2</v>
      </c>
      <c r="G539" s="14">
        <v>2.3436710000000001</v>
      </c>
      <c r="H539" s="14">
        <v>0.22486980000000001</v>
      </c>
      <c r="R539" s="11">
        <f t="shared" si="18"/>
        <v>1.1004223331980312E-3</v>
      </c>
      <c r="Z539" s="11">
        <f t="shared" si="17"/>
        <v>1.3612274331528712E-3</v>
      </c>
    </row>
    <row r="540" spans="1:26" x14ac:dyDescent="0.2">
      <c r="A540" s="45">
        <v>101</v>
      </c>
      <c r="B540" s="45">
        <v>1996</v>
      </c>
      <c r="C540" s="17">
        <v>0</v>
      </c>
      <c r="D540" s="14">
        <v>0.69148330000000002</v>
      </c>
      <c r="E540" s="14">
        <v>0.1657083</v>
      </c>
      <c r="F540" s="14">
        <v>3.8167399999999997E-2</v>
      </c>
      <c r="G540" s="14">
        <v>1.8522099999999999</v>
      </c>
      <c r="H540" s="14">
        <v>0.2744703</v>
      </c>
      <c r="R540" s="11">
        <f t="shared" si="18"/>
        <v>2.3725984492512539E-3</v>
      </c>
      <c r="Z540" s="11">
        <f t="shared" si="17"/>
        <v>2.9586034202018058E-3</v>
      </c>
    </row>
    <row r="541" spans="1:26" x14ac:dyDescent="0.2">
      <c r="A541" s="45">
        <v>101</v>
      </c>
      <c r="B541" s="45">
        <v>1997</v>
      </c>
      <c r="C541" s="17">
        <v>0</v>
      </c>
      <c r="D541" s="14">
        <v>0.60812600000000006</v>
      </c>
      <c r="E541" s="14">
        <v>0.15109600000000001</v>
      </c>
      <c r="F541" s="14">
        <v>8.6201999999999997E-3</v>
      </c>
      <c r="G541" s="14">
        <v>1.543992</v>
      </c>
      <c r="H541" s="14">
        <v>0.2458835</v>
      </c>
      <c r="R541" s="11">
        <f t="shared" si="18"/>
        <v>5.0033917373523678E-3</v>
      </c>
      <c r="Z541" s="11">
        <f t="shared" si="17"/>
        <v>6.1249711737548377E-3</v>
      </c>
    </row>
    <row r="542" spans="1:26" x14ac:dyDescent="0.2">
      <c r="A542" s="45">
        <v>101</v>
      </c>
      <c r="B542" s="45">
        <v>1998</v>
      </c>
      <c r="C542" s="17">
        <v>0</v>
      </c>
      <c r="D542" s="14">
        <v>0.64158649999999995</v>
      </c>
      <c r="E542" s="14">
        <v>0.1591167</v>
      </c>
      <c r="F542" s="14">
        <v>5.1116799999999997E-2</v>
      </c>
      <c r="G542" s="14">
        <v>1.542171</v>
      </c>
      <c r="H542" s="14">
        <v>0.27887260000000003</v>
      </c>
      <c r="R542" s="11">
        <f t="shared" si="18"/>
        <v>3.535649110871147E-3</v>
      </c>
      <c r="Z542" s="11">
        <f t="shared" si="17"/>
        <v>4.4838416839243535E-3</v>
      </c>
    </row>
    <row r="543" spans="1:26" x14ac:dyDescent="0.2">
      <c r="A543" s="45">
        <v>101</v>
      </c>
      <c r="B543" s="45">
        <v>1999</v>
      </c>
      <c r="C543" s="17">
        <v>0</v>
      </c>
      <c r="D543" s="14">
        <v>0.64255119999999999</v>
      </c>
      <c r="E543" s="14">
        <v>0.1484028</v>
      </c>
      <c r="F543" s="14">
        <v>1.24473E-2</v>
      </c>
      <c r="G543" s="14">
        <v>1.135805</v>
      </c>
      <c r="H543" s="14">
        <v>0.20035720000000001</v>
      </c>
      <c r="R543" s="11">
        <f t="shared" si="18"/>
        <v>9.2959586518149406E-3</v>
      </c>
      <c r="Z543" s="11">
        <f t="shared" si="17"/>
        <v>1.1504831869937478E-2</v>
      </c>
    </row>
    <row r="544" spans="1:26" x14ac:dyDescent="0.2">
      <c r="A544" s="45">
        <v>102</v>
      </c>
      <c r="B544" s="45">
        <v>1999</v>
      </c>
      <c r="C544" s="17">
        <v>0</v>
      </c>
      <c r="D544" s="14">
        <v>8.3733000000000002E-3</v>
      </c>
      <c r="E544" s="14">
        <v>0.45397090000000001</v>
      </c>
      <c r="F544" s="14">
        <v>8.23015E-2</v>
      </c>
      <c r="G544" s="14">
        <v>2.786422</v>
      </c>
      <c r="H544" s="14">
        <v>0.38985029999999998</v>
      </c>
      <c r="R544" s="11">
        <f t="shared" si="18"/>
        <v>2.4787947377437488E-4</v>
      </c>
      <c r="Z544" s="11">
        <f t="shared" si="17"/>
        <v>3.172458629509729E-4</v>
      </c>
    </row>
    <row r="545" spans="1:26" x14ac:dyDescent="0.2">
      <c r="A545" s="45">
        <v>103</v>
      </c>
      <c r="B545" s="45">
        <v>1999</v>
      </c>
      <c r="C545" s="17">
        <v>0</v>
      </c>
      <c r="D545" s="14">
        <v>-1.3674800000000001E-2</v>
      </c>
      <c r="E545" s="14">
        <v>0.21195829999999999</v>
      </c>
      <c r="F545" s="14">
        <v>3.8260299999999997E-2</v>
      </c>
      <c r="G545" s="14">
        <v>0.48161490000000001</v>
      </c>
      <c r="H545" s="14">
        <v>0.1557403</v>
      </c>
      <c r="R545" s="11">
        <f t="shared" si="18"/>
        <v>1.9355881970106535E-2</v>
      </c>
      <c r="Z545" s="11">
        <f t="shared" si="17"/>
        <v>2.4793919608210094E-2</v>
      </c>
    </row>
    <row r="546" spans="1:26" x14ac:dyDescent="0.2">
      <c r="A546" s="45">
        <v>103</v>
      </c>
      <c r="B546" s="45">
        <v>2000</v>
      </c>
      <c r="C546" s="17">
        <v>0</v>
      </c>
      <c r="D546" s="14">
        <v>-2.9778800000000001E-2</v>
      </c>
      <c r="E546" s="14">
        <v>0.24619640000000001</v>
      </c>
      <c r="F546" s="14">
        <v>2.8745E-2</v>
      </c>
      <c r="G546" s="14">
        <v>0.41613800000000001</v>
      </c>
      <c r="H546" s="14">
        <v>0.12170880000000001</v>
      </c>
      <c r="R546" s="11">
        <f t="shared" si="18"/>
        <v>2.1998453131743069E-2</v>
      </c>
      <c r="Z546" s="11">
        <f t="shared" si="17"/>
        <v>2.8016084946848933E-2</v>
      </c>
    </row>
    <row r="547" spans="1:26" x14ac:dyDescent="0.2">
      <c r="A547" s="45">
        <v>103</v>
      </c>
      <c r="B547" s="45">
        <v>2001</v>
      </c>
      <c r="C547" s="17">
        <v>0</v>
      </c>
      <c r="D547" s="14">
        <v>-3.6969200000000001E-2</v>
      </c>
      <c r="E547" s="14">
        <v>0.23205229999999999</v>
      </c>
      <c r="F547" s="14">
        <v>4.3954800000000002E-2</v>
      </c>
      <c r="G547" s="14">
        <v>0.53729459999999996</v>
      </c>
      <c r="H547" s="14">
        <v>0.1350904</v>
      </c>
      <c r="R547" s="11">
        <f t="shared" si="18"/>
        <v>1.6484516238911531E-2</v>
      </c>
      <c r="Z547" s="11">
        <f t="shared" si="17"/>
        <v>2.1218841004734978E-2</v>
      </c>
    </row>
    <row r="548" spans="1:26" x14ac:dyDescent="0.2">
      <c r="A548" s="45">
        <v>103</v>
      </c>
      <c r="B548" s="45">
        <v>2002</v>
      </c>
      <c r="C548" s="17">
        <v>0</v>
      </c>
      <c r="D548" s="14">
        <v>9.7462E-3</v>
      </c>
      <c r="E548" s="14">
        <v>0.2453051</v>
      </c>
      <c r="F548" s="14">
        <v>5.0565699999999998E-2</v>
      </c>
      <c r="G548" s="14">
        <v>0.44033299999999997</v>
      </c>
      <c r="H548" s="14">
        <v>0.13362760000000001</v>
      </c>
      <c r="R548" s="11">
        <f t="shared" si="18"/>
        <v>1.7874478070389752E-2</v>
      </c>
      <c r="Z548" s="11">
        <f t="shared" si="17"/>
        <v>2.3179298825300891E-2</v>
      </c>
    </row>
    <row r="549" spans="1:26" x14ac:dyDescent="0.2">
      <c r="A549" s="45">
        <v>103</v>
      </c>
      <c r="B549" s="45">
        <v>2003</v>
      </c>
      <c r="C549" s="17">
        <v>0</v>
      </c>
      <c r="D549" s="14">
        <v>2.1790400000000001E-2</v>
      </c>
      <c r="E549" s="14">
        <v>0.24101159999999999</v>
      </c>
      <c r="F549" s="14">
        <v>5.9266800000000001E-2</v>
      </c>
      <c r="G549" s="14">
        <v>0.54278099999999996</v>
      </c>
      <c r="H549" s="14">
        <v>0.1247573</v>
      </c>
      <c r="R549" s="11">
        <f t="shared" si="18"/>
        <v>1.4301817862277829E-2</v>
      </c>
      <c r="Z549" s="11">
        <f t="shared" si="17"/>
        <v>1.8652750246630937E-2</v>
      </c>
    </row>
    <row r="550" spans="1:26" x14ac:dyDescent="0.2">
      <c r="A550" s="45">
        <v>103</v>
      </c>
      <c r="B550" s="45">
        <v>2004</v>
      </c>
      <c r="C550" s="17">
        <v>0</v>
      </c>
      <c r="D550" s="14">
        <v>2.83751E-2</v>
      </c>
      <c r="E550" s="14">
        <v>0.23570920000000001</v>
      </c>
      <c r="F550" s="14">
        <v>4.5553200000000002E-2</v>
      </c>
      <c r="G550" s="14">
        <v>0.51397999999999999</v>
      </c>
      <c r="H550" s="14">
        <v>0.12872</v>
      </c>
      <c r="R550" s="11">
        <f t="shared" si="18"/>
        <v>1.679624968939325E-2</v>
      </c>
      <c r="Z550" s="11">
        <f t="shared" si="17"/>
        <v>2.1659396573925214E-2</v>
      </c>
    </row>
    <row r="551" spans="1:26" x14ac:dyDescent="0.2">
      <c r="A551" s="45">
        <v>104</v>
      </c>
      <c r="B551" s="45">
        <v>1998</v>
      </c>
      <c r="C551" s="17">
        <v>0</v>
      </c>
      <c r="D551" s="14">
        <v>0.20299059999999999</v>
      </c>
      <c r="E551" s="14">
        <v>0.1129819</v>
      </c>
      <c r="F551" s="14">
        <v>8.5552400000000001E-2</v>
      </c>
      <c r="G551" s="14">
        <v>0.89237869999999997</v>
      </c>
      <c r="H551" s="14">
        <v>0.14469119999999999</v>
      </c>
      <c r="R551" s="11">
        <f t="shared" si="18"/>
        <v>8.0485463345744742E-3</v>
      </c>
      <c r="Z551" s="11">
        <f t="shared" si="17"/>
        <v>1.0616290167991661E-2</v>
      </c>
    </row>
    <row r="552" spans="1:26" x14ac:dyDescent="0.2">
      <c r="A552" s="45">
        <v>104</v>
      </c>
      <c r="B552" s="45">
        <v>1999</v>
      </c>
      <c r="C552" s="17">
        <v>0</v>
      </c>
      <c r="D552" s="14">
        <v>0.1726405</v>
      </c>
      <c r="E552" s="14">
        <v>0.18050450000000001</v>
      </c>
      <c r="F552" s="14">
        <v>7.3721200000000001E-2</v>
      </c>
      <c r="G552" s="14">
        <v>1.040486</v>
      </c>
      <c r="H552" s="14">
        <v>0.14574190000000001</v>
      </c>
      <c r="R552" s="11">
        <f t="shared" si="18"/>
        <v>6.344852296026402E-3</v>
      </c>
      <c r="Z552" s="11">
        <f t="shared" si="17"/>
        <v>8.285720457118291E-3</v>
      </c>
    </row>
    <row r="553" spans="1:26" x14ac:dyDescent="0.2">
      <c r="A553" s="45">
        <v>104</v>
      </c>
      <c r="B553" s="45">
        <v>2000</v>
      </c>
      <c r="C553" s="17">
        <v>0</v>
      </c>
      <c r="D553" s="14">
        <v>0.16832829999999999</v>
      </c>
      <c r="E553" s="14">
        <v>0.19278200000000001</v>
      </c>
      <c r="F553" s="14">
        <v>7.1943900000000005E-2</v>
      </c>
      <c r="G553" s="14">
        <v>0.48385860000000003</v>
      </c>
      <c r="H553" s="14">
        <v>0.14163539999999999</v>
      </c>
      <c r="R553" s="11">
        <f t="shared" si="18"/>
        <v>1.521197903123985E-2</v>
      </c>
      <c r="Z553" s="11">
        <f t="shared" si="17"/>
        <v>2.0030278938538093E-2</v>
      </c>
    </row>
    <row r="554" spans="1:26" x14ac:dyDescent="0.2">
      <c r="A554" s="45">
        <v>104</v>
      </c>
      <c r="B554" s="45">
        <v>2001</v>
      </c>
      <c r="C554" s="17">
        <v>0</v>
      </c>
      <c r="D554" s="14">
        <v>0.1366414</v>
      </c>
      <c r="E554" s="14">
        <v>0.1651511</v>
      </c>
      <c r="F554" s="14">
        <v>7.78335E-2</v>
      </c>
      <c r="G554" s="14">
        <v>0.4830101</v>
      </c>
      <c r="H554" s="14">
        <v>0.1979812</v>
      </c>
      <c r="R554" s="11">
        <f t="shared" si="18"/>
        <v>1.5128565522430259E-2</v>
      </c>
      <c r="Z554" s="11">
        <f t="shared" si="17"/>
        <v>1.9997252270600674E-2</v>
      </c>
    </row>
    <row r="555" spans="1:26" x14ac:dyDescent="0.2">
      <c r="A555" s="45">
        <v>104</v>
      </c>
      <c r="B555" s="45">
        <v>2002</v>
      </c>
      <c r="C555" s="17">
        <v>0</v>
      </c>
      <c r="D555" s="14">
        <v>0.17663870000000001</v>
      </c>
      <c r="E555" s="14">
        <v>0.14835979999999999</v>
      </c>
      <c r="F555" s="14">
        <v>8.7635599999999994E-2</v>
      </c>
      <c r="G555" s="14">
        <v>0.91290660000000001</v>
      </c>
      <c r="H555" s="14">
        <v>0.1987921</v>
      </c>
      <c r="R555" s="11">
        <f t="shared" si="18"/>
        <v>7.2822995234848465E-3</v>
      </c>
      <c r="Z555" s="11">
        <f t="shared" si="17"/>
        <v>9.6314685423182986E-3</v>
      </c>
    </row>
    <row r="556" spans="1:26" x14ac:dyDescent="0.2">
      <c r="A556" s="45">
        <v>104</v>
      </c>
      <c r="B556" s="45">
        <v>2003</v>
      </c>
      <c r="C556" s="17">
        <v>0</v>
      </c>
      <c r="D556" s="14">
        <v>0.14814150000000001</v>
      </c>
      <c r="E556" s="14">
        <v>0.169713</v>
      </c>
      <c r="F556" s="14">
        <v>7.1611800000000003E-2</v>
      </c>
      <c r="G556" s="14">
        <v>0.48585610000000001</v>
      </c>
      <c r="H556" s="14">
        <v>0.1895396</v>
      </c>
      <c r="R556" s="11">
        <f t="shared" si="18"/>
        <v>1.5714577811221209E-2</v>
      </c>
      <c r="Z556" s="11">
        <f t="shared" si="17"/>
        <v>2.0666313076646587E-2</v>
      </c>
    </row>
    <row r="557" spans="1:26" x14ac:dyDescent="0.2">
      <c r="A557" s="45">
        <v>105</v>
      </c>
      <c r="B557" s="45">
        <v>1999</v>
      </c>
      <c r="C557" s="17">
        <v>0</v>
      </c>
      <c r="D557" s="14">
        <v>0.13213079999999999</v>
      </c>
      <c r="E557" s="14">
        <v>0.41171219999999997</v>
      </c>
      <c r="F557" s="14">
        <v>4.1072400000000002E-2</v>
      </c>
      <c r="G557" s="14">
        <v>1.4009830000000001</v>
      </c>
      <c r="H557" s="14">
        <v>0.2175919</v>
      </c>
      <c r="R557" s="11">
        <f t="shared" si="18"/>
        <v>3.3240114833593482E-3</v>
      </c>
      <c r="Z557" s="11">
        <f t="shared" si="17"/>
        <v>4.2305476719829609E-3</v>
      </c>
    </row>
    <row r="558" spans="1:26" x14ac:dyDescent="0.2">
      <c r="A558" s="45">
        <v>105</v>
      </c>
      <c r="B558" s="45">
        <v>2000</v>
      </c>
      <c r="C558" s="17">
        <v>0</v>
      </c>
      <c r="D558" s="14">
        <v>0.3590197</v>
      </c>
      <c r="E558" s="14">
        <v>0.4719293</v>
      </c>
      <c r="F558" s="14">
        <v>4.7606000000000002E-2</v>
      </c>
      <c r="G558" s="14">
        <v>1.9589669999999999</v>
      </c>
      <c r="H558" s="14">
        <v>0.2128457</v>
      </c>
      <c r="R558" s="11">
        <f t="shared" si="18"/>
        <v>1.1904020837821608E-3</v>
      </c>
      <c r="Z558" s="11">
        <f t="shared" si="17"/>
        <v>1.5085873436083482E-3</v>
      </c>
    </row>
    <row r="559" spans="1:26" x14ac:dyDescent="0.2">
      <c r="A559" s="45">
        <v>105</v>
      </c>
      <c r="B559" s="45">
        <v>2001</v>
      </c>
      <c r="C559" s="17">
        <v>0</v>
      </c>
      <c r="D559" s="14">
        <v>0.36323080000000002</v>
      </c>
      <c r="E559" s="14">
        <v>0.51712729999999996</v>
      </c>
      <c r="F559" s="14">
        <v>5.9596400000000001E-2</v>
      </c>
      <c r="G559" s="14">
        <v>2.605775</v>
      </c>
      <c r="H559" s="14">
        <v>0.23431650000000001</v>
      </c>
      <c r="R559" s="11">
        <f t="shared" si="18"/>
        <v>3.6158445727993074E-4</v>
      </c>
      <c r="Z559" s="11">
        <f t="shared" si="17"/>
        <v>4.5702381199323684E-4</v>
      </c>
    </row>
    <row r="560" spans="1:26" x14ac:dyDescent="0.2">
      <c r="A560" s="45">
        <v>105</v>
      </c>
      <c r="B560" s="45">
        <v>2002</v>
      </c>
      <c r="C560" s="17">
        <v>0</v>
      </c>
      <c r="D560" s="14">
        <v>0.36699799999999999</v>
      </c>
      <c r="E560" s="14">
        <v>0.504166</v>
      </c>
      <c r="F560" s="14">
        <v>5.5830100000000001E-2</v>
      </c>
      <c r="G560" s="14">
        <v>1.2113670000000001</v>
      </c>
      <c r="H560" s="14">
        <v>0.2308152</v>
      </c>
      <c r="R560" s="11">
        <f t="shared" si="18"/>
        <v>3.4927748146974941E-3</v>
      </c>
      <c r="Z560" s="11">
        <f t="shared" si="17"/>
        <v>4.5320012353784536E-3</v>
      </c>
    </row>
    <row r="561" spans="1:26" x14ac:dyDescent="0.2">
      <c r="A561" s="45">
        <v>105</v>
      </c>
      <c r="B561" s="45">
        <v>2003</v>
      </c>
      <c r="C561" s="17">
        <v>0</v>
      </c>
      <c r="D561" s="14">
        <v>0.37344830000000001</v>
      </c>
      <c r="E561" s="14">
        <v>0.49380449999999998</v>
      </c>
      <c r="F561" s="14">
        <v>5.0499200000000001E-2</v>
      </c>
      <c r="G561" s="14">
        <v>1.4620359999999999</v>
      </c>
      <c r="H561" s="14">
        <v>0.23639470000000001</v>
      </c>
      <c r="R561" s="11">
        <f t="shared" si="18"/>
        <v>2.4842019141040695E-3</v>
      </c>
      <c r="Z561" s="11">
        <f t="shared" si="17"/>
        <v>3.1915531155999348E-3</v>
      </c>
    </row>
    <row r="562" spans="1:26" x14ac:dyDescent="0.2">
      <c r="A562" s="45">
        <v>105</v>
      </c>
      <c r="B562" s="45">
        <v>2004</v>
      </c>
      <c r="C562" s="17">
        <v>0</v>
      </c>
      <c r="D562" s="14">
        <v>0.35289520000000002</v>
      </c>
      <c r="E562" s="14">
        <v>0.50224349999999995</v>
      </c>
      <c r="F562" s="14">
        <v>6.0009199999999999E-2</v>
      </c>
      <c r="G562" s="14">
        <v>1.9524280000000001</v>
      </c>
      <c r="H562" s="14">
        <v>0.23094480000000001</v>
      </c>
      <c r="R562" s="11">
        <f t="shared" si="18"/>
        <v>1.0424444248009861E-3</v>
      </c>
      <c r="Z562" s="11">
        <f t="shared" si="17"/>
        <v>1.3361941205562789E-3</v>
      </c>
    </row>
    <row r="563" spans="1:26" x14ac:dyDescent="0.2">
      <c r="A563" s="45">
        <v>106</v>
      </c>
      <c r="B563" s="45">
        <v>1999</v>
      </c>
      <c r="C563" s="17">
        <v>0</v>
      </c>
      <c r="D563" s="14">
        <v>0.1496133</v>
      </c>
      <c r="E563" s="14">
        <v>0.15333459999999999</v>
      </c>
      <c r="F563" s="14">
        <v>4.9380899999999998E-2</v>
      </c>
      <c r="G563" s="14">
        <v>0.34991519999999998</v>
      </c>
      <c r="H563" s="14">
        <v>0.28231640000000002</v>
      </c>
      <c r="R563" s="11">
        <f t="shared" si="18"/>
        <v>2.3682495442107092E-2</v>
      </c>
      <c r="Z563" s="11">
        <f t="shared" si="17"/>
        <v>3.05939164319801E-2</v>
      </c>
    </row>
    <row r="564" spans="1:26" x14ac:dyDescent="0.2">
      <c r="A564" s="45">
        <v>106</v>
      </c>
      <c r="B564" s="45">
        <v>2000</v>
      </c>
      <c r="C564" s="17">
        <v>0</v>
      </c>
      <c r="D564" s="14">
        <v>6.0781300000000003E-2</v>
      </c>
      <c r="E564" s="14">
        <v>0.14312720000000001</v>
      </c>
      <c r="F564" s="14">
        <v>6.9774299999999997E-2</v>
      </c>
      <c r="G564" s="14">
        <v>0.33390130000000001</v>
      </c>
      <c r="H564" s="14">
        <v>0.30533709999999997</v>
      </c>
      <c r="R564" s="11">
        <f t="shared" si="18"/>
        <v>2.1003926193035219E-2</v>
      </c>
      <c r="Z564" s="11">
        <f t="shared" si="17"/>
        <v>2.7600581784012413E-2</v>
      </c>
    </row>
    <row r="565" spans="1:26" x14ac:dyDescent="0.2">
      <c r="A565" s="45">
        <v>106</v>
      </c>
      <c r="B565" s="45">
        <v>2002</v>
      </c>
      <c r="C565" s="17">
        <v>0</v>
      </c>
      <c r="D565" s="14">
        <v>3.7470499999999997E-2</v>
      </c>
      <c r="E565" s="14">
        <v>0.14479</v>
      </c>
      <c r="F565" s="14">
        <v>5.6862999999999997E-2</v>
      </c>
      <c r="G565" s="14">
        <v>0.41225089999999998</v>
      </c>
      <c r="H565" s="14">
        <v>0.31884109999999999</v>
      </c>
      <c r="R565" s="11">
        <f t="shared" si="18"/>
        <v>2.0516113033751997E-2</v>
      </c>
      <c r="Z565" s="11">
        <f t="shared" si="17"/>
        <v>2.6644192365778654E-2</v>
      </c>
    </row>
    <row r="566" spans="1:26" x14ac:dyDescent="0.2">
      <c r="A566" s="45">
        <v>106</v>
      </c>
      <c r="B566" s="45">
        <v>2003</v>
      </c>
      <c r="C566" s="17">
        <v>0</v>
      </c>
      <c r="D566" s="14">
        <v>-2.49489E-2</v>
      </c>
      <c r="E566" s="14">
        <v>-9.9635799999999997E-2</v>
      </c>
      <c r="F566" s="14">
        <v>5.5695500000000002E-2</v>
      </c>
      <c r="G566" s="14">
        <v>0.3109383</v>
      </c>
      <c r="H566" s="14">
        <v>0.39555560000000001</v>
      </c>
      <c r="R566" s="11">
        <f t="shared" si="18"/>
        <v>3.4236555586150817E-2</v>
      </c>
      <c r="Z566" s="11">
        <f t="shared" si="17"/>
        <v>4.3977966003491575E-2</v>
      </c>
    </row>
    <row r="567" spans="1:26" x14ac:dyDescent="0.2">
      <c r="A567" s="45">
        <v>106</v>
      </c>
      <c r="B567" s="45">
        <v>2004</v>
      </c>
      <c r="C567" s="17">
        <v>0</v>
      </c>
      <c r="D567" s="14">
        <v>0.1187521</v>
      </c>
      <c r="E567" s="14">
        <v>-3.6952699999999998E-2</v>
      </c>
      <c r="F567" s="14">
        <v>5.80952E-2</v>
      </c>
      <c r="G567" s="14">
        <v>0.52887010000000001</v>
      </c>
      <c r="H567" s="14">
        <v>0.3722975</v>
      </c>
      <c r="R567" s="11">
        <f t="shared" si="18"/>
        <v>2.1940040149036683E-2</v>
      </c>
      <c r="Z567" s="11">
        <f t="shared" si="17"/>
        <v>2.826638234879357E-2</v>
      </c>
    </row>
    <row r="568" spans="1:26" x14ac:dyDescent="0.2">
      <c r="A568" s="45">
        <v>107</v>
      </c>
      <c r="B568" s="45">
        <v>1999</v>
      </c>
      <c r="C568" s="17">
        <v>0</v>
      </c>
      <c r="D568" s="14">
        <v>-9.3235999999999996E-3</v>
      </c>
      <c r="E568" s="14">
        <v>0.24056620000000001</v>
      </c>
      <c r="F568" s="14">
        <v>4.5752300000000003E-2</v>
      </c>
      <c r="G568" s="14">
        <v>0.98363440000000002</v>
      </c>
      <c r="H568" s="14">
        <v>0.12783849999999999</v>
      </c>
      <c r="R568" s="11">
        <f t="shared" si="18"/>
        <v>7.9487974596064524E-3</v>
      </c>
      <c r="Z568" s="11">
        <f t="shared" si="17"/>
        <v>1.0175703882636078E-2</v>
      </c>
    </row>
    <row r="569" spans="1:26" x14ac:dyDescent="0.2">
      <c r="A569" s="45">
        <v>107</v>
      </c>
      <c r="B569" s="45">
        <v>2000</v>
      </c>
      <c r="C569" s="17">
        <v>0</v>
      </c>
      <c r="D569" s="14">
        <v>1.3102000000000001E-2</v>
      </c>
      <c r="E569" s="14">
        <v>0.25405929999999999</v>
      </c>
      <c r="F569" s="14">
        <v>4.1122400000000003E-2</v>
      </c>
      <c r="G569" s="14">
        <v>0.90452370000000004</v>
      </c>
      <c r="H569" s="14">
        <v>0.106906</v>
      </c>
      <c r="R569" s="11">
        <f t="shared" si="18"/>
        <v>9.1639832236981508E-3</v>
      </c>
      <c r="Z569" s="11">
        <f t="shared" si="17"/>
        <v>1.1708887926788107E-2</v>
      </c>
    </row>
    <row r="570" spans="1:26" x14ac:dyDescent="0.2">
      <c r="A570" s="45">
        <v>107</v>
      </c>
      <c r="B570" s="45">
        <v>2001</v>
      </c>
      <c r="C570" s="17">
        <v>0</v>
      </c>
      <c r="D570" s="14">
        <v>-1.76165E-2</v>
      </c>
      <c r="E570" s="14">
        <v>0.2449567</v>
      </c>
      <c r="F570" s="14">
        <v>3.6615200000000001E-2</v>
      </c>
      <c r="G570" s="14">
        <v>0.8007571</v>
      </c>
      <c r="H570" s="14">
        <v>0.1106824</v>
      </c>
      <c r="R570" s="11">
        <f t="shared" si="18"/>
        <v>1.1333237711131792E-2</v>
      </c>
      <c r="Z570" s="11">
        <f t="shared" si="17"/>
        <v>1.4447229776879889E-2</v>
      </c>
    </row>
    <row r="571" spans="1:26" x14ac:dyDescent="0.2">
      <c r="A571" s="45">
        <v>107</v>
      </c>
      <c r="B571" s="45">
        <v>2002</v>
      </c>
      <c r="C571" s="17">
        <v>0</v>
      </c>
      <c r="D571" s="14">
        <v>-4.09215E-2</v>
      </c>
      <c r="E571" s="14">
        <v>0.2139162</v>
      </c>
      <c r="F571" s="14">
        <v>3.2216599999999998E-2</v>
      </c>
      <c r="G571" s="14">
        <v>0.63592110000000002</v>
      </c>
      <c r="H571" s="14">
        <v>0.1147934</v>
      </c>
      <c r="R571" s="11">
        <f t="shared" si="18"/>
        <v>1.5896726355986587E-2</v>
      </c>
      <c r="Z571" s="11">
        <f t="shared" si="17"/>
        <v>2.0218339279994651E-2</v>
      </c>
    </row>
    <row r="572" spans="1:26" x14ac:dyDescent="0.2">
      <c r="A572" s="45">
        <v>108</v>
      </c>
      <c r="B572" s="45">
        <v>1999</v>
      </c>
      <c r="C572" s="17">
        <v>0</v>
      </c>
      <c r="D572" s="14">
        <v>-0.31367780000000001</v>
      </c>
      <c r="E572" s="14">
        <v>0.74420039999999998</v>
      </c>
      <c r="F572" s="14">
        <v>6.5402399999999999E-2</v>
      </c>
      <c r="G572" s="14">
        <v>3.6523150000000002</v>
      </c>
      <c r="H572" s="14">
        <v>0.27156580000000002</v>
      </c>
      <c r="R572" s="11">
        <f t="shared" si="18"/>
        <v>4.6826012330625326E-5</v>
      </c>
      <c r="Z572" s="11">
        <f t="shared" si="17"/>
        <v>5.8572110422583398E-5</v>
      </c>
    </row>
    <row r="573" spans="1:26" x14ac:dyDescent="0.2">
      <c r="A573" s="45">
        <v>108</v>
      </c>
      <c r="B573" s="45">
        <v>2000</v>
      </c>
      <c r="C573" s="17">
        <v>0</v>
      </c>
      <c r="D573" s="14">
        <v>-0.3425724</v>
      </c>
      <c r="E573" s="14">
        <v>0.83184369999999996</v>
      </c>
      <c r="F573" s="14">
        <v>5.3243400000000003E-2</v>
      </c>
      <c r="G573" s="14">
        <v>2.23644</v>
      </c>
      <c r="H573" s="14">
        <v>0.26183099999999998</v>
      </c>
      <c r="R573" s="11">
        <f t="shared" si="18"/>
        <v>4.3363690560604832E-4</v>
      </c>
      <c r="Z573" s="11">
        <f t="shared" si="17"/>
        <v>5.5564734616119762E-4</v>
      </c>
    </row>
    <row r="574" spans="1:26" x14ac:dyDescent="0.2">
      <c r="A574" s="45">
        <v>108</v>
      </c>
      <c r="B574" s="45">
        <v>2001</v>
      </c>
      <c r="C574" s="17">
        <v>0</v>
      </c>
      <c r="D574" s="14">
        <v>-0.28840320000000003</v>
      </c>
      <c r="E574" s="14">
        <v>0.76340710000000001</v>
      </c>
      <c r="F574" s="14">
        <v>6.57031E-2</v>
      </c>
      <c r="G574" s="14">
        <v>1.838778</v>
      </c>
      <c r="H574" s="14">
        <v>0.23905879999999999</v>
      </c>
      <c r="R574" s="11">
        <f t="shared" si="18"/>
        <v>8.1678702344331578E-4</v>
      </c>
      <c r="Z574" s="11">
        <f t="shared" si="17"/>
        <v>1.0640139082575841E-3</v>
      </c>
    </row>
    <row r="575" spans="1:26" x14ac:dyDescent="0.2">
      <c r="A575" s="45">
        <v>108</v>
      </c>
      <c r="B575" s="45">
        <v>2002</v>
      </c>
      <c r="C575" s="17">
        <v>0</v>
      </c>
      <c r="D575" s="14">
        <v>-0.22974929999999999</v>
      </c>
      <c r="E575" s="14">
        <v>0.81514889999999995</v>
      </c>
      <c r="F575" s="14">
        <v>4.9609300000000002E-2</v>
      </c>
      <c r="G575" s="14">
        <v>1.683019</v>
      </c>
      <c r="H575" s="14">
        <v>0.22429450000000001</v>
      </c>
      <c r="R575" s="11">
        <f t="shared" si="18"/>
        <v>1.1041256382397495E-3</v>
      </c>
      <c r="Z575" s="11">
        <f t="shared" si="17"/>
        <v>1.4267726113445247E-3</v>
      </c>
    </row>
    <row r="576" spans="1:26" x14ac:dyDescent="0.2">
      <c r="A576" s="45">
        <v>108</v>
      </c>
      <c r="B576" s="45">
        <v>2003</v>
      </c>
      <c r="C576" s="17">
        <v>0</v>
      </c>
      <c r="D576" s="14">
        <v>-0.21921109999999999</v>
      </c>
      <c r="E576" s="14">
        <v>0.82231390000000004</v>
      </c>
      <c r="F576" s="14">
        <v>7.2167300000000004E-2</v>
      </c>
      <c r="G576" s="14">
        <v>1.724648</v>
      </c>
      <c r="H576" s="14">
        <v>0.257905</v>
      </c>
      <c r="R576" s="11">
        <f t="shared" si="18"/>
        <v>8.5393824668248655E-4</v>
      </c>
      <c r="Z576" s="11">
        <f t="shared" si="17"/>
        <v>1.1233752999731601E-3</v>
      </c>
    </row>
    <row r="577" spans="1:26" x14ac:dyDescent="0.2">
      <c r="A577" s="45">
        <v>108</v>
      </c>
      <c r="B577" s="45">
        <v>2004</v>
      </c>
      <c r="C577" s="17">
        <v>0</v>
      </c>
      <c r="D577" s="14">
        <v>-0.1122503</v>
      </c>
      <c r="E577" s="14">
        <v>0.84279470000000001</v>
      </c>
      <c r="F577" s="14">
        <v>4.2069000000000002E-2</v>
      </c>
      <c r="G577" s="14">
        <v>1.854554</v>
      </c>
      <c r="H577" s="14">
        <v>0.2474509</v>
      </c>
      <c r="R577" s="11">
        <f t="shared" si="18"/>
        <v>8.5732461533403299E-4</v>
      </c>
      <c r="Z577" s="11">
        <f t="shared" si="17"/>
        <v>1.0980041458446103E-3</v>
      </c>
    </row>
    <row r="578" spans="1:26" x14ac:dyDescent="0.2">
      <c r="A578" s="45">
        <v>109</v>
      </c>
      <c r="B578" s="45">
        <v>1999</v>
      </c>
      <c r="C578" s="17">
        <v>0</v>
      </c>
      <c r="D578" s="14">
        <v>1.8050799999999999E-2</v>
      </c>
      <c r="E578" s="14">
        <v>0.13633919999999999</v>
      </c>
      <c r="F578" s="14">
        <v>5.0262399999999999E-2</v>
      </c>
      <c r="G578" s="14">
        <v>0.85640260000000001</v>
      </c>
      <c r="H578" s="14">
        <v>0.1330461</v>
      </c>
      <c r="R578" s="11">
        <f t="shared" si="18"/>
        <v>1.0894676393915347E-2</v>
      </c>
      <c r="Z578" s="11">
        <f t="shared" ref="Z578:Z641" si="19">1/(1+EXP(-(U$2+$V$2*E578+$W$2*F578+$X$2*G578)))</f>
        <v>1.397556333557518E-2</v>
      </c>
    </row>
    <row r="579" spans="1:26" x14ac:dyDescent="0.2">
      <c r="A579" s="45">
        <v>109</v>
      </c>
      <c r="B579" s="45">
        <v>2000</v>
      </c>
      <c r="C579" s="17">
        <v>0</v>
      </c>
      <c r="D579" s="14">
        <v>-1.65469E-2</v>
      </c>
      <c r="E579" s="14">
        <v>0.17268520000000001</v>
      </c>
      <c r="F579" s="14">
        <v>5.1925300000000001E-2</v>
      </c>
      <c r="G579" s="14">
        <v>0.93006429999999995</v>
      </c>
      <c r="H579" s="14">
        <v>0.1216742</v>
      </c>
      <c r="R579" s="11">
        <f t="shared" si="18"/>
        <v>9.0844704221599258E-3</v>
      </c>
      <c r="Z579" s="11">
        <f t="shared" si="19"/>
        <v>1.1670862992178781E-2</v>
      </c>
    </row>
    <row r="580" spans="1:26" x14ac:dyDescent="0.2">
      <c r="A580" s="45">
        <v>109</v>
      </c>
      <c r="B580" s="45">
        <v>2001</v>
      </c>
      <c r="C580" s="17">
        <v>0</v>
      </c>
      <c r="D580" s="14">
        <v>-1.06362E-2</v>
      </c>
      <c r="E580" s="14">
        <v>0.1729821</v>
      </c>
      <c r="F580" s="14">
        <v>4.6732900000000001E-2</v>
      </c>
      <c r="G580" s="14">
        <v>1.208404</v>
      </c>
      <c r="H580" s="14">
        <v>0.1121755</v>
      </c>
      <c r="R580" s="11">
        <f t="shared" si="18"/>
        <v>6.0928926232371528E-3</v>
      </c>
      <c r="Z580" s="11">
        <f t="shared" si="19"/>
        <v>7.7540653043597276E-3</v>
      </c>
    </row>
    <row r="581" spans="1:26" x14ac:dyDescent="0.2">
      <c r="A581" s="45">
        <v>109</v>
      </c>
      <c r="B581" s="45">
        <v>2002</v>
      </c>
      <c r="C581" s="17">
        <v>0</v>
      </c>
      <c r="D581" s="14">
        <v>-2.0038299999999998E-2</v>
      </c>
      <c r="E581" s="14">
        <v>0.17040430000000001</v>
      </c>
      <c r="F581" s="14">
        <v>4.7879499999999998E-2</v>
      </c>
      <c r="G581" s="14">
        <v>1.099072</v>
      </c>
      <c r="H581" s="14">
        <v>0.1061054</v>
      </c>
      <c r="R581" s="11">
        <f t="shared" si="18"/>
        <v>7.205253669136321E-3</v>
      </c>
      <c r="Z581" s="11">
        <f t="shared" si="19"/>
        <v>9.1965542929648061E-3</v>
      </c>
    </row>
    <row r="582" spans="1:26" x14ac:dyDescent="0.2">
      <c r="A582" s="45">
        <v>109</v>
      </c>
      <c r="B582" s="45">
        <v>2003</v>
      </c>
      <c r="C582" s="17">
        <v>0</v>
      </c>
      <c r="D582" s="14">
        <v>-2.8357999999999999E-3</v>
      </c>
      <c r="E582" s="14">
        <v>0.18628520000000001</v>
      </c>
      <c r="F582" s="14">
        <v>5.1768700000000001E-2</v>
      </c>
      <c r="G582" s="14">
        <v>1.5176909999999999</v>
      </c>
      <c r="H582" s="14">
        <v>0.12690209999999999</v>
      </c>
      <c r="R582" s="11">
        <f t="shared" si="18"/>
        <v>3.5155995031179534E-3</v>
      </c>
      <c r="Z582" s="11">
        <f t="shared" si="19"/>
        <v>4.4673459514045976E-3</v>
      </c>
    </row>
    <row r="583" spans="1:26" x14ac:dyDescent="0.2">
      <c r="A583" s="45">
        <v>109</v>
      </c>
      <c r="B583" s="45">
        <v>2004</v>
      </c>
      <c r="C583" s="17">
        <v>0</v>
      </c>
      <c r="D583" s="14">
        <v>1.8041999999999999E-3</v>
      </c>
      <c r="E583" s="14">
        <v>0.21958720000000001</v>
      </c>
      <c r="F583" s="14">
        <v>5.6865699999999998E-2</v>
      </c>
      <c r="G583" s="14">
        <v>1.7935479999999999</v>
      </c>
      <c r="H583" s="14">
        <v>0.13297990000000001</v>
      </c>
      <c r="R583" s="11">
        <f t="shared" si="18"/>
        <v>2.0747855512545221E-3</v>
      </c>
      <c r="Z583" s="11">
        <f t="shared" si="19"/>
        <v>2.6355198771860705E-3</v>
      </c>
    </row>
    <row r="584" spans="1:26" x14ac:dyDescent="0.2">
      <c r="A584" s="45">
        <v>110</v>
      </c>
      <c r="B584" s="45">
        <v>1999</v>
      </c>
      <c r="C584" s="17">
        <v>0</v>
      </c>
      <c r="D584" s="14">
        <v>2.3246599999999999E-2</v>
      </c>
      <c r="E584" s="14">
        <v>0.18534610000000001</v>
      </c>
      <c r="F584" s="14">
        <v>7.3939099999999994E-2</v>
      </c>
      <c r="G584" s="14">
        <v>1.7381629999999999</v>
      </c>
      <c r="H584" s="14">
        <v>0.16037560000000001</v>
      </c>
      <c r="R584" s="11">
        <f t="shared" si="18"/>
        <v>2.0778466055714189E-3</v>
      </c>
      <c r="Z584" s="11">
        <f t="shared" si="19"/>
        <v>2.6766275297519359E-3</v>
      </c>
    </row>
    <row r="585" spans="1:26" x14ac:dyDescent="0.2">
      <c r="A585" s="45">
        <v>110</v>
      </c>
      <c r="B585" s="45">
        <v>2000</v>
      </c>
      <c r="C585" s="17">
        <v>0</v>
      </c>
      <c r="D585" s="14">
        <v>6.0369300000000001E-2</v>
      </c>
      <c r="E585" s="14">
        <v>0.10045750000000001</v>
      </c>
      <c r="F585" s="14">
        <v>6.8464899999999995E-2</v>
      </c>
      <c r="G585" s="14">
        <v>1.117737</v>
      </c>
      <c r="H585" s="14">
        <v>0.17065710000000001</v>
      </c>
      <c r="R585" s="11">
        <f t="shared" si="18"/>
        <v>6.5715149193073417E-3</v>
      </c>
      <c r="Z585" s="11">
        <f t="shared" si="19"/>
        <v>8.5069690969121776E-3</v>
      </c>
    </row>
    <row r="586" spans="1:26" x14ac:dyDescent="0.2">
      <c r="A586" s="45">
        <v>110</v>
      </c>
      <c r="B586" s="45">
        <v>2001</v>
      </c>
      <c r="C586" s="17">
        <v>0</v>
      </c>
      <c r="D586" s="14">
        <v>3.2318E-2</v>
      </c>
      <c r="E586" s="14">
        <v>0.1836227</v>
      </c>
      <c r="F586" s="14">
        <v>4.58736E-2</v>
      </c>
      <c r="G586" s="14">
        <v>1.1213249999999999</v>
      </c>
      <c r="H586" s="14">
        <v>0.11288570000000001</v>
      </c>
      <c r="R586" s="11">
        <f t="shared" si="18"/>
        <v>6.9340689205042204E-3</v>
      </c>
      <c r="Z586" s="11">
        <f t="shared" si="19"/>
        <v>8.8363544256552864E-3</v>
      </c>
    </row>
    <row r="587" spans="1:26" x14ac:dyDescent="0.2">
      <c r="A587" s="45">
        <v>110</v>
      </c>
      <c r="B587" s="45">
        <v>2002</v>
      </c>
      <c r="C587" s="17">
        <v>0</v>
      </c>
      <c r="D587" s="14">
        <v>3.5016100000000001E-2</v>
      </c>
      <c r="E587" s="14">
        <v>0.21394879999999999</v>
      </c>
      <c r="F587" s="14">
        <v>5.4490700000000003E-2</v>
      </c>
      <c r="G587" s="14">
        <v>1.03077</v>
      </c>
      <c r="H587" s="14">
        <v>0.16580439999999999</v>
      </c>
      <c r="R587" s="11">
        <f t="shared" si="18"/>
        <v>7.1528501954134993E-3</v>
      </c>
      <c r="Z587" s="11">
        <f t="shared" si="19"/>
        <v>9.2062501462377624E-3</v>
      </c>
    </row>
    <row r="588" spans="1:26" x14ac:dyDescent="0.2">
      <c r="A588" s="45">
        <v>110</v>
      </c>
      <c r="B588" s="45">
        <v>2003</v>
      </c>
      <c r="C588" s="17">
        <v>0</v>
      </c>
      <c r="D588" s="14">
        <v>0.1842828</v>
      </c>
      <c r="E588" s="14">
        <v>0.2293656</v>
      </c>
      <c r="F588" s="14">
        <v>2.1500999999999999E-2</v>
      </c>
      <c r="G588" s="14">
        <v>1.1440380000000001</v>
      </c>
      <c r="H588" s="14">
        <v>0.16646250000000001</v>
      </c>
      <c r="R588" s="11">
        <f t="shared" si="18"/>
        <v>7.5990888333172385E-3</v>
      </c>
      <c r="Z588" s="11">
        <f t="shared" si="19"/>
        <v>9.5023885041044392E-3</v>
      </c>
    </row>
    <row r="589" spans="1:26" x14ac:dyDescent="0.2">
      <c r="A589" s="45">
        <v>110</v>
      </c>
      <c r="B589" s="45">
        <v>2004</v>
      </c>
      <c r="C589" s="17">
        <v>0</v>
      </c>
      <c r="D589" s="14">
        <v>3.61181E-2</v>
      </c>
      <c r="E589" s="14">
        <v>0.2140772</v>
      </c>
      <c r="F589" s="14">
        <v>5.11963E-2</v>
      </c>
      <c r="G589" s="14">
        <v>0.68274619999999997</v>
      </c>
      <c r="H589" s="14">
        <v>0.12564790000000001</v>
      </c>
      <c r="R589" s="11">
        <f t="shared" si="18"/>
        <v>1.2713552078035624E-2</v>
      </c>
      <c r="Z589" s="11">
        <f t="shared" si="19"/>
        <v>1.6417047102390822E-2</v>
      </c>
    </row>
    <row r="590" spans="1:26" x14ac:dyDescent="0.2">
      <c r="A590" s="45">
        <v>111</v>
      </c>
      <c r="B590" s="45">
        <v>1999</v>
      </c>
      <c r="C590" s="17">
        <v>0</v>
      </c>
      <c r="D590" s="14">
        <v>0.26492520000000003</v>
      </c>
      <c r="E590" s="14">
        <v>0.17964060000000001</v>
      </c>
      <c r="F590" s="14">
        <v>5.4595299999999999E-2</v>
      </c>
      <c r="G590" s="14">
        <v>0.52238709999999999</v>
      </c>
      <c r="H590" s="14">
        <v>0.26024259999999999</v>
      </c>
      <c r="R590" s="11">
        <f t="shared" si="18"/>
        <v>1.6727016104610849E-2</v>
      </c>
      <c r="Z590" s="11">
        <f t="shared" si="19"/>
        <v>2.1682801698123602E-2</v>
      </c>
    </row>
    <row r="591" spans="1:26" x14ac:dyDescent="0.2">
      <c r="A591" s="45">
        <v>111</v>
      </c>
      <c r="B591" s="45">
        <v>2000</v>
      </c>
      <c r="C591" s="17">
        <v>0</v>
      </c>
      <c r="D591" s="14">
        <v>0.33338980000000001</v>
      </c>
      <c r="E591" s="14">
        <v>0.20068130000000001</v>
      </c>
      <c r="F591" s="14">
        <v>5.2483700000000001E-2</v>
      </c>
      <c r="G591" s="14">
        <v>0.65995219999999999</v>
      </c>
      <c r="H591" s="14">
        <v>0.2452992</v>
      </c>
      <c r="R591" s="11">
        <f t="shared" si="18"/>
        <v>1.3297567434393113E-2</v>
      </c>
      <c r="Z591" s="11">
        <f t="shared" si="19"/>
        <v>1.718676761215145E-2</v>
      </c>
    </row>
    <row r="592" spans="1:26" x14ac:dyDescent="0.2">
      <c r="A592" s="45">
        <v>111</v>
      </c>
      <c r="B592" s="45">
        <v>2001</v>
      </c>
      <c r="C592" s="17">
        <v>0</v>
      </c>
      <c r="D592" s="14">
        <v>0.25214300000000001</v>
      </c>
      <c r="E592" s="14">
        <v>0.21431729999999999</v>
      </c>
      <c r="F592" s="14">
        <v>4.8804899999999998E-2</v>
      </c>
      <c r="G592" s="14">
        <v>1.153918</v>
      </c>
      <c r="H592" s="14">
        <v>0.23602310000000001</v>
      </c>
      <c r="R592" s="11">
        <f t="shared" si="18"/>
        <v>6.15468183792352E-3</v>
      </c>
      <c r="Z592" s="11">
        <f t="shared" si="19"/>
        <v>7.8661728304939126E-3</v>
      </c>
    </row>
    <row r="593" spans="1:26" x14ac:dyDescent="0.2">
      <c r="A593" s="45">
        <v>111</v>
      </c>
      <c r="B593" s="45">
        <v>2002</v>
      </c>
      <c r="C593" s="17">
        <v>0</v>
      </c>
      <c r="D593" s="14">
        <v>0.26672889999999999</v>
      </c>
      <c r="E593" s="14">
        <v>0.25756180000000001</v>
      </c>
      <c r="F593" s="14">
        <v>5.4314500000000002E-2</v>
      </c>
      <c r="G593" s="14">
        <v>1.1299129999999999</v>
      </c>
      <c r="H593" s="14">
        <v>0.22516</v>
      </c>
      <c r="R593" s="11">
        <f t="shared" si="18"/>
        <v>5.7484253796454563E-3</v>
      </c>
      <c r="Z593" s="11">
        <f t="shared" si="19"/>
        <v>7.3955406631333173E-3</v>
      </c>
    </row>
    <row r="594" spans="1:26" x14ac:dyDescent="0.2">
      <c r="A594" s="45">
        <v>111</v>
      </c>
      <c r="B594" s="45">
        <v>2003</v>
      </c>
      <c r="C594" s="17">
        <v>0</v>
      </c>
      <c r="D594" s="14">
        <v>0.2188244</v>
      </c>
      <c r="E594" s="14">
        <v>0.27405489999999999</v>
      </c>
      <c r="F594" s="14">
        <v>6.5199199999999999E-2</v>
      </c>
      <c r="G594" s="14">
        <v>1.102619</v>
      </c>
      <c r="H594" s="14">
        <v>0.20759</v>
      </c>
      <c r="R594" s="11">
        <f t="shared" si="18"/>
        <v>5.3749454684905926E-3</v>
      </c>
      <c r="Z594" s="11">
        <f t="shared" si="19"/>
        <v>6.9854242452955795E-3</v>
      </c>
    </row>
    <row r="595" spans="1:26" x14ac:dyDescent="0.2">
      <c r="A595" s="45">
        <v>111</v>
      </c>
      <c r="B595" s="45">
        <v>2004</v>
      </c>
      <c r="C595" s="17">
        <v>0</v>
      </c>
      <c r="D595" s="14">
        <v>0.23000989999999999</v>
      </c>
      <c r="E595" s="14">
        <v>0.24918660000000001</v>
      </c>
      <c r="F595" s="14">
        <v>5.0504399999999998E-2</v>
      </c>
      <c r="G595" s="14">
        <v>1.1923189999999999</v>
      </c>
      <c r="H595" s="14">
        <v>0.16193630000000001</v>
      </c>
      <c r="R595" s="11">
        <f t="shared" si="18"/>
        <v>5.4327665288726968E-3</v>
      </c>
      <c r="Z595" s="11">
        <f t="shared" si="19"/>
        <v>6.956939151630228E-3</v>
      </c>
    </row>
    <row r="596" spans="1:26" x14ac:dyDescent="0.2">
      <c r="A596" s="45">
        <v>112</v>
      </c>
      <c r="B596" s="45">
        <v>2001</v>
      </c>
      <c r="C596" s="17">
        <v>0</v>
      </c>
      <c r="D596" s="14">
        <v>0.30181910000000001</v>
      </c>
      <c r="E596" s="14">
        <v>0.34838940000000002</v>
      </c>
      <c r="F596" s="14">
        <v>3.9652899999999998E-2</v>
      </c>
      <c r="G596" s="14">
        <v>2.9498410000000002</v>
      </c>
      <c r="H596" s="14">
        <v>0.20762330000000001</v>
      </c>
      <c r="R596" s="11">
        <f t="shared" si="18"/>
        <v>3.1328709508672851E-4</v>
      </c>
      <c r="Z596" s="11">
        <f t="shared" si="19"/>
        <v>3.8439706699369117E-4</v>
      </c>
    </row>
    <row r="597" spans="1:26" x14ac:dyDescent="0.2">
      <c r="A597" s="45">
        <v>112</v>
      </c>
      <c r="B597" s="45">
        <v>2002</v>
      </c>
      <c r="C597" s="17">
        <v>0</v>
      </c>
      <c r="D597" s="14">
        <v>0.3431958</v>
      </c>
      <c r="E597" s="14">
        <v>0.36938019999999999</v>
      </c>
      <c r="F597" s="14">
        <v>7.5193999999999997E-2</v>
      </c>
      <c r="G597" s="14">
        <v>2.9059970000000002</v>
      </c>
      <c r="H597" s="14">
        <v>0.34600209999999998</v>
      </c>
      <c r="R597" s="11">
        <f t="shared" si="18"/>
        <v>2.4524094756544687E-4</v>
      </c>
      <c r="Z597" s="11">
        <f t="shared" si="19"/>
        <v>3.1032534268761984E-4</v>
      </c>
    </row>
    <row r="598" spans="1:26" x14ac:dyDescent="0.2">
      <c r="A598" s="45">
        <v>112</v>
      </c>
      <c r="B598" s="45">
        <v>2003</v>
      </c>
      <c r="C598" s="17">
        <v>0</v>
      </c>
      <c r="D598" s="14">
        <v>0.39176080000000002</v>
      </c>
      <c r="E598" s="14">
        <v>0.44661600000000001</v>
      </c>
      <c r="F598" s="14">
        <v>7.3511800000000002E-2</v>
      </c>
      <c r="G598" s="14">
        <v>3.4362590000000002</v>
      </c>
      <c r="H598" s="14">
        <v>0.34574110000000002</v>
      </c>
      <c r="R598" s="11">
        <f t="shared" si="18"/>
        <v>9.5442324014959149E-5</v>
      </c>
      <c r="Z598" s="11">
        <f t="shared" si="19"/>
        <v>1.1952607979066703E-4</v>
      </c>
    </row>
    <row r="599" spans="1:26" x14ac:dyDescent="0.2">
      <c r="A599" s="45">
        <v>112</v>
      </c>
      <c r="B599" s="45">
        <v>2004</v>
      </c>
      <c r="C599" s="17">
        <v>0</v>
      </c>
      <c r="D599" s="14">
        <v>0.38178119999999999</v>
      </c>
      <c r="E599" s="14">
        <v>0.49515959999999998</v>
      </c>
      <c r="F599" s="14">
        <v>5.9994800000000001E-2</v>
      </c>
      <c r="G599" s="14">
        <v>3.6629200000000002</v>
      </c>
      <c r="H599" s="14">
        <v>0.35675279999999998</v>
      </c>
      <c r="R599" s="11">
        <f t="shared" ref="R599:R662" si="20">1/(1+EXP(-(K$2+$M$2*E599+$N$2*F599+$O$2*G599)))</f>
        <v>6.9053581873382449E-5</v>
      </c>
      <c r="Z599" s="11">
        <f t="shared" si="19"/>
        <v>8.5242127250446069E-5</v>
      </c>
    </row>
    <row r="600" spans="1:26" x14ac:dyDescent="0.2">
      <c r="A600" s="45">
        <v>113</v>
      </c>
      <c r="B600" s="45">
        <v>1999</v>
      </c>
      <c r="C600" s="17">
        <v>0</v>
      </c>
      <c r="D600" s="14">
        <v>0.2930275</v>
      </c>
      <c r="E600" s="14">
        <v>0.3257507</v>
      </c>
      <c r="F600" s="14">
        <v>7.0268300000000006E-2</v>
      </c>
      <c r="G600" s="14">
        <v>3.6522459999999999</v>
      </c>
      <c r="H600" s="14">
        <v>0.81283019999999995</v>
      </c>
      <c r="R600" s="11">
        <f t="shared" si="20"/>
        <v>8.2766613704112838E-5</v>
      </c>
      <c r="Z600" s="11">
        <f t="shared" si="19"/>
        <v>1.0246115907241146E-4</v>
      </c>
    </row>
    <row r="601" spans="1:26" x14ac:dyDescent="0.2">
      <c r="A601" s="45">
        <v>113</v>
      </c>
      <c r="B601" s="45">
        <v>2000</v>
      </c>
      <c r="C601" s="17">
        <v>0</v>
      </c>
      <c r="D601" s="14">
        <v>0.2814277</v>
      </c>
      <c r="E601" s="14">
        <v>0.32765519999999998</v>
      </c>
      <c r="F601" s="14">
        <v>5.87786E-2</v>
      </c>
      <c r="G601" s="14">
        <v>3.2800410000000002</v>
      </c>
      <c r="H601" s="14">
        <v>1.0578620000000001</v>
      </c>
      <c r="R601" s="11">
        <f t="shared" si="20"/>
        <v>1.6373104852559112E-4</v>
      </c>
      <c r="Z601" s="11">
        <f t="shared" si="19"/>
        <v>2.0245320219876707E-4</v>
      </c>
    </row>
    <row r="602" spans="1:26" x14ac:dyDescent="0.2">
      <c r="A602" s="45">
        <v>113</v>
      </c>
      <c r="B602" s="45">
        <v>2001</v>
      </c>
      <c r="C602" s="17">
        <v>0</v>
      </c>
      <c r="D602" s="14">
        <v>0.29449799999999998</v>
      </c>
      <c r="E602" s="14">
        <v>0.3014309</v>
      </c>
      <c r="F602" s="14">
        <v>5.4091800000000002E-2</v>
      </c>
      <c r="G602" s="14">
        <v>3.3779240000000001</v>
      </c>
      <c r="H602" s="14">
        <v>0.87948550000000003</v>
      </c>
      <c r="R602" s="11">
        <f t="shared" si="20"/>
        <v>1.510895429725052E-4</v>
      </c>
      <c r="Z602" s="11">
        <f t="shared" si="19"/>
        <v>1.8553887213451897E-4</v>
      </c>
    </row>
    <row r="603" spans="1:26" x14ac:dyDescent="0.2">
      <c r="A603" s="45">
        <v>113</v>
      </c>
      <c r="B603" s="45">
        <v>2002</v>
      </c>
      <c r="C603" s="17">
        <v>0</v>
      </c>
      <c r="D603" s="14">
        <v>0.3393466</v>
      </c>
      <c r="E603" s="14">
        <v>0.32985720000000002</v>
      </c>
      <c r="F603" s="14">
        <v>5.7074699999999999E-2</v>
      </c>
      <c r="G603" s="14">
        <v>2.7819980000000002</v>
      </c>
      <c r="H603" s="14">
        <v>0.82033500000000004</v>
      </c>
      <c r="R603" s="11">
        <f t="shared" si="20"/>
        <v>3.6581556305633476E-4</v>
      </c>
      <c r="Z603" s="11">
        <f t="shared" si="19"/>
        <v>4.5669102912377664E-4</v>
      </c>
    </row>
    <row r="604" spans="1:26" x14ac:dyDescent="0.2">
      <c r="A604" s="45">
        <v>113</v>
      </c>
      <c r="B604" s="45">
        <v>2003</v>
      </c>
      <c r="C604" s="17">
        <v>0</v>
      </c>
      <c r="D604" s="14">
        <v>0.34346169999999998</v>
      </c>
      <c r="E604" s="14">
        <v>0.36956260000000002</v>
      </c>
      <c r="F604" s="14">
        <v>5.9337599999999997E-2</v>
      </c>
      <c r="G604" s="14">
        <v>2.7084480000000002</v>
      </c>
      <c r="H604" s="14">
        <v>0.84414219999999995</v>
      </c>
      <c r="R604" s="11">
        <f t="shared" si="20"/>
        <v>3.8126289033400004E-4</v>
      </c>
      <c r="Z604" s="11">
        <f t="shared" si="19"/>
        <v>4.7827998623174055E-4</v>
      </c>
    </row>
    <row r="605" spans="1:26" x14ac:dyDescent="0.2">
      <c r="A605" s="45">
        <v>113</v>
      </c>
      <c r="B605" s="45">
        <v>2004</v>
      </c>
      <c r="C605" s="17">
        <v>0</v>
      </c>
      <c r="D605" s="14">
        <v>0.1840388</v>
      </c>
      <c r="E605" s="14">
        <v>0.41632950000000002</v>
      </c>
      <c r="F605" s="14">
        <v>5.7843699999999998E-2</v>
      </c>
      <c r="G605" s="14">
        <v>2.3094999999999999</v>
      </c>
      <c r="H605" s="14">
        <v>0.81427910000000003</v>
      </c>
      <c r="R605" s="11">
        <f t="shared" si="20"/>
        <v>6.805495758912891E-4</v>
      </c>
      <c r="Z605" s="11">
        <f t="shared" si="19"/>
        <v>8.6151081152938049E-4</v>
      </c>
    </row>
    <row r="606" spans="1:26" x14ac:dyDescent="0.2">
      <c r="A606" s="45">
        <v>114</v>
      </c>
      <c r="B606" s="45">
        <v>1999</v>
      </c>
      <c r="C606" s="17">
        <v>0</v>
      </c>
      <c r="D606" s="14">
        <v>0.31787539999999997</v>
      </c>
      <c r="E606" s="14">
        <v>0.53144029999999998</v>
      </c>
      <c r="F606" s="14">
        <v>4.9519800000000003E-2</v>
      </c>
      <c r="G606" s="14">
        <v>1.8195079999999999</v>
      </c>
      <c r="H606" s="14">
        <v>0.40713870000000002</v>
      </c>
      <c r="R606" s="11">
        <f t="shared" si="20"/>
        <v>1.3425100944977491E-3</v>
      </c>
      <c r="Z606" s="11">
        <f t="shared" si="19"/>
        <v>1.7126658424779576E-3</v>
      </c>
    </row>
    <row r="607" spans="1:26" x14ac:dyDescent="0.2">
      <c r="A607" s="45">
        <v>114</v>
      </c>
      <c r="B607" s="45">
        <v>2000</v>
      </c>
      <c r="C607" s="17">
        <v>0</v>
      </c>
      <c r="D607" s="14">
        <v>0.17634330000000001</v>
      </c>
      <c r="E607" s="14">
        <v>0.49806109999999998</v>
      </c>
      <c r="F607" s="14">
        <v>4.5883E-2</v>
      </c>
      <c r="G607" s="14">
        <v>1.7432030000000001</v>
      </c>
      <c r="H607" s="14">
        <v>0.34992420000000002</v>
      </c>
      <c r="R607" s="11">
        <f t="shared" si="20"/>
        <v>1.6379891774483282E-3</v>
      </c>
      <c r="Z607" s="11">
        <f t="shared" si="19"/>
        <v>2.0843521946587594E-3</v>
      </c>
    </row>
    <row r="608" spans="1:26" x14ac:dyDescent="0.2">
      <c r="A608" s="45">
        <v>114</v>
      </c>
      <c r="B608" s="45">
        <v>2001</v>
      </c>
      <c r="C608" s="17">
        <v>0</v>
      </c>
      <c r="D608" s="14">
        <v>0.24111099999999999</v>
      </c>
      <c r="E608" s="14">
        <v>0.4645302</v>
      </c>
      <c r="F608" s="14">
        <v>3.5814800000000001E-2</v>
      </c>
      <c r="G608" s="14">
        <v>1.317286</v>
      </c>
      <c r="H608" s="14">
        <v>0.33491510000000002</v>
      </c>
      <c r="R608" s="11">
        <f t="shared" si="20"/>
        <v>3.6673313845696585E-3</v>
      </c>
      <c r="Z608" s="11">
        <f t="shared" si="19"/>
        <v>4.6640136592214793E-3</v>
      </c>
    </row>
    <row r="609" spans="1:26" x14ac:dyDescent="0.2">
      <c r="A609" s="45">
        <v>114</v>
      </c>
      <c r="B609" s="45">
        <v>2002</v>
      </c>
      <c r="C609" s="17">
        <v>0</v>
      </c>
      <c r="D609" s="14">
        <v>0.15268209999999999</v>
      </c>
      <c r="E609" s="14">
        <v>0.49582850000000001</v>
      </c>
      <c r="F609" s="14">
        <v>4.6219700000000002E-2</v>
      </c>
      <c r="G609" s="14">
        <v>1.678868</v>
      </c>
      <c r="H609" s="14">
        <v>0.38556829999999997</v>
      </c>
      <c r="R609" s="11">
        <f t="shared" si="20"/>
        <v>1.815513582732397E-3</v>
      </c>
      <c r="Z609" s="11">
        <f t="shared" si="19"/>
        <v>2.3138692918513513E-3</v>
      </c>
    </row>
    <row r="610" spans="1:26" x14ac:dyDescent="0.2">
      <c r="A610" s="45">
        <v>115</v>
      </c>
      <c r="B610" s="45">
        <v>2001</v>
      </c>
      <c r="C610" s="17">
        <v>0</v>
      </c>
      <c r="D610" s="14">
        <v>2.9422400000000001E-2</v>
      </c>
      <c r="E610" s="14">
        <v>0.13125709999999999</v>
      </c>
      <c r="F610" s="14">
        <v>4.08426E-2</v>
      </c>
      <c r="G610" s="14">
        <v>0.70114699999999996</v>
      </c>
      <c r="H610" s="14">
        <v>0.1125867</v>
      </c>
      <c r="R610" s="11">
        <f t="shared" si="20"/>
        <v>1.5092153435209145E-2</v>
      </c>
      <c r="Z610" s="11">
        <f t="shared" si="19"/>
        <v>1.925212403083916E-2</v>
      </c>
    </row>
    <row r="611" spans="1:26" x14ac:dyDescent="0.2">
      <c r="A611" s="45">
        <v>115</v>
      </c>
      <c r="B611" s="45">
        <v>2002</v>
      </c>
      <c r="C611" s="17">
        <v>0</v>
      </c>
      <c r="D611" s="14">
        <v>3.3405600000000001E-2</v>
      </c>
      <c r="E611" s="14">
        <v>0.1206719</v>
      </c>
      <c r="F611" s="14">
        <v>4.6607900000000001E-2</v>
      </c>
      <c r="G611" s="14">
        <v>0.7455233</v>
      </c>
      <c r="H611" s="14">
        <v>0.1207448</v>
      </c>
      <c r="R611" s="11">
        <f t="shared" si="20"/>
        <v>1.3656126457343321E-2</v>
      </c>
      <c r="Z611" s="11">
        <f t="shared" si="19"/>
        <v>1.7485348478108644E-2</v>
      </c>
    </row>
    <row r="612" spans="1:26" x14ac:dyDescent="0.2">
      <c r="A612" s="45">
        <v>115</v>
      </c>
      <c r="B612" s="45">
        <v>2003</v>
      </c>
      <c r="C612" s="17">
        <v>0</v>
      </c>
      <c r="D612" s="14">
        <v>3.9063000000000001E-2</v>
      </c>
      <c r="E612" s="14">
        <v>0.1227333</v>
      </c>
      <c r="F612" s="14">
        <v>3.4807900000000003E-2</v>
      </c>
      <c r="G612" s="14">
        <v>0.6266195</v>
      </c>
      <c r="H612" s="14">
        <v>0.10605680000000001</v>
      </c>
      <c r="R612" s="11">
        <f t="shared" si="20"/>
        <v>1.8004927618763437E-2</v>
      </c>
      <c r="Z612" s="11">
        <f t="shared" si="19"/>
        <v>2.2868533239573812E-2</v>
      </c>
    </row>
    <row r="613" spans="1:26" x14ac:dyDescent="0.2">
      <c r="A613" s="45">
        <v>115</v>
      </c>
      <c r="B613" s="45">
        <v>2004</v>
      </c>
      <c r="C613" s="17">
        <v>0</v>
      </c>
      <c r="D613" s="14">
        <v>1.9379400000000001E-2</v>
      </c>
      <c r="E613" s="14">
        <v>0.12120690000000001</v>
      </c>
      <c r="F613" s="14">
        <v>4.32523E-2</v>
      </c>
      <c r="G613" s="14">
        <v>0.64137109999999997</v>
      </c>
      <c r="H613" s="14">
        <v>0.1222128</v>
      </c>
      <c r="R613" s="11">
        <f t="shared" si="20"/>
        <v>1.6499684185117054E-2</v>
      </c>
      <c r="Z613" s="11">
        <f t="shared" si="19"/>
        <v>2.1100122018399663E-2</v>
      </c>
    </row>
    <row r="614" spans="1:26" x14ac:dyDescent="0.2">
      <c r="A614" s="45">
        <v>116</v>
      </c>
      <c r="B614" s="45">
        <v>1999</v>
      </c>
      <c r="C614" s="17">
        <v>0</v>
      </c>
      <c r="D614" s="14">
        <v>0.1168714</v>
      </c>
      <c r="E614" s="14">
        <v>0.25672719999999999</v>
      </c>
      <c r="F614" s="14">
        <v>4.3973100000000001E-2</v>
      </c>
      <c r="G614" s="14">
        <v>0.67510250000000005</v>
      </c>
      <c r="H614" s="14">
        <v>0.20282459999999999</v>
      </c>
      <c r="R614" s="11">
        <f t="shared" si="20"/>
        <v>1.2813674009634688E-2</v>
      </c>
      <c r="Z614" s="11">
        <f t="shared" si="19"/>
        <v>1.6476173055989331E-2</v>
      </c>
    </row>
    <row r="615" spans="1:26" x14ac:dyDescent="0.2">
      <c r="A615" s="45">
        <v>116</v>
      </c>
      <c r="B615" s="45">
        <v>2000</v>
      </c>
      <c r="C615" s="17">
        <v>0</v>
      </c>
      <c r="D615" s="14">
        <v>7.8022599999999998E-2</v>
      </c>
      <c r="E615" s="14">
        <v>0.23043830000000001</v>
      </c>
      <c r="F615" s="14">
        <v>4.1231499999999997E-2</v>
      </c>
      <c r="G615" s="14">
        <v>0.44991029999999999</v>
      </c>
      <c r="H615" s="14">
        <v>0.21445639999999999</v>
      </c>
      <c r="R615" s="11">
        <f t="shared" si="20"/>
        <v>1.9353740240322544E-2</v>
      </c>
      <c r="Z615" s="11">
        <f t="shared" si="19"/>
        <v>2.4882430009120427E-2</v>
      </c>
    </row>
    <row r="616" spans="1:26" x14ac:dyDescent="0.2">
      <c r="A616" s="45">
        <v>116</v>
      </c>
      <c r="B616" s="45">
        <v>2001</v>
      </c>
      <c r="C616" s="17">
        <v>0</v>
      </c>
      <c r="D616" s="14">
        <v>0.10858039999999999</v>
      </c>
      <c r="E616" s="14">
        <v>0.25206430000000002</v>
      </c>
      <c r="F616" s="14">
        <v>6.8795400000000007E-2</v>
      </c>
      <c r="G616" s="14">
        <v>0.65659270000000003</v>
      </c>
      <c r="H616" s="14">
        <v>0.28686529999999999</v>
      </c>
      <c r="R616" s="11">
        <f t="shared" si="20"/>
        <v>1.0915198354059746E-2</v>
      </c>
      <c r="Z616" s="11">
        <f t="shared" si="19"/>
        <v>1.4330796433800362E-2</v>
      </c>
    </row>
    <row r="617" spans="1:26" x14ac:dyDescent="0.2">
      <c r="A617" s="45">
        <v>116</v>
      </c>
      <c r="B617" s="45">
        <v>2002</v>
      </c>
      <c r="C617" s="17">
        <v>0</v>
      </c>
      <c r="D617" s="14">
        <v>0.15005669999999999</v>
      </c>
      <c r="E617" s="14">
        <v>0.19283629999999999</v>
      </c>
      <c r="F617" s="14">
        <v>2.6139599999999999E-2</v>
      </c>
      <c r="G617" s="14">
        <v>0.69187080000000001</v>
      </c>
      <c r="H617" s="14">
        <v>0.1823449</v>
      </c>
      <c r="R617" s="11">
        <f t="shared" si="20"/>
        <v>1.5742587063863389E-2</v>
      </c>
      <c r="Z617" s="11">
        <f t="shared" si="19"/>
        <v>1.9887502623087878E-2</v>
      </c>
    </row>
    <row r="618" spans="1:26" x14ac:dyDescent="0.2">
      <c r="A618" s="45">
        <v>116</v>
      </c>
      <c r="B618" s="45">
        <v>2003</v>
      </c>
      <c r="C618" s="17">
        <v>0</v>
      </c>
      <c r="D618" s="14">
        <v>0.1831999</v>
      </c>
      <c r="E618" s="14">
        <v>0.1752071</v>
      </c>
      <c r="F618" s="14">
        <v>3.1142699999999999E-2</v>
      </c>
      <c r="G618" s="14">
        <v>0.40645799999999999</v>
      </c>
      <c r="H618" s="14">
        <v>0.18748890000000001</v>
      </c>
      <c r="R618" s="11">
        <f t="shared" si="20"/>
        <v>2.4243310033641392E-2</v>
      </c>
      <c r="Z618" s="11">
        <f t="shared" si="19"/>
        <v>3.0848028681180719E-2</v>
      </c>
    </row>
    <row r="619" spans="1:26" x14ac:dyDescent="0.2">
      <c r="A619" s="45">
        <v>116</v>
      </c>
      <c r="B619" s="45">
        <v>2004</v>
      </c>
      <c r="C619" s="17">
        <v>0</v>
      </c>
      <c r="D619" s="14">
        <v>0.2070111</v>
      </c>
      <c r="E619" s="14">
        <v>0.1964303</v>
      </c>
      <c r="F619" s="14">
        <v>5.5684499999999998E-2</v>
      </c>
      <c r="G619" s="14">
        <v>0.86926550000000002</v>
      </c>
      <c r="H619" s="14">
        <v>0.23416960000000001</v>
      </c>
      <c r="R619" s="11">
        <f t="shared" si="20"/>
        <v>9.3798238967538316E-3</v>
      </c>
      <c r="Z619" s="11">
        <f t="shared" si="19"/>
        <v>1.2111750053385299E-2</v>
      </c>
    </row>
    <row r="620" spans="1:26" x14ac:dyDescent="0.2">
      <c r="A620" s="45">
        <v>117</v>
      </c>
      <c r="B620" s="45">
        <v>1999</v>
      </c>
      <c r="C620" s="17">
        <v>0</v>
      </c>
      <c r="D620" s="14">
        <v>2.8469299999999999E-2</v>
      </c>
      <c r="E620" s="14">
        <v>4.4397899999999997E-2</v>
      </c>
      <c r="F620" s="14">
        <v>1.9780499999999999E-2</v>
      </c>
      <c r="G620" s="14">
        <v>1.037385</v>
      </c>
      <c r="H620" s="14">
        <v>0.1280927</v>
      </c>
      <c r="R620" s="11">
        <f t="shared" si="20"/>
        <v>1.189785460640796E-2</v>
      </c>
      <c r="Z620" s="11">
        <f t="shared" si="19"/>
        <v>1.4782839313858827E-2</v>
      </c>
    </row>
    <row r="621" spans="1:26" x14ac:dyDescent="0.2">
      <c r="A621" s="45">
        <v>117</v>
      </c>
      <c r="B621" s="45">
        <v>2000</v>
      </c>
      <c r="C621" s="17">
        <v>0</v>
      </c>
      <c r="D621" s="14">
        <v>3.9817100000000001E-2</v>
      </c>
      <c r="E621" s="14">
        <v>6.1485699999999997E-2</v>
      </c>
      <c r="F621" s="14">
        <v>2.9913200000000001E-2</v>
      </c>
      <c r="G621" s="14">
        <v>0.95107109999999995</v>
      </c>
      <c r="H621" s="14">
        <v>0.16094079999999999</v>
      </c>
      <c r="R621" s="11">
        <f t="shared" si="20"/>
        <v>1.2275762796041213E-2</v>
      </c>
      <c r="Z621" s="11">
        <f t="shared" si="19"/>
        <v>1.5413900412353281E-2</v>
      </c>
    </row>
    <row r="622" spans="1:26" x14ac:dyDescent="0.2">
      <c r="A622" s="45">
        <v>117</v>
      </c>
      <c r="B622" s="45">
        <v>2001</v>
      </c>
      <c r="C622" s="17">
        <v>0</v>
      </c>
      <c r="D622" s="14">
        <v>-9.3482300000000004E-2</v>
      </c>
      <c r="E622" s="14">
        <v>5.3943499999999998E-2</v>
      </c>
      <c r="F622" s="14">
        <v>2.65331E-2</v>
      </c>
      <c r="G622" s="14">
        <v>1.0138160000000001</v>
      </c>
      <c r="H622" s="14">
        <v>0.1469096</v>
      </c>
      <c r="R622" s="11">
        <f t="shared" si="20"/>
        <v>1.1546462717301512E-2</v>
      </c>
      <c r="Z622" s="11">
        <f t="shared" si="19"/>
        <v>1.4438001610435937E-2</v>
      </c>
    </row>
    <row r="623" spans="1:26" x14ac:dyDescent="0.2">
      <c r="A623" s="45">
        <v>117</v>
      </c>
      <c r="B623" s="45">
        <v>2002</v>
      </c>
      <c r="C623" s="17">
        <v>0</v>
      </c>
      <c r="D623" s="14">
        <v>5.2578199999999999E-2</v>
      </c>
      <c r="E623" s="14">
        <v>5.9783599999999999E-2</v>
      </c>
      <c r="F623" s="14">
        <v>1.8901000000000001E-2</v>
      </c>
      <c r="G623" s="14">
        <v>0.88375369999999998</v>
      </c>
      <c r="H623" s="14">
        <v>0.1446944</v>
      </c>
      <c r="R623" s="11">
        <f t="shared" si="20"/>
        <v>1.4921209334596713E-2</v>
      </c>
      <c r="Z623" s="11">
        <f t="shared" si="19"/>
        <v>1.8583634307526811E-2</v>
      </c>
    </row>
    <row r="624" spans="1:26" x14ac:dyDescent="0.2">
      <c r="A624" s="45">
        <v>117</v>
      </c>
      <c r="B624" s="45">
        <v>2003</v>
      </c>
      <c r="C624" s="17">
        <v>0</v>
      </c>
      <c r="D624" s="14">
        <v>-3.4275999999999998E-3</v>
      </c>
      <c r="E624" s="14">
        <v>3.3594100000000002E-2</v>
      </c>
      <c r="F624" s="14">
        <v>2.9401400000000001E-2</v>
      </c>
      <c r="G624" s="14">
        <v>0.87260870000000001</v>
      </c>
      <c r="H624" s="14">
        <v>0.1320027</v>
      </c>
      <c r="R624" s="11">
        <f t="shared" si="20"/>
        <v>1.4513007299714198E-2</v>
      </c>
      <c r="Z624" s="11">
        <f t="shared" si="19"/>
        <v>1.8218822048464041E-2</v>
      </c>
    </row>
    <row r="625" spans="1:26" x14ac:dyDescent="0.2">
      <c r="A625" s="45">
        <v>117</v>
      </c>
      <c r="B625" s="45">
        <v>2004</v>
      </c>
      <c r="C625" s="17">
        <v>0</v>
      </c>
      <c r="D625" s="14">
        <v>-4.0932200000000002E-2</v>
      </c>
      <c r="E625" s="14">
        <v>3.0051399999999999E-2</v>
      </c>
      <c r="F625" s="14">
        <v>3.3819299999999997E-2</v>
      </c>
      <c r="G625" s="14">
        <v>0.81633529999999999</v>
      </c>
      <c r="H625" s="14">
        <v>0.13271820000000001</v>
      </c>
      <c r="R625" s="11">
        <f t="shared" si="20"/>
        <v>1.5388880660301276E-2</v>
      </c>
      <c r="Z625" s="11">
        <f t="shared" si="19"/>
        <v>1.9403929907219904E-2</v>
      </c>
    </row>
    <row r="626" spans="1:26" x14ac:dyDescent="0.2">
      <c r="A626" s="45">
        <v>118</v>
      </c>
      <c r="B626" s="45">
        <v>1999</v>
      </c>
      <c r="C626" s="17">
        <v>0</v>
      </c>
      <c r="D626" s="14">
        <v>0.1691368</v>
      </c>
      <c r="E626" s="14">
        <v>0.28903489999999998</v>
      </c>
      <c r="F626" s="14">
        <v>4.49641E-2</v>
      </c>
      <c r="G626" s="14">
        <v>0.82087429999999995</v>
      </c>
      <c r="H626" s="14">
        <v>0.2215493</v>
      </c>
      <c r="R626" s="11">
        <f t="shared" si="20"/>
        <v>9.6457037390808159E-3</v>
      </c>
      <c r="Z626" s="11">
        <f t="shared" si="19"/>
        <v>1.2398286813373594E-2</v>
      </c>
    </row>
    <row r="627" spans="1:26" x14ac:dyDescent="0.2">
      <c r="A627" s="45">
        <v>118</v>
      </c>
      <c r="B627" s="45">
        <v>2000</v>
      </c>
      <c r="C627" s="17">
        <v>0</v>
      </c>
      <c r="D627" s="14">
        <v>0.1609131</v>
      </c>
      <c r="E627" s="14">
        <v>0.28349659999999999</v>
      </c>
      <c r="F627" s="14">
        <v>4.8300200000000001E-2</v>
      </c>
      <c r="G627" s="14">
        <v>0.74571900000000002</v>
      </c>
      <c r="H627" s="14">
        <v>0.21094299999999999</v>
      </c>
      <c r="R627" s="11">
        <f t="shared" si="20"/>
        <v>1.06613044554256E-2</v>
      </c>
      <c r="Z627" s="11">
        <f t="shared" si="19"/>
        <v>1.3756562770298282E-2</v>
      </c>
    </row>
    <row r="628" spans="1:26" x14ac:dyDescent="0.2">
      <c r="A628" s="45">
        <v>118</v>
      </c>
      <c r="B628" s="45">
        <v>2001</v>
      </c>
      <c r="C628" s="17">
        <v>0</v>
      </c>
      <c r="D628" s="14">
        <v>0.129355</v>
      </c>
      <c r="E628" s="14">
        <v>0.27441779999999999</v>
      </c>
      <c r="F628" s="14">
        <v>4.9315499999999998E-2</v>
      </c>
      <c r="G628" s="14">
        <v>0.76143039999999995</v>
      </c>
      <c r="H628" s="14">
        <v>0.1884325</v>
      </c>
      <c r="R628" s="11">
        <f t="shared" si="20"/>
        <v>1.0452834609356906E-2</v>
      </c>
      <c r="Z628" s="11">
        <f t="shared" si="19"/>
        <v>1.3490723511629645E-2</v>
      </c>
    </row>
    <row r="629" spans="1:26" x14ac:dyDescent="0.2">
      <c r="A629" s="45">
        <v>118</v>
      </c>
      <c r="B629" s="45">
        <v>2002</v>
      </c>
      <c r="C629" s="17">
        <v>0</v>
      </c>
      <c r="D629" s="14">
        <v>0.12233189999999999</v>
      </c>
      <c r="E629" s="14">
        <v>0.23672319999999999</v>
      </c>
      <c r="F629" s="14">
        <v>4.6336599999999999E-2</v>
      </c>
      <c r="G629" s="14">
        <v>0.60480230000000001</v>
      </c>
      <c r="H629" s="14">
        <v>0.1856593</v>
      </c>
      <c r="R629" s="11">
        <f t="shared" si="20"/>
        <v>1.4455269776737376E-2</v>
      </c>
      <c r="Z629" s="11">
        <f t="shared" si="19"/>
        <v>1.8629269199004431E-2</v>
      </c>
    </row>
    <row r="630" spans="1:26" x14ac:dyDescent="0.2">
      <c r="A630" s="45">
        <v>118</v>
      </c>
      <c r="B630" s="45">
        <v>2003</v>
      </c>
      <c r="C630" s="17">
        <v>0</v>
      </c>
      <c r="D630" s="14">
        <v>0.13635739999999999</v>
      </c>
      <c r="E630" s="14">
        <v>0.2344019</v>
      </c>
      <c r="F630" s="14">
        <v>6.3708699999999993E-2</v>
      </c>
      <c r="G630" s="14">
        <v>0.96010850000000003</v>
      </c>
      <c r="H630" s="14">
        <v>0.21621299999999999</v>
      </c>
      <c r="R630" s="11">
        <f t="shared" si="20"/>
        <v>7.2179897926634281E-3</v>
      </c>
      <c r="Z630" s="11">
        <f t="shared" si="19"/>
        <v>9.3806669025564265E-3</v>
      </c>
    </row>
    <row r="631" spans="1:26" x14ac:dyDescent="0.2">
      <c r="A631" s="45">
        <v>118</v>
      </c>
      <c r="B631" s="45">
        <v>2004</v>
      </c>
      <c r="C631" s="17">
        <v>0</v>
      </c>
      <c r="D631" s="14">
        <v>0.1451578</v>
      </c>
      <c r="E631" s="14">
        <v>0.24153050000000001</v>
      </c>
      <c r="F631" s="14">
        <v>5.7644899999999999E-2</v>
      </c>
      <c r="G631" s="14">
        <v>0.95583929999999995</v>
      </c>
      <c r="H631" s="14">
        <v>0.2237432</v>
      </c>
      <c r="R631" s="11">
        <f t="shared" si="20"/>
        <v>7.5472834231114557E-3</v>
      </c>
      <c r="Z631" s="11">
        <f t="shared" si="19"/>
        <v>9.7627670587279985E-3</v>
      </c>
    </row>
    <row r="632" spans="1:26" x14ac:dyDescent="0.2">
      <c r="A632" s="45">
        <v>119</v>
      </c>
      <c r="B632" s="45">
        <v>1995</v>
      </c>
      <c r="C632" s="17">
        <v>0</v>
      </c>
      <c r="D632" s="14">
        <v>0.45395259999999998</v>
      </c>
      <c r="E632" s="14">
        <v>-3.051142</v>
      </c>
      <c r="F632" s="14">
        <v>-2.1505E-2</v>
      </c>
      <c r="G632" s="14">
        <v>6.2739549999999999</v>
      </c>
      <c r="H632" s="14">
        <v>9.2694200000000004E-2</v>
      </c>
      <c r="R632" s="11">
        <f t="shared" si="20"/>
        <v>3.5851857646667084E-4</v>
      </c>
      <c r="Z632" s="11">
        <f t="shared" si="19"/>
        <v>3.4611266993682529E-4</v>
      </c>
    </row>
    <row r="633" spans="1:26" x14ac:dyDescent="0.2">
      <c r="A633" s="45">
        <v>119</v>
      </c>
      <c r="B633" s="45">
        <v>1996</v>
      </c>
      <c r="C633" s="17">
        <v>0</v>
      </c>
      <c r="D633" s="14">
        <v>0.57897549999999998</v>
      </c>
      <c r="E633" s="14">
        <v>-2.3735879999999998</v>
      </c>
      <c r="F633" s="14">
        <v>1.9812199999999999E-2</v>
      </c>
      <c r="G633" s="14">
        <v>23.535</v>
      </c>
      <c r="H633" s="14">
        <v>0.1536315</v>
      </c>
      <c r="R633" s="11">
        <f t="shared" si="20"/>
        <v>1.0891661282326193E-16</v>
      </c>
      <c r="Z633" s="11">
        <f t="shared" si="19"/>
        <v>7.6121807276113953E-17</v>
      </c>
    </row>
    <row r="634" spans="1:26" x14ac:dyDescent="0.2">
      <c r="A634" s="45">
        <v>119</v>
      </c>
      <c r="B634" s="45">
        <v>1997</v>
      </c>
      <c r="C634" s="17">
        <v>0</v>
      </c>
      <c r="D634" s="14">
        <v>0.4221201</v>
      </c>
      <c r="E634" s="14">
        <v>-1.93895</v>
      </c>
      <c r="F634" s="14">
        <v>2.2237300000000002E-2</v>
      </c>
      <c r="G634" s="14">
        <v>15.8687</v>
      </c>
      <c r="H634" s="14">
        <v>0.16941870000000001</v>
      </c>
      <c r="R634" s="11">
        <f t="shared" si="20"/>
        <v>1.1480754951378448E-11</v>
      </c>
      <c r="Z634" s="11">
        <f t="shared" si="19"/>
        <v>9.6613366821387696E-12</v>
      </c>
    </row>
    <row r="635" spans="1:26" x14ac:dyDescent="0.2">
      <c r="A635" s="45">
        <v>120</v>
      </c>
      <c r="B635" s="45">
        <v>2000</v>
      </c>
      <c r="C635" s="17">
        <v>0</v>
      </c>
      <c r="D635" s="14">
        <v>-2.4672900000000001E-2</v>
      </c>
      <c r="E635" s="14">
        <v>0.21359980000000001</v>
      </c>
      <c r="F635" s="14">
        <v>4.2354799999999998E-2</v>
      </c>
      <c r="G635" s="14">
        <v>0.92042570000000001</v>
      </c>
      <c r="H635" s="14">
        <v>0.1525985</v>
      </c>
      <c r="R635" s="11">
        <f t="shared" si="20"/>
        <v>9.3810473139839777E-3</v>
      </c>
      <c r="Z635" s="11">
        <f t="shared" si="19"/>
        <v>1.1976899662691685E-2</v>
      </c>
    </row>
    <row r="636" spans="1:26" x14ac:dyDescent="0.2">
      <c r="A636" s="45">
        <v>120</v>
      </c>
      <c r="B636" s="45">
        <v>2001</v>
      </c>
      <c r="C636" s="17">
        <v>0</v>
      </c>
      <c r="D636" s="14">
        <v>-8.1368399999999994E-2</v>
      </c>
      <c r="E636" s="14">
        <v>0.21812490000000001</v>
      </c>
      <c r="F636" s="14">
        <v>3.2246499999999997E-2</v>
      </c>
      <c r="G636" s="14">
        <v>0.81189920000000004</v>
      </c>
      <c r="H636" s="14">
        <v>0.1020008</v>
      </c>
      <c r="R636" s="11">
        <f t="shared" si="20"/>
        <v>1.1980595532831789E-2</v>
      </c>
      <c r="Z636" s="11">
        <f t="shared" si="19"/>
        <v>1.5198511879051059E-2</v>
      </c>
    </row>
    <row r="637" spans="1:26" x14ac:dyDescent="0.2">
      <c r="A637" s="45">
        <v>120</v>
      </c>
      <c r="B637" s="45">
        <v>2002</v>
      </c>
      <c r="C637" s="17">
        <v>0</v>
      </c>
      <c r="D637" s="14">
        <v>-5.5248899999999997E-2</v>
      </c>
      <c r="E637" s="14">
        <v>0.17835429999999999</v>
      </c>
      <c r="F637" s="14">
        <v>4.0841000000000002E-2</v>
      </c>
      <c r="G637" s="14">
        <v>0.40705350000000001</v>
      </c>
      <c r="H637" s="14">
        <v>0.1028956</v>
      </c>
      <c r="R637" s="11">
        <f t="shared" si="20"/>
        <v>2.2353288648189494E-2</v>
      </c>
      <c r="Z637" s="11">
        <f t="shared" si="19"/>
        <v>2.868137777997435E-2</v>
      </c>
    </row>
    <row r="638" spans="1:26" x14ac:dyDescent="0.2">
      <c r="A638" s="45">
        <v>120</v>
      </c>
      <c r="B638" s="45">
        <v>2003</v>
      </c>
      <c r="C638" s="17">
        <v>0</v>
      </c>
      <c r="D638" s="14">
        <v>-1.9128999999999999E-3</v>
      </c>
      <c r="E638" s="14">
        <v>0.16067219999999999</v>
      </c>
      <c r="F638" s="14">
        <v>4.9285700000000002E-2</v>
      </c>
      <c r="G638" s="14">
        <v>0.54710080000000005</v>
      </c>
      <c r="H638" s="14">
        <v>0.1050345</v>
      </c>
      <c r="R638" s="11">
        <f t="shared" si="20"/>
        <v>1.723897793158375E-2</v>
      </c>
      <c r="Z638" s="11">
        <f t="shared" si="19"/>
        <v>2.2222158269292854E-2</v>
      </c>
    </row>
    <row r="639" spans="1:26" x14ac:dyDescent="0.2">
      <c r="A639" s="45">
        <v>120</v>
      </c>
      <c r="B639" s="45">
        <v>2004</v>
      </c>
      <c r="C639" s="17">
        <v>0</v>
      </c>
      <c r="D639" s="14">
        <v>1.85028E-2</v>
      </c>
      <c r="E639" s="14">
        <v>0.2076238</v>
      </c>
      <c r="F639" s="14">
        <v>4.0480799999999997E-2</v>
      </c>
      <c r="G639" s="14">
        <v>0.82595940000000001</v>
      </c>
      <c r="H639" s="14">
        <v>0.1189658</v>
      </c>
      <c r="R639" s="11">
        <f t="shared" si="20"/>
        <v>1.1146527728697845E-2</v>
      </c>
      <c r="Z639" s="11">
        <f t="shared" si="19"/>
        <v>1.4228654448300359E-2</v>
      </c>
    </row>
    <row r="640" spans="1:26" x14ac:dyDescent="0.2">
      <c r="A640" s="45">
        <v>121</v>
      </c>
      <c r="B640" s="45">
        <v>1996</v>
      </c>
      <c r="C640" s="17">
        <v>0</v>
      </c>
      <c r="D640" s="14">
        <v>0.3460917</v>
      </c>
      <c r="E640" s="14">
        <v>2.3376999999999998E-2</v>
      </c>
      <c r="F640" s="14">
        <v>6.4756099999999997E-2</v>
      </c>
      <c r="G640" s="14">
        <v>0.46525689999999997</v>
      </c>
      <c r="H640" s="14">
        <v>0.2883194</v>
      </c>
      <c r="R640" s="11">
        <f t="shared" si="20"/>
        <v>2.1105594496552544E-2</v>
      </c>
      <c r="Z640" s="11">
        <f t="shared" si="19"/>
        <v>2.7435254615414632E-2</v>
      </c>
    </row>
    <row r="641" spans="1:26" x14ac:dyDescent="0.2">
      <c r="A641" s="45">
        <v>121</v>
      </c>
      <c r="B641" s="45">
        <v>1997</v>
      </c>
      <c r="C641" s="17">
        <v>0</v>
      </c>
      <c r="D641" s="14">
        <v>0.35777589999999998</v>
      </c>
      <c r="E641" s="14">
        <v>4.0769199999999998E-2</v>
      </c>
      <c r="F641" s="14">
        <v>5.0029299999999999E-2</v>
      </c>
      <c r="G641" s="14">
        <v>0.81480900000000001</v>
      </c>
      <c r="H641" s="14">
        <v>0.29586780000000001</v>
      </c>
      <c r="R641" s="11">
        <f t="shared" si="20"/>
        <v>1.3368203521725961E-2</v>
      </c>
      <c r="Z641" s="11">
        <f t="shared" si="19"/>
        <v>1.7093544680546864E-2</v>
      </c>
    </row>
    <row r="642" spans="1:26" x14ac:dyDescent="0.2">
      <c r="A642" s="45">
        <v>121</v>
      </c>
      <c r="B642" s="45">
        <v>1998</v>
      </c>
      <c r="C642" s="17">
        <v>0</v>
      </c>
      <c r="D642" s="14">
        <v>0.33897729999999998</v>
      </c>
      <c r="E642" s="14">
        <v>2.63088E-2</v>
      </c>
      <c r="F642" s="14">
        <v>7.2493500000000002E-2</v>
      </c>
      <c r="G642" s="14">
        <v>0.37427690000000002</v>
      </c>
      <c r="H642" s="14">
        <v>0.34906399999999999</v>
      </c>
      <c r="R642" s="11">
        <f t="shared" si="20"/>
        <v>2.279722749124952E-2</v>
      </c>
      <c r="Z642" s="11">
        <f t="shared" ref="Z642:Z705" si="21">1/(1+EXP(-(U$2+$V$2*E642+$W$2*F642+$X$2*G642)))</f>
        <v>2.9862593008294431E-2</v>
      </c>
    </row>
    <row r="643" spans="1:26" x14ac:dyDescent="0.2">
      <c r="A643" s="45">
        <v>122</v>
      </c>
      <c r="B643" s="45">
        <v>1999</v>
      </c>
      <c r="C643" s="17">
        <v>0</v>
      </c>
      <c r="D643" s="14">
        <v>2.9353000000000001E-2</v>
      </c>
      <c r="E643" s="14">
        <v>0.29354469999999999</v>
      </c>
      <c r="F643" s="14">
        <v>5.4838999999999999E-2</v>
      </c>
      <c r="G643" s="14">
        <v>2.3537710000000001</v>
      </c>
      <c r="H643" s="14">
        <v>0.1113479</v>
      </c>
      <c r="R643" s="11">
        <f t="shared" si="20"/>
        <v>7.7651893845392841E-4</v>
      </c>
      <c r="Z643" s="11">
        <f t="shared" si="21"/>
        <v>9.7549346147260971E-4</v>
      </c>
    </row>
    <row r="644" spans="1:26" x14ac:dyDescent="0.2">
      <c r="A644" s="45">
        <v>122</v>
      </c>
      <c r="B644" s="45">
        <v>2000</v>
      </c>
      <c r="C644" s="17">
        <v>0</v>
      </c>
      <c r="D644" s="14">
        <v>-3.3249500000000001E-2</v>
      </c>
      <c r="E644" s="14">
        <v>0.2477935</v>
      </c>
      <c r="F644" s="14">
        <v>5.5280900000000001E-2</v>
      </c>
      <c r="G644" s="14">
        <v>1.181546</v>
      </c>
      <c r="H644" s="14">
        <v>0.1041108</v>
      </c>
      <c r="R644" s="11">
        <f t="shared" si="20"/>
        <v>5.3309886109027278E-3</v>
      </c>
      <c r="Z644" s="11">
        <f t="shared" si="21"/>
        <v>6.8546908582293401E-3</v>
      </c>
    </row>
    <row r="645" spans="1:26" x14ac:dyDescent="0.2">
      <c r="A645" s="45">
        <v>122</v>
      </c>
      <c r="B645" s="45">
        <v>2002</v>
      </c>
      <c r="C645" s="17">
        <v>0</v>
      </c>
      <c r="D645" s="14">
        <v>1.04838E-2</v>
      </c>
      <c r="E645" s="14">
        <v>0.34950999999999999</v>
      </c>
      <c r="F645" s="14">
        <v>5.3992499999999999E-2</v>
      </c>
      <c r="G645" s="14">
        <v>0.9217957</v>
      </c>
      <c r="H645" s="14">
        <v>0.1096097</v>
      </c>
      <c r="R645" s="11">
        <f t="shared" si="20"/>
        <v>7.0159487125247789E-3</v>
      </c>
      <c r="Z645" s="11">
        <f t="shared" si="21"/>
        <v>9.0900009940380506E-3</v>
      </c>
    </row>
    <row r="646" spans="1:26" x14ac:dyDescent="0.2">
      <c r="A646" s="45">
        <v>122</v>
      </c>
      <c r="B646" s="45">
        <v>2003</v>
      </c>
      <c r="C646" s="17">
        <v>0</v>
      </c>
      <c r="D646" s="14">
        <v>3.1008399999999998E-2</v>
      </c>
      <c r="E646" s="14">
        <v>0.3860615</v>
      </c>
      <c r="F646" s="14">
        <v>4.2324500000000001E-2</v>
      </c>
      <c r="G646" s="14">
        <v>1.0944320000000001</v>
      </c>
      <c r="H646" s="14">
        <v>0.1153555</v>
      </c>
      <c r="R646" s="11">
        <f t="shared" si="20"/>
        <v>5.5551761897987455E-3</v>
      </c>
      <c r="Z646" s="11">
        <f t="shared" si="21"/>
        <v>7.1144492129239581E-3</v>
      </c>
    </row>
    <row r="647" spans="1:26" x14ac:dyDescent="0.2">
      <c r="A647" s="45">
        <v>122</v>
      </c>
      <c r="B647" s="45">
        <v>2004</v>
      </c>
      <c r="C647" s="17">
        <v>0</v>
      </c>
      <c r="D647" s="14">
        <v>3.5864999999999998E-3</v>
      </c>
      <c r="E647" s="14">
        <v>0.41689110000000001</v>
      </c>
      <c r="F647" s="14">
        <v>4.2591900000000002E-2</v>
      </c>
      <c r="G647" s="14">
        <v>1.1128960000000001</v>
      </c>
      <c r="H647" s="14">
        <v>9.7741900000000007E-2</v>
      </c>
      <c r="R647" s="11">
        <f t="shared" si="20"/>
        <v>5.148723565257517E-3</v>
      </c>
      <c r="Z647" s="11">
        <f t="shared" si="21"/>
        <v>6.6003640987812254E-3</v>
      </c>
    </row>
    <row r="648" spans="1:26" x14ac:dyDescent="0.2">
      <c r="A648" s="45">
        <v>123</v>
      </c>
      <c r="B648" s="45">
        <v>1999</v>
      </c>
      <c r="C648" s="17">
        <v>0</v>
      </c>
      <c r="D648" s="14">
        <v>5.3810499999999997E-2</v>
      </c>
      <c r="E648" s="14">
        <v>0.3377426</v>
      </c>
      <c r="F648" s="14">
        <v>3.20427E-2</v>
      </c>
      <c r="G648" s="14">
        <v>0.59374950000000004</v>
      </c>
      <c r="H648" s="14">
        <v>0.51369039999999999</v>
      </c>
      <c r="R648" s="11">
        <f t="shared" si="20"/>
        <v>1.4244066828039793E-2</v>
      </c>
      <c r="Z648" s="11">
        <f t="shared" si="21"/>
        <v>1.8214409634893552E-2</v>
      </c>
    </row>
    <row r="649" spans="1:26" x14ac:dyDescent="0.2">
      <c r="A649" s="45">
        <v>123</v>
      </c>
      <c r="B649" s="45">
        <v>2000</v>
      </c>
      <c r="C649" s="17">
        <v>0</v>
      </c>
      <c r="D649" s="14">
        <v>6.6808099999999995E-2</v>
      </c>
      <c r="E649" s="14">
        <v>0.25337549999999998</v>
      </c>
      <c r="F649" s="14">
        <v>1.5801699999999998E-2</v>
      </c>
      <c r="G649" s="14">
        <v>0.23177739999999999</v>
      </c>
      <c r="H649" s="14">
        <v>0.44294840000000002</v>
      </c>
      <c r="R649" s="11">
        <f t="shared" si="20"/>
        <v>3.2057315618177248E-2</v>
      </c>
      <c r="Z649" s="11">
        <f t="shared" si="21"/>
        <v>4.0466511309858441E-2</v>
      </c>
    </row>
    <row r="650" spans="1:26" x14ac:dyDescent="0.2">
      <c r="A650" s="45">
        <v>123</v>
      </c>
      <c r="B650" s="45">
        <v>2001</v>
      </c>
      <c r="C650" s="17">
        <v>0</v>
      </c>
      <c r="D650" s="14">
        <v>9.3218499999999996E-2</v>
      </c>
      <c r="E650" s="14">
        <v>0.2412726</v>
      </c>
      <c r="F650" s="14">
        <v>2.5019199999999998E-2</v>
      </c>
      <c r="G650" s="14">
        <v>1.0735969999999999</v>
      </c>
      <c r="H650" s="14">
        <v>0.46001690000000001</v>
      </c>
      <c r="R650" s="11">
        <f t="shared" si="20"/>
        <v>8.1197762012369876E-3</v>
      </c>
      <c r="Z650" s="11">
        <f t="shared" si="21"/>
        <v>1.0200940640216271E-2</v>
      </c>
    </row>
    <row r="651" spans="1:26" x14ac:dyDescent="0.2">
      <c r="A651" s="45">
        <v>123</v>
      </c>
      <c r="B651" s="45">
        <v>2002</v>
      </c>
      <c r="C651" s="17">
        <v>0</v>
      </c>
      <c r="D651" s="14">
        <v>0.1369553</v>
      </c>
      <c r="E651" s="14">
        <v>-7.5947200000000006E-2</v>
      </c>
      <c r="F651" s="14">
        <v>3.6046799999999997E-2</v>
      </c>
      <c r="G651" s="14">
        <v>0.243341</v>
      </c>
      <c r="H651" s="14">
        <v>0.47862870000000002</v>
      </c>
      <c r="R651" s="11">
        <f t="shared" si="20"/>
        <v>4.2730381776928131E-2</v>
      </c>
      <c r="Z651" s="11">
        <f t="shared" si="21"/>
        <v>5.4041438783638832E-2</v>
      </c>
    </row>
    <row r="652" spans="1:26" x14ac:dyDescent="0.2">
      <c r="A652" s="45">
        <v>123</v>
      </c>
      <c r="B652" s="45">
        <v>2003</v>
      </c>
      <c r="C652" s="17">
        <v>0</v>
      </c>
      <c r="D652" s="14">
        <v>0.17104610000000001</v>
      </c>
      <c r="E652" s="14">
        <v>-0.29199350000000002</v>
      </c>
      <c r="F652" s="14">
        <v>2.5354399999999999E-2</v>
      </c>
      <c r="G652" s="14">
        <v>0.84074530000000003</v>
      </c>
      <c r="H652" s="14">
        <v>0.58258310000000002</v>
      </c>
      <c r="R652" s="11">
        <f t="shared" si="20"/>
        <v>2.5049568997095088E-2</v>
      </c>
      <c r="Z652" s="11">
        <f t="shared" si="21"/>
        <v>3.0944453085087524E-2</v>
      </c>
    </row>
    <row r="653" spans="1:26" x14ac:dyDescent="0.2">
      <c r="A653" s="45">
        <v>123</v>
      </c>
      <c r="B653" s="45">
        <v>2004</v>
      </c>
      <c r="C653" s="17">
        <v>0</v>
      </c>
      <c r="D653" s="14">
        <v>0.24632680000000001</v>
      </c>
      <c r="E653" s="14">
        <v>-0.29176380000000002</v>
      </c>
      <c r="F653" s="14">
        <v>4.7805300000000002E-2</v>
      </c>
      <c r="G653" s="14">
        <v>2.0561449999999999</v>
      </c>
      <c r="H653" s="14">
        <v>0.58787699999999998</v>
      </c>
      <c r="R653" s="11">
        <f t="shared" si="20"/>
        <v>3.0844152466846983E-3</v>
      </c>
      <c r="Z653" s="11">
        <f t="shared" si="21"/>
        <v>3.7988302434071985E-3</v>
      </c>
    </row>
    <row r="654" spans="1:26" x14ac:dyDescent="0.2">
      <c r="A654" s="45">
        <v>124</v>
      </c>
      <c r="B654" s="45">
        <v>1999</v>
      </c>
      <c r="C654" s="17">
        <v>0</v>
      </c>
      <c r="D654" s="14">
        <v>9.5350699999999997E-2</v>
      </c>
      <c r="E654" s="14">
        <v>0.27475640000000001</v>
      </c>
      <c r="F654" s="14">
        <v>5.1720700000000001E-2</v>
      </c>
      <c r="G654" s="14">
        <v>1.1744479999999999</v>
      </c>
      <c r="H654" s="14">
        <v>0.18745029999999999</v>
      </c>
      <c r="R654" s="11">
        <f t="shared" si="20"/>
        <v>5.3340913519523284E-3</v>
      </c>
      <c r="Z654" s="11">
        <f t="shared" si="21"/>
        <v>6.8461672567231369E-3</v>
      </c>
    </row>
    <row r="655" spans="1:26" x14ac:dyDescent="0.2">
      <c r="A655" s="45">
        <v>125</v>
      </c>
      <c r="B655" s="45">
        <v>1999</v>
      </c>
      <c r="C655" s="17">
        <v>0</v>
      </c>
      <c r="D655" s="14">
        <v>0.22974149999999999</v>
      </c>
      <c r="E655" s="14">
        <v>0.5311688</v>
      </c>
      <c r="F655" s="14">
        <v>5.0847999999999997E-2</v>
      </c>
      <c r="G655" s="14">
        <v>1.9662310000000001</v>
      </c>
      <c r="H655" s="14">
        <v>0.47325990000000001</v>
      </c>
      <c r="R655" s="11">
        <f t="shared" si="20"/>
        <v>1.0520970052842525E-3</v>
      </c>
      <c r="Z655" s="11">
        <f t="shared" si="21"/>
        <v>1.3394068075408909E-3</v>
      </c>
    </row>
    <row r="656" spans="1:26" x14ac:dyDescent="0.2">
      <c r="A656" s="45">
        <v>125</v>
      </c>
      <c r="B656" s="45">
        <v>2000</v>
      </c>
      <c r="C656" s="17">
        <v>0</v>
      </c>
      <c r="D656" s="14">
        <v>0.267766</v>
      </c>
      <c r="E656" s="14">
        <v>0.54367860000000001</v>
      </c>
      <c r="F656" s="14">
        <v>5.6428499999999999E-2</v>
      </c>
      <c r="G656" s="14">
        <v>2.0081709999999999</v>
      </c>
      <c r="H656" s="14">
        <v>0.54941839999999997</v>
      </c>
      <c r="R656" s="11">
        <f t="shared" si="20"/>
        <v>9.2427066112972783E-4</v>
      </c>
      <c r="Z656" s="11">
        <f t="shared" si="21"/>
        <v>1.1815189608544521E-3</v>
      </c>
    </row>
    <row r="657" spans="1:26" x14ac:dyDescent="0.2">
      <c r="A657" s="45">
        <v>125</v>
      </c>
      <c r="B657" s="45">
        <v>2001</v>
      </c>
      <c r="C657" s="17">
        <v>0</v>
      </c>
      <c r="D657" s="14">
        <v>0.15706919999999999</v>
      </c>
      <c r="E657" s="14">
        <v>0.42102210000000001</v>
      </c>
      <c r="F657" s="14">
        <v>3.3630699999999999E-2</v>
      </c>
      <c r="G657" s="14">
        <v>1.1483179999999999</v>
      </c>
      <c r="H657" s="14">
        <v>0.60324259999999996</v>
      </c>
      <c r="R657" s="11">
        <f t="shared" si="20"/>
        <v>5.196199165375952E-3</v>
      </c>
      <c r="Z657" s="11">
        <f t="shared" si="21"/>
        <v>6.6085152043943492E-3</v>
      </c>
    </row>
    <row r="658" spans="1:26" x14ac:dyDescent="0.2">
      <c r="A658" s="45">
        <v>125</v>
      </c>
      <c r="B658" s="45">
        <v>2002</v>
      </c>
      <c r="C658" s="17">
        <v>0</v>
      </c>
      <c r="D658" s="14">
        <v>0.2112964</v>
      </c>
      <c r="E658" s="14">
        <v>0.42328529999999998</v>
      </c>
      <c r="F658" s="14">
        <v>3.2188300000000003E-2</v>
      </c>
      <c r="G658" s="14">
        <v>0.67663320000000005</v>
      </c>
      <c r="H658" s="14">
        <v>0.57362270000000004</v>
      </c>
      <c r="R658" s="11">
        <f t="shared" si="20"/>
        <v>1.1044717741014821E-2</v>
      </c>
      <c r="Z658" s="11">
        <f t="shared" si="21"/>
        <v>1.4153172377462254E-2</v>
      </c>
    </row>
    <row r="659" spans="1:26" x14ac:dyDescent="0.2">
      <c r="A659" s="45">
        <v>125</v>
      </c>
      <c r="B659" s="45">
        <v>2003</v>
      </c>
      <c r="C659" s="17">
        <v>0</v>
      </c>
      <c r="D659" s="14">
        <v>0.26408039999999999</v>
      </c>
      <c r="E659" s="14">
        <v>0.43438149999999998</v>
      </c>
      <c r="F659" s="14">
        <v>5.0096099999999998E-2</v>
      </c>
      <c r="G659" s="14">
        <v>1.232588</v>
      </c>
      <c r="H659" s="14">
        <v>0.53273009999999998</v>
      </c>
      <c r="R659" s="11">
        <f t="shared" si="20"/>
        <v>3.9110026088066642E-3</v>
      </c>
      <c r="Z659" s="11">
        <f t="shared" si="21"/>
        <v>5.0360135644436903E-3</v>
      </c>
    </row>
    <row r="660" spans="1:26" x14ac:dyDescent="0.2">
      <c r="A660" s="45">
        <v>125</v>
      </c>
      <c r="B660" s="45">
        <v>2004</v>
      </c>
      <c r="C660" s="17">
        <v>0</v>
      </c>
      <c r="D660" s="14">
        <v>0.35720259999999998</v>
      </c>
      <c r="E660" s="14">
        <v>0.42544149999999997</v>
      </c>
      <c r="F660" s="14">
        <v>4.6637199999999997E-2</v>
      </c>
      <c r="G660" s="14">
        <v>1.6596709999999999</v>
      </c>
      <c r="H660" s="14">
        <v>0.48921720000000002</v>
      </c>
      <c r="R660" s="11">
        <f t="shared" si="20"/>
        <v>2.066205815157826E-3</v>
      </c>
      <c r="Z660" s="11">
        <f t="shared" si="21"/>
        <v>2.6288710469595765E-3</v>
      </c>
    </row>
    <row r="661" spans="1:26" x14ac:dyDescent="0.2">
      <c r="A661" s="45">
        <v>126</v>
      </c>
      <c r="B661" s="45">
        <v>2004</v>
      </c>
      <c r="C661" s="17">
        <v>1</v>
      </c>
      <c r="D661" s="14">
        <v>0.157971</v>
      </c>
      <c r="E661" s="14">
        <v>0.108848</v>
      </c>
      <c r="F661" s="14">
        <v>7.4834499999999998E-2</v>
      </c>
      <c r="G661" s="14">
        <v>1.363119</v>
      </c>
      <c r="H661" s="14">
        <v>0.3977579</v>
      </c>
      <c r="R661" s="11">
        <f t="shared" si="20"/>
        <v>4.182696013192988E-3</v>
      </c>
      <c r="Z661" s="11">
        <f t="shared" si="21"/>
        <v>5.4189949208719966E-3</v>
      </c>
    </row>
    <row r="662" spans="1:26" x14ac:dyDescent="0.2">
      <c r="A662" s="45">
        <v>127</v>
      </c>
      <c r="B662" s="45">
        <v>1995</v>
      </c>
      <c r="C662" s="17">
        <v>0</v>
      </c>
      <c r="D662" s="14">
        <v>0.1500968</v>
      </c>
      <c r="E662" s="14">
        <v>-0.82235519999999995</v>
      </c>
      <c r="F662" s="14">
        <v>5.9259300000000001E-2</v>
      </c>
      <c r="G662" s="14">
        <v>0.35456850000000001</v>
      </c>
      <c r="H662" s="14">
        <v>0.3282793</v>
      </c>
      <c r="R662" s="11">
        <f t="shared" si="20"/>
        <v>8.4183897361288298E-2</v>
      </c>
      <c r="Z662" s="11">
        <f t="shared" si="21"/>
        <v>0.10441620937875147</v>
      </c>
    </row>
    <row r="663" spans="1:26" x14ac:dyDescent="0.2">
      <c r="A663" s="45">
        <v>127</v>
      </c>
      <c r="B663" s="45">
        <v>1996</v>
      </c>
      <c r="C663" s="17">
        <v>0</v>
      </c>
      <c r="D663" s="14">
        <v>0.16616220000000001</v>
      </c>
      <c r="E663" s="14">
        <v>-0.40693889999999999</v>
      </c>
      <c r="F663" s="14">
        <v>4.9158500000000001E-2</v>
      </c>
      <c r="G663" s="14">
        <v>0.53138580000000002</v>
      </c>
      <c r="H663" s="14">
        <v>0.2461865</v>
      </c>
      <c r="R663" s="11">
        <f t="shared" ref="R663:R726" si="22">1/(1+EXP(-(K$2+$M$2*E663+$N$2*F663+$O$2*G663)))</f>
        <v>3.9474943993187066E-2</v>
      </c>
      <c r="Z663" s="11">
        <f t="shared" si="21"/>
        <v>4.9640783092124621E-2</v>
      </c>
    </row>
    <row r="664" spans="1:26" x14ac:dyDescent="0.2">
      <c r="A664" s="45">
        <v>127</v>
      </c>
      <c r="B664" s="45">
        <v>1997</v>
      </c>
      <c r="C664" s="17">
        <v>0</v>
      </c>
      <c r="D664" s="14">
        <v>0.13327020000000001</v>
      </c>
      <c r="E664" s="14">
        <v>-0.30431799999999998</v>
      </c>
      <c r="F664" s="14">
        <v>6.6362699999999997E-2</v>
      </c>
      <c r="G664" s="14">
        <v>0.81034850000000003</v>
      </c>
      <c r="H664" s="14">
        <v>0.23747209999999999</v>
      </c>
      <c r="R664" s="11">
        <f t="shared" si="22"/>
        <v>1.9394178974365135E-2</v>
      </c>
      <c r="Z664" s="11">
        <f t="shared" si="21"/>
        <v>2.4796724363307467E-2</v>
      </c>
    </row>
    <row r="665" spans="1:26" x14ac:dyDescent="0.2">
      <c r="A665" s="45">
        <v>127</v>
      </c>
      <c r="B665" s="45">
        <v>1998</v>
      </c>
      <c r="C665" s="17">
        <v>0</v>
      </c>
      <c r="D665" s="14">
        <v>2.60033E-2</v>
      </c>
      <c r="E665" s="14">
        <v>-0.1151108</v>
      </c>
      <c r="F665" s="14">
        <v>4.6383099999999997E-2</v>
      </c>
      <c r="G665" s="14">
        <v>1.212825</v>
      </c>
      <c r="H665" s="14">
        <v>0.199852</v>
      </c>
      <c r="R665" s="11">
        <f t="shared" si="22"/>
        <v>9.1948442304641675E-3</v>
      </c>
      <c r="Z665" s="11">
        <f t="shared" si="21"/>
        <v>1.1573837776645285E-2</v>
      </c>
    </row>
    <row r="666" spans="1:26" x14ac:dyDescent="0.2">
      <c r="A666" s="45">
        <v>127</v>
      </c>
      <c r="B666" s="45">
        <v>1999</v>
      </c>
      <c r="C666" s="17">
        <v>0</v>
      </c>
      <c r="D666" s="14">
        <v>8.2926100000000003E-2</v>
      </c>
      <c r="E666" s="14">
        <v>-1.50831E-2</v>
      </c>
      <c r="F666" s="14">
        <v>7.4019100000000004E-2</v>
      </c>
      <c r="G666" s="14">
        <v>0.4641229</v>
      </c>
      <c r="H666" s="14">
        <v>0.1819924</v>
      </c>
      <c r="R666" s="11">
        <f t="shared" si="22"/>
        <v>2.0770099827481021E-2</v>
      </c>
      <c r="Z666" s="11">
        <f t="shared" si="21"/>
        <v>2.7167920601689443E-2</v>
      </c>
    </row>
    <row r="667" spans="1:26" x14ac:dyDescent="0.2">
      <c r="A667" s="45">
        <v>127</v>
      </c>
      <c r="B667" s="45">
        <v>2000</v>
      </c>
      <c r="C667" s="17">
        <v>0</v>
      </c>
      <c r="D667" s="14">
        <v>0.336337</v>
      </c>
      <c r="E667" s="14">
        <v>-4.0637E-2</v>
      </c>
      <c r="F667" s="14">
        <v>2.6604200000000001E-2</v>
      </c>
      <c r="G667" s="14">
        <v>0.140236</v>
      </c>
      <c r="H667" s="14">
        <v>0.15564819999999999</v>
      </c>
      <c r="R667" s="11">
        <f t="shared" si="22"/>
        <v>5.1140829001646113E-2</v>
      </c>
      <c r="Z667" s="11">
        <f t="shared" si="21"/>
        <v>6.4271491536294537E-2</v>
      </c>
    </row>
    <row r="668" spans="1:26" x14ac:dyDescent="0.2">
      <c r="A668" s="45">
        <v>127</v>
      </c>
      <c r="B668" s="45">
        <v>2001</v>
      </c>
      <c r="C668" s="17">
        <v>0</v>
      </c>
      <c r="D668" s="14">
        <v>0.21240010000000001</v>
      </c>
      <c r="E668" s="14">
        <v>-2.38762E-2</v>
      </c>
      <c r="F668" s="14">
        <v>4.5630200000000003E-2</v>
      </c>
      <c r="G668" s="14">
        <v>0.56672029999999995</v>
      </c>
      <c r="H668" s="14">
        <v>0.1817907</v>
      </c>
      <c r="R668" s="11">
        <f t="shared" si="22"/>
        <v>2.2381587769528404E-2</v>
      </c>
      <c r="Z668" s="11">
        <f t="shared" si="21"/>
        <v>2.8536092134454627E-2</v>
      </c>
    </row>
    <row r="669" spans="1:26" x14ac:dyDescent="0.2">
      <c r="A669" s="45">
        <v>127</v>
      </c>
      <c r="B669" s="45">
        <v>2002</v>
      </c>
      <c r="C669" s="17">
        <v>0</v>
      </c>
      <c r="D669" s="14">
        <v>0.12573200000000001</v>
      </c>
      <c r="E669" s="14">
        <v>1.26246E-2</v>
      </c>
      <c r="F669" s="14">
        <v>6.7516499999999993E-2</v>
      </c>
      <c r="G669" s="14">
        <v>1.4452</v>
      </c>
      <c r="H669" s="14">
        <v>0.17284939999999999</v>
      </c>
      <c r="R669" s="11">
        <f t="shared" si="22"/>
        <v>4.4741100420339717E-3</v>
      </c>
      <c r="Z669" s="11">
        <f t="shared" si="21"/>
        <v>5.7324043369383964E-3</v>
      </c>
    </row>
    <row r="670" spans="1:26" x14ac:dyDescent="0.2">
      <c r="A670" s="45">
        <v>127</v>
      </c>
      <c r="B670" s="45">
        <v>2003</v>
      </c>
      <c r="C670" s="17">
        <v>0</v>
      </c>
      <c r="D670" s="14">
        <v>0.1573948</v>
      </c>
      <c r="E670" s="14">
        <v>7.3681899999999995E-2</v>
      </c>
      <c r="F670" s="14">
        <v>7.2989600000000002E-2</v>
      </c>
      <c r="G670" s="14">
        <v>1.173859</v>
      </c>
      <c r="H670" s="14">
        <v>0.17619190000000001</v>
      </c>
      <c r="R670" s="11">
        <f t="shared" si="22"/>
        <v>6.0290744230494407E-3</v>
      </c>
      <c r="Z670" s="11">
        <f t="shared" si="21"/>
        <v>7.8180781266147959E-3</v>
      </c>
    </row>
    <row r="671" spans="1:26" x14ac:dyDescent="0.2">
      <c r="A671" s="45">
        <v>127</v>
      </c>
      <c r="B671" s="45">
        <v>2004</v>
      </c>
      <c r="C671" s="17">
        <v>0</v>
      </c>
      <c r="D671" s="14">
        <v>0.22229840000000001</v>
      </c>
      <c r="E671" s="14">
        <v>8.3904800000000002E-2</v>
      </c>
      <c r="F671" s="14">
        <v>8.1147300000000006E-2</v>
      </c>
      <c r="G671" s="14">
        <v>2.740186</v>
      </c>
      <c r="H671" s="14">
        <v>0.19297400000000001</v>
      </c>
      <c r="R671" s="11">
        <f t="shared" si="22"/>
        <v>4.6115166260996308E-4</v>
      </c>
      <c r="Z671" s="11">
        <f t="shared" si="21"/>
        <v>5.8277239095902639E-4</v>
      </c>
    </row>
    <row r="672" spans="1:26" x14ac:dyDescent="0.2">
      <c r="A672" s="45">
        <v>128</v>
      </c>
      <c r="B672" s="45">
        <v>1999</v>
      </c>
      <c r="C672" s="17">
        <v>0</v>
      </c>
      <c r="D672" s="14">
        <v>0.2332505</v>
      </c>
      <c r="E672" s="14">
        <v>0.41508410000000001</v>
      </c>
      <c r="F672" s="14">
        <v>3.2556599999999998E-2</v>
      </c>
      <c r="G672" s="14">
        <v>0.67144040000000005</v>
      </c>
      <c r="H672" s="14">
        <v>0.20923849999999999</v>
      </c>
      <c r="R672" s="11">
        <f t="shared" si="22"/>
        <v>1.1234775896521594E-2</v>
      </c>
      <c r="Z672" s="11">
        <f t="shared" si="21"/>
        <v>1.4397859954658834E-2</v>
      </c>
    </row>
    <row r="673" spans="1:26" x14ac:dyDescent="0.2">
      <c r="A673" s="45">
        <v>128</v>
      </c>
      <c r="B673" s="45">
        <v>2000</v>
      </c>
      <c r="C673" s="17">
        <v>0</v>
      </c>
      <c r="D673" s="14">
        <v>5.0751699999999997E-2</v>
      </c>
      <c r="E673" s="14">
        <v>0.25593270000000001</v>
      </c>
      <c r="F673" s="14">
        <v>4.5400000000000003E-2</v>
      </c>
      <c r="G673" s="14">
        <v>0.28263519999999998</v>
      </c>
      <c r="H673" s="14">
        <v>0.1602702</v>
      </c>
      <c r="R673" s="11">
        <f t="shared" si="22"/>
        <v>2.344964542604704E-2</v>
      </c>
      <c r="Z673" s="11">
        <f t="shared" si="21"/>
        <v>3.0346236277959061E-2</v>
      </c>
    </row>
    <row r="674" spans="1:26" x14ac:dyDescent="0.2">
      <c r="A674" s="45">
        <v>128</v>
      </c>
      <c r="B674" s="45">
        <v>2001</v>
      </c>
      <c r="C674" s="17">
        <v>0</v>
      </c>
      <c r="D674" s="14">
        <v>7.0274799999999998E-2</v>
      </c>
      <c r="E674" s="14">
        <v>0.36227379999999998</v>
      </c>
      <c r="F674" s="14">
        <v>4.1944299999999997E-2</v>
      </c>
      <c r="G674" s="14">
        <v>0.55621730000000003</v>
      </c>
      <c r="H674" s="14">
        <v>0.1888707</v>
      </c>
      <c r="R674" s="11">
        <f t="shared" si="22"/>
        <v>1.3491266918507263E-2</v>
      </c>
      <c r="Z674" s="11">
        <f t="shared" si="21"/>
        <v>1.7422144503449831E-2</v>
      </c>
    </row>
    <row r="675" spans="1:26" x14ac:dyDescent="0.2">
      <c r="A675" s="45">
        <v>128</v>
      </c>
      <c r="B675" s="45">
        <v>2002</v>
      </c>
      <c r="C675" s="17">
        <v>0</v>
      </c>
      <c r="D675" s="14">
        <v>0.10213949999999999</v>
      </c>
      <c r="E675" s="14">
        <v>0.36359360000000002</v>
      </c>
      <c r="F675" s="14">
        <v>4.6472800000000002E-2</v>
      </c>
      <c r="G675" s="14">
        <v>0.34026709999999999</v>
      </c>
      <c r="H675" s="14">
        <v>0.2110967</v>
      </c>
      <c r="R675" s="11">
        <f t="shared" si="22"/>
        <v>1.8232740520780836E-2</v>
      </c>
      <c r="Z675" s="11">
        <f t="shared" si="21"/>
        <v>2.3708431597859934E-2</v>
      </c>
    </row>
    <row r="676" spans="1:26" x14ac:dyDescent="0.2">
      <c r="A676" s="45">
        <v>128</v>
      </c>
      <c r="B676" s="45">
        <v>2003</v>
      </c>
      <c r="C676" s="17">
        <v>0</v>
      </c>
      <c r="D676" s="14">
        <v>7.3105400000000001E-2</v>
      </c>
      <c r="E676" s="14">
        <v>0.40901460000000001</v>
      </c>
      <c r="F676" s="14">
        <v>4.2863699999999998E-2</v>
      </c>
      <c r="G676" s="14">
        <v>0.47266829999999999</v>
      </c>
      <c r="H676" s="14">
        <v>0.18807389999999999</v>
      </c>
      <c r="R676" s="11">
        <f t="shared" si="22"/>
        <v>1.4282950136942816E-2</v>
      </c>
      <c r="Z676" s="11">
        <f t="shared" si="21"/>
        <v>1.8516278872845564E-2</v>
      </c>
    </row>
    <row r="677" spans="1:26" x14ac:dyDescent="0.2">
      <c r="A677" s="45">
        <v>128</v>
      </c>
      <c r="B677" s="45">
        <v>2004</v>
      </c>
      <c r="C677" s="17">
        <v>0</v>
      </c>
      <c r="D677" s="14">
        <v>4.2542000000000003E-2</v>
      </c>
      <c r="E677" s="14">
        <v>0.43084620000000001</v>
      </c>
      <c r="F677" s="14">
        <v>4.1779999999999998E-2</v>
      </c>
      <c r="G677" s="14">
        <v>0.65747</v>
      </c>
      <c r="H677" s="14">
        <v>0.2082426</v>
      </c>
      <c r="R677" s="11">
        <f t="shared" si="22"/>
        <v>1.0437304613494279E-2</v>
      </c>
      <c r="Z677" s="11">
        <f t="shared" si="21"/>
        <v>1.3490347806945203E-2</v>
      </c>
    </row>
    <row r="678" spans="1:26" x14ac:dyDescent="0.2">
      <c r="A678" s="45">
        <v>129</v>
      </c>
      <c r="B678" s="45">
        <v>1995</v>
      </c>
      <c r="C678" s="17">
        <v>0</v>
      </c>
      <c r="D678" s="14">
        <v>-2.0562500000000001E-2</v>
      </c>
      <c r="E678" s="14">
        <v>0.44749040000000001</v>
      </c>
      <c r="F678" s="14">
        <v>1.8852000000000001E-3</v>
      </c>
      <c r="G678" s="14">
        <v>1.736988</v>
      </c>
      <c r="H678" s="14">
        <v>0.25331769999999998</v>
      </c>
      <c r="R678" s="11">
        <f t="shared" si="22"/>
        <v>2.5293243997905656E-3</v>
      </c>
      <c r="Z678" s="11">
        <f t="shared" si="21"/>
        <v>3.0992346347073949E-3</v>
      </c>
    </row>
    <row r="679" spans="1:26" x14ac:dyDescent="0.2">
      <c r="A679" s="45">
        <v>129</v>
      </c>
      <c r="B679" s="45">
        <v>1996</v>
      </c>
      <c r="C679" s="17">
        <v>0</v>
      </c>
      <c r="D679" s="14">
        <v>-4.0299000000000003E-3</v>
      </c>
      <c r="E679" s="14">
        <v>0.47902410000000001</v>
      </c>
      <c r="F679" s="14">
        <v>5.26586E-2</v>
      </c>
      <c r="G679" s="14">
        <v>2.2355740000000002</v>
      </c>
      <c r="H679" s="14">
        <v>0.3125038</v>
      </c>
      <c r="R679" s="11">
        <f t="shared" si="22"/>
        <v>7.2849256566811518E-4</v>
      </c>
      <c r="Z679" s="11">
        <f t="shared" si="21"/>
        <v>9.2175429817613797E-4</v>
      </c>
    </row>
    <row r="680" spans="1:26" x14ac:dyDescent="0.2">
      <c r="A680" s="45">
        <v>129</v>
      </c>
      <c r="B680" s="45">
        <v>1997</v>
      </c>
      <c r="C680" s="17">
        <v>0</v>
      </c>
      <c r="D680" s="14">
        <v>3.6117000000000003E-2</v>
      </c>
      <c r="E680" s="14">
        <v>0.5090401</v>
      </c>
      <c r="F680" s="14">
        <v>6.26916E-2</v>
      </c>
      <c r="G680" s="14">
        <v>2.8374869999999999</v>
      </c>
      <c r="H680" s="14">
        <v>0.27330989999999999</v>
      </c>
      <c r="R680" s="11">
        <f t="shared" si="22"/>
        <v>2.4674511584229603E-4</v>
      </c>
      <c r="Z680" s="11">
        <f t="shared" si="21"/>
        <v>3.1099731272497849E-4</v>
      </c>
    </row>
    <row r="681" spans="1:26" x14ac:dyDescent="0.2">
      <c r="A681" s="45">
        <v>129</v>
      </c>
      <c r="B681" s="45">
        <v>1998</v>
      </c>
      <c r="C681" s="17">
        <v>0</v>
      </c>
      <c r="D681" s="14">
        <v>1.8603000000000001E-2</v>
      </c>
      <c r="E681" s="14">
        <v>0.49184260000000002</v>
      </c>
      <c r="F681" s="14">
        <v>3.43732E-2</v>
      </c>
      <c r="G681" s="14">
        <v>2.8027069999999998</v>
      </c>
      <c r="H681" s="14">
        <v>0.20841750000000001</v>
      </c>
      <c r="R681" s="11">
        <f t="shared" si="22"/>
        <v>3.3536467830551299E-4</v>
      </c>
      <c r="Z681" s="11">
        <f t="shared" si="21"/>
        <v>4.1306185174878554E-4</v>
      </c>
    </row>
    <row r="682" spans="1:26" x14ac:dyDescent="0.2">
      <c r="A682" s="45">
        <v>129</v>
      </c>
      <c r="B682" s="45">
        <v>1999</v>
      </c>
      <c r="C682" s="17">
        <v>0</v>
      </c>
      <c r="D682" s="14">
        <v>2.1659500000000002E-2</v>
      </c>
      <c r="E682" s="14">
        <v>0.45454349999999999</v>
      </c>
      <c r="F682" s="14">
        <v>5.7671300000000002E-2</v>
      </c>
      <c r="G682" s="14">
        <v>2.5175700000000001</v>
      </c>
      <c r="H682" s="14">
        <v>0.27265470000000003</v>
      </c>
      <c r="R682" s="11">
        <f t="shared" si="22"/>
        <v>4.6282752283284079E-4</v>
      </c>
      <c r="Z682" s="11">
        <f t="shared" si="21"/>
        <v>5.8393394649210487E-4</v>
      </c>
    </row>
    <row r="683" spans="1:26" x14ac:dyDescent="0.2">
      <c r="A683" s="45">
        <v>129</v>
      </c>
      <c r="B683" s="45">
        <v>2000</v>
      </c>
      <c r="C683" s="17">
        <v>0</v>
      </c>
      <c r="D683" s="14">
        <v>4.4375400000000002E-2</v>
      </c>
      <c r="E683" s="14">
        <v>0.51728770000000002</v>
      </c>
      <c r="F683" s="14">
        <v>8.2619899999999996E-2</v>
      </c>
      <c r="G683" s="14">
        <v>2.6127690000000001</v>
      </c>
      <c r="H683" s="14">
        <v>0.32634459999999998</v>
      </c>
      <c r="R683" s="11">
        <f t="shared" si="22"/>
        <v>2.9738116504551192E-4</v>
      </c>
      <c r="Z683" s="11">
        <f t="shared" si="21"/>
        <v>3.8298208437093507E-4</v>
      </c>
    </row>
    <row r="684" spans="1:26" x14ac:dyDescent="0.2">
      <c r="A684" s="45">
        <v>129</v>
      </c>
      <c r="B684" s="45">
        <v>2001</v>
      </c>
      <c r="C684" s="17">
        <v>0</v>
      </c>
      <c r="D684" s="14">
        <v>3.6847999999999998E-3</v>
      </c>
      <c r="E684" s="14">
        <v>0.44244430000000001</v>
      </c>
      <c r="F684" s="14">
        <v>1.4281E-2</v>
      </c>
      <c r="G684" s="14">
        <v>2.2105700000000001</v>
      </c>
      <c r="H684" s="14">
        <v>0.28088540000000001</v>
      </c>
      <c r="R684" s="11">
        <f t="shared" si="22"/>
        <v>1.0864142716212656E-3</v>
      </c>
      <c r="Z684" s="11">
        <f t="shared" si="21"/>
        <v>1.3310540064407574E-3</v>
      </c>
    </row>
    <row r="685" spans="1:26" x14ac:dyDescent="0.2">
      <c r="A685" s="45">
        <v>129</v>
      </c>
      <c r="B685" s="45">
        <v>2002</v>
      </c>
      <c r="C685" s="17">
        <v>0</v>
      </c>
      <c r="D685" s="14">
        <v>-1.3560300000000001E-2</v>
      </c>
      <c r="E685" s="14">
        <v>0.4305525</v>
      </c>
      <c r="F685" s="14">
        <v>5.0463000000000001E-2</v>
      </c>
      <c r="G685" s="14">
        <v>1.5842670000000001</v>
      </c>
      <c r="H685" s="14">
        <v>0.3589639</v>
      </c>
      <c r="R685" s="11">
        <f t="shared" si="22"/>
        <v>2.2426679788759784E-3</v>
      </c>
      <c r="Z685" s="11">
        <f t="shared" si="21"/>
        <v>2.8674296588039158E-3</v>
      </c>
    </row>
    <row r="686" spans="1:26" x14ac:dyDescent="0.2">
      <c r="A686" s="45">
        <v>129</v>
      </c>
      <c r="B686" s="45">
        <v>2003</v>
      </c>
      <c r="C686" s="17">
        <v>0</v>
      </c>
      <c r="D686" s="14">
        <v>6.2668000000000001E-2</v>
      </c>
      <c r="E686" s="14">
        <v>0.45669470000000001</v>
      </c>
      <c r="F686" s="14">
        <v>6.5786300000000006E-2</v>
      </c>
      <c r="G686" s="14">
        <v>2.0593859999999999</v>
      </c>
      <c r="H686" s="14">
        <v>0.3721853</v>
      </c>
      <c r="R686" s="11">
        <f t="shared" si="22"/>
        <v>8.9698498531931429E-4</v>
      </c>
      <c r="Z686" s="11">
        <f t="shared" si="21"/>
        <v>1.150733789867893E-3</v>
      </c>
    </row>
    <row r="687" spans="1:26" x14ac:dyDescent="0.2">
      <c r="A687" s="45">
        <v>129</v>
      </c>
      <c r="B687" s="45">
        <v>2004</v>
      </c>
      <c r="C687" s="17">
        <v>0</v>
      </c>
      <c r="D687" s="14">
        <v>0.12999839999999999</v>
      </c>
      <c r="E687" s="14">
        <v>0.51056829999999997</v>
      </c>
      <c r="F687" s="14">
        <v>7.1339600000000003E-2</v>
      </c>
      <c r="G687" s="14">
        <v>2.3523849999999999</v>
      </c>
      <c r="H687" s="14">
        <v>0.45360699999999998</v>
      </c>
      <c r="R687" s="11">
        <f t="shared" si="22"/>
        <v>4.9758320555750993E-4</v>
      </c>
      <c r="Z687" s="11">
        <f t="shared" si="21"/>
        <v>6.3838291734761221E-4</v>
      </c>
    </row>
    <row r="688" spans="1:26" x14ac:dyDescent="0.2">
      <c r="A688" s="45">
        <v>130</v>
      </c>
      <c r="B688" s="45">
        <v>2001</v>
      </c>
      <c r="C688" s="17">
        <v>0</v>
      </c>
      <c r="D688" s="14">
        <v>-2.5380900000000001E-2</v>
      </c>
      <c r="E688" s="14">
        <v>0.59316170000000001</v>
      </c>
      <c r="F688" s="14">
        <v>8.1898299999999993E-2</v>
      </c>
      <c r="G688" s="14">
        <v>4.7937339999999997</v>
      </c>
      <c r="H688" s="14">
        <v>0.51055740000000005</v>
      </c>
      <c r="R688" s="11">
        <f t="shared" si="22"/>
        <v>8.2910813278101199E-6</v>
      </c>
      <c r="Z688" s="11">
        <f t="shared" si="21"/>
        <v>1.0198280166202131E-5</v>
      </c>
    </row>
    <row r="689" spans="1:26" x14ac:dyDescent="0.2">
      <c r="A689" s="45">
        <v>130</v>
      </c>
      <c r="B689" s="45">
        <v>2002</v>
      </c>
      <c r="C689" s="17">
        <v>0</v>
      </c>
      <c r="D689" s="14">
        <v>-5.7228399999999999E-2</v>
      </c>
      <c r="E689" s="14">
        <v>0.58284009999999997</v>
      </c>
      <c r="F689" s="14">
        <v>7.4300599999999994E-2</v>
      </c>
      <c r="G689" s="14">
        <v>3.8948670000000001</v>
      </c>
      <c r="H689" s="14">
        <v>0.469057</v>
      </c>
      <c r="R689" s="11">
        <f t="shared" si="22"/>
        <v>3.746333589303017E-5</v>
      </c>
      <c r="Z689" s="11">
        <f t="shared" si="21"/>
        <v>4.6693582846041424E-5</v>
      </c>
    </row>
    <row r="690" spans="1:26" x14ac:dyDescent="0.2">
      <c r="A690" s="45">
        <v>130</v>
      </c>
      <c r="B690" s="45">
        <v>2003</v>
      </c>
      <c r="C690" s="17">
        <v>0</v>
      </c>
      <c r="D690" s="14">
        <v>-4.04599E-2</v>
      </c>
      <c r="E690" s="14">
        <v>0.6066433</v>
      </c>
      <c r="F690" s="14">
        <v>7.0572999999999997E-2</v>
      </c>
      <c r="G690" s="14">
        <v>4.3910809999999998</v>
      </c>
      <c r="H690" s="14">
        <v>0.46037539999999999</v>
      </c>
      <c r="R690" s="11">
        <f t="shared" si="22"/>
        <v>1.6908669748928339E-5</v>
      </c>
      <c r="Z690" s="11">
        <f t="shared" si="21"/>
        <v>2.0799083474233326E-5</v>
      </c>
    </row>
    <row r="691" spans="1:26" x14ac:dyDescent="0.2">
      <c r="A691" s="45">
        <v>130</v>
      </c>
      <c r="B691" s="45">
        <v>2004</v>
      </c>
      <c r="C691" s="17">
        <v>0</v>
      </c>
      <c r="D691" s="14">
        <v>3.6647300000000001E-2</v>
      </c>
      <c r="E691" s="14">
        <v>0.59848319999999999</v>
      </c>
      <c r="F691" s="14">
        <v>8.3077399999999996E-2</v>
      </c>
      <c r="G691" s="14">
        <v>2.7785259999999998</v>
      </c>
      <c r="H691" s="14">
        <v>0.47909980000000002</v>
      </c>
      <c r="R691" s="11">
        <f t="shared" si="22"/>
        <v>2.0219670474500657E-4</v>
      </c>
      <c r="Z691" s="11">
        <f t="shared" si="21"/>
        <v>2.6027791402913071E-4</v>
      </c>
    </row>
    <row r="692" spans="1:26" x14ac:dyDescent="0.2">
      <c r="A692" s="45">
        <v>131</v>
      </c>
      <c r="B692" s="45">
        <v>1995</v>
      </c>
      <c r="C692" s="17">
        <v>0</v>
      </c>
      <c r="D692" s="14">
        <v>0.21605260000000001</v>
      </c>
      <c r="E692" s="14">
        <v>-0.68450880000000003</v>
      </c>
      <c r="F692" s="14">
        <v>3.4562500000000003E-2</v>
      </c>
      <c r="G692" s="14">
        <v>5.6679469999999998</v>
      </c>
      <c r="H692" s="14">
        <v>0.22354879999999999</v>
      </c>
      <c r="R692" s="11">
        <f t="shared" si="22"/>
        <v>1.9267694210535967E-5</v>
      </c>
      <c r="Z692" s="11">
        <f t="shared" si="21"/>
        <v>2.1404947381498429E-5</v>
      </c>
    </row>
    <row r="693" spans="1:26" x14ac:dyDescent="0.2">
      <c r="A693" s="45">
        <v>131</v>
      </c>
      <c r="B693" s="45">
        <v>1996</v>
      </c>
      <c r="C693" s="17">
        <v>0</v>
      </c>
      <c r="D693" s="14">
        <v>0.14985970000000001</v>
      </c>
      <c r="E693" s="14">
        <v>-0.57996360000000002</v>
      </c>
      <c r="F693" s="14">
        <v>2.70374E-2</v>
      </c>
      <c r="G693" s="14">
        <v>3.4686189999999999</v>
      </c>
      <c r="H693" s="14">
        <v>0.2057349</v>
      </c>
      <c r="R693" s="11">
        <f t="shared" si="22"/>
        <v>5.8457410063205209E-4</v>
      </c>
      <c r="Z693" s="11">
        <f t="shared" si="21"/>
        <v>6.7982121653028193E-4</v>
      </c>
    </row>
    <row r="694" spans="1:26" x14ac:dyDescent="0.2">
      <c r="A694" s="45">
        <v>131</v>
      </c>
      <c r="B694" s="45">
        <v>1997</v>
      </c>
      <c r="C694" s="17">
        <v>0</v>
      </c>
      <c r="D694" s="14">
        <v>0.20681579999999999</v>
      </c>
      <c r="E694" s="14">
        <v>-0.51528479999999999</v>
      </c>
      <c r="F694" s="14">
        <v>2.4284900000000002E-2</v>
      </c>
      <c r="G694" s="14">
        <v>3.3713410000000001</v>
      </c>
      <c r="H694" s="14">
        <v>0.1201615</v>
      </c>
      <c r="R694" s="11">
        <f t="shared" si="22"/>
        <v>6.3512874182618901E-4</v>
      </c>
      <c r="Z694" s="11">
        <f t="shared" si="21"/>
        <v>7.4016056335882835E-4</v>
      </c>
    </row>
    <row r="695" spans="1:26" x14ac:dyDescent="0.2">
      <c r="A695" s="45">
        <v>131</v>
      </c>
      <c r="B695" s="45">
        <v>1998</v>
      </c>
      <c r="C695" s="17">
        <v>0</v>
      </c>
      <c r="D695" s="14">
        <v>0.46203620000000001</v>
      </c>
      <c r="E695" s="14">
        <v>-0.1407236</v>
      </c>
      <c r="F695" s="14">
        <v>2.7328600000000002E-2</v>
      </c>
      <c r="G695" s="14">
        <v>4.8196700000000003</v>
      </c>
      <c r="H695" s="14">
        <v>0.11795</v>
      </c>
      <c r="R695" s="11">
        <f t="shared" si="22"/>
        <v>3.5780823950743442E-5</v>
      </c>
      <c r="Z695" s="11">
        <f t="shared" si="21"/>
        <v>4.1017170096856478E-5</v>
      </c>
    </row>
    <row r="696" spans="1:26" x14ac:dyDescent="0.2">
      <c r="A696" s="45">
        <v>131</v>
      </c>
      <c r="B696" s="45">
        <v>1999</v>
      </c>
      <c r="C696" s="17">
        <v>0</v>
      </c>
      <c r="D696" s="14">
        <v>0.32559759999999999</v>
      </c>
      <c r="E696" s="14">
        <v>-0.10967300000000001</v>
      </c>
      <c r="F696" s="14">
        <v>1.5826699999999999E-2</v>
      </c>
      <c r="G696" s="14">
        <v>10.09918</v>
      </c>
      <c r="H696" s="14">
        <v>9.0503E-2</v>
      </c>
      <c r="R696" s="11">
        <f t="shared" si="22"/>
        <v>8.3200042314724529E-9</v>
      </c>
      <c r="Z696" s="11">
        <f t="shared" si="21"/>
        <v>8.4200949165054585E-9</v>
      </c>
    </row>
    <row r="697" spans="1:26" x14ac:dyDescent="0.2">
      <c r="A697" s="45">
        <v>131</v>
      </c>
      <c r="B697" s="45">
        <v>2000</v>
      </c>
      <c r="C697" s="17">
        <v>0</v>
      </c>
      <c r="D697" s="14">
        <v>0.30728889999999998</v>
      </c>
      <c r="E697" s="14">
        <v>-0.14178560000000001</v>
      </c>
      <c r="F697" s="14">
        <v>4.7823400000000002E-2</v>
      </c>
      <c r="G697" s="14">
        <v>13.8931</v>
      </c>
      <c r="H697" s="14">
        <v>0.1555627</v>
      </c>
      <c r="R697" s="11">
        <f t="shared" si="22"/>
        <v>1.5977763675911161E-11</v>
      </c>
      <c r="Z697" s="11">
        <f t="shared" si="21"/>
        <v>1.5252389205296749E-11</v>
      </c>
    </row>
    <row r="698" spans="1:26" x14ac:dyDescent="0.2">
      <c r="A698" s="45">
        <v>131</v>
      </c>
      <c r="B698" s="45">
        <v>2001</v>
      </c>
      <c r="C698" s="17">
        <v>0</v>
      </c>
      <c r="D698" s="14">
        <v>0.32436280000000001</v>
      </c>
      <c r="E698" s="14">
        <v>-9.3692300000000006E-2</v>
      </c>
      <c r="F698" s="14">
        <v>2.8713599999999999E-2</v>
      </c>
      <c r="G698" s="14">
        <v>8.9657549999999997</v>
      </c>
      <c r="H698" s="14">
        <v>0.1360682</v>
      </c>
      <c r="R698" s="11">
        <f t="shared" si="22"/>
        <v>4.4636990388117215E-8</v>
      </c>
      <c r="Z698" s="11">
        <f t="shared" si="21"/>
        <v>4.6833177649720182E-8</v>
      </c>
    </row>
    <row r="699" spans="1:26" x14ac:dyDescent="0.2">
      <c r="A699" s="45">
        <v>131</v>
      </c>
      <c r="B699" s="45">
        <v>2002</v>
      </c>
      <c r="C699" s="17">
        <v>0</v>
      </c>
      <c r="D699" s="14">
        <v>0.39326129999999998</v>
      </c>
      <c r="E699" s="14">
        <v>-2.0242E-2</v>
      </c>
      <c r="F699" s="14">
        <v>6.2448900000000002E-2</v>
      </c>
      <c r="G699" s="14">
        <v>8.1945049999999995</v>
      </c>
      <c r="H699" s="14">
        <v>0.14625070000000001</v>
      </c>
      <c r="R699" s="11">
        <f t="shared" si="22"/>
        <v>1.0468684293109827E-7</v>
      </c>
      <c r="Z699" s="11">
        <f t="shared" si="21"/>
        <v>1.1514091661759147E-7</v>
      </c>
    </row>
    <row r="700" spans="1:26" x14ac:dyDescent="0.2">
      <c r="A700" s="45">
        <v>131</v>
      </c>
      <c r="B700" s="45">
        <v>2003</v>
      </c>
      <c r="C700" s="17">
        <v>0</v>
      </c>
      <c r="D700" s="14">
        <v>0.22748070000000001</v>
      </c>
      <c r="E700" s="14">
        <v>7.8008900000000006E-2</v>
      </c>
      <c r="F700" s="14">
        <v>3.6848100000000002E-2</v>
      </c>
      <c r="G700" s="14">
        <v>6.1544920000000003</v>
      </c>
      <c r="H700" s="14">
        <v>0.15468090000000001</v>
      </c>
      <c r="R700" s="11">
        <f t="shared" si="22"/>
        <v>2.8751124433750435E-6</v>
      </c>
      <c r="Z700" s="11">
        <f t="shared" si="21"/>
        <v>3.2497602403075725E-6</v>
      </c>
    </row>
    <row r="701" spans="1:26" x14ac:dyDescent="0.2">
      <c r="A701" s="45">
        <v>131</v>
      </c>
      <c r="B701" s="45">
        <v>2004</v>
      </c>
      <c r="C701" s="17">
        <v>0</v>
      </c>
      <c r="D701" s="14">
        <v>0.24563660000000001</v>
      </c>
      <c r="E701" s="14">
        <v>8.7758500000000003E-2</v>
      </c>
      <c r="F701" s="14">
        <v>1.7680600000000001E-2</v>
      </c>
      <c r="G701" s="14">
        <v>3.7024050000000002</v>
      </c>
      <c r="H701" s="14">
        <v>0.126361</v>
      </c>
      <c r="R701" s="11">
        <f t="shared" si="22"/>
        <v>1.6446662726359883E-4</v>
      </c>
      <c r="Z701" s="11">
        <f t="shared" si="21"/>
        <v>1.9321228905728679E-4</v>
      </c>
    </row>
    <row r="702" spans="1:26" x14ac:dyDescent="0.2">
      <c r="A702" s="45">
        <v>132</v>
      </c>
      <c r="B702" s="45">
        <v>1999</v>
      </c>
      <c r="C702" s="17">
        <v>0</v>
      </c>
      <c r="D702" s="14">
        <v>0.1037796</v>
      </c>
      <c r="E702" s="14">
        <v>0.55059020000000003</v>
      </c>
      <c r="F702" s="14">
        <v>6.4364199999999996E-2</v>
      </c>
      <c r="G702" s="14">
        <v>4.1872959999999999</v>
      </c>
      <c r="H702" s="14">
        <v>0.408188</v>
      </c>
      <c r="R702" s="11">
        <f t="shared" si="22"/>
        <v>2.6675198748899443E-5</v>
      </c>
      <c r="Z702" s="11">
        <f t="shared" si="21"/>
        <v>3.272998039565352E-5</v>
      </c>
    </row>
    <row r="703" spans="1:26" x14ac:dyDescent="0.2">
      <c r="A703" s="45">
        <v>132</v>
      </c>
      <c r="B703" s="45">
        <v>2000</v>
      </c>
      <c r="C703" s="17">
        <v>0</v>
      </c>
      <c r="D703" s="14">
        <v>6.0602499999999997E-2</v>
      </c>
      <c r="E703" s="14">
        <v>0.62523340000000005</v>
      </c>
      <c r="F703" s="14">
        <v>5.1710600000000002E-2</v>
      </c>
      <c r="G703" s="14">
        <v>3.8730449999999998</v>
      </c>
      <c r="H703" s="14">
        <v>0.46497369999999999</v>
      </c>
      <c r="R703" s="11">
        <f t="shared" si="22"/>
        <v>4.3693089220317261E-5</v>
      </c>
      <c r="Z703" s="11">
        <f t="shared" si="21"/>
        <v>5.3562540265835175E-5</v>
      </c>
    </row>
    <row r="704" spans="1:26" x14ac:dyDescent="0.2">
      <c r="A704" s="45">
        <v>132</v>
      </c>
      <c r="B704" s="45">
        <v>2001</v>
      </c>
      <c r="C704" s="17">
        <v>0</v>
      </c>
      <c r="D704" s="14">
        <v>0.14156530000000001</v>
      </c>
      <c r="E704" s="14">
        <v>0.3605815</v>
      </c>
      <c r="F704" s="14">
        <v>5.0718899999999997E-2</v>
      </c>
      <c r="G704" s="14">
        <v>1.5859460000000001</v>
      </c>
      <c r="H704" s="14">
        <v>0.30428670000000002</v>
      </c>
      <c r="R704" s="11">
        <f t="shared" si="22"/>
        <v>2.4705837034928006E-3</v>
      </c>
      <c r="Z704" s="11">
        <f t="shared" si="21"/>
        <v>3.1516372828583844E-3</v>
      </c>
    </row>
    <row r="705" spans="1:26" x14ac:dyDescent="0.2">
      <c r="A705" s="45">
        <v>132</v>
      </c>
      <c r="B705" s="45">
        <v>2002</v>
      </c>
      <c r="C705" s="17">
        <v>0</v>
      </c>
      <c r="D705" s="14">
        <v>0.13030649999999999</v>
      </c>
      <c r="E705" s="14">
        <v>0.38418730000000001</v>
      </c>
      <c r="F705" s="14">
        <v>4.9785299999999998E-2</v>
      </c>
      <c r="G705" s="14">
        <v>1.9250290000000001</v>
      </c>
      <c r="H705" s="14">
        <v>0.30516700000000002</v>
      </c>
      <c r="R705" s="11">
        <f t="shared" si="22"/>
        <v>1.4025730169310298E-3</v>
      </c>
      <c r="Z705" s="11">
        <f t="shared" si="21"/>
        <v>1.7765286897328009E-3</v>
      </c>
    </row>
    <row r="706" spans="1:26" x14ac:dyDescent="0.2">
      <c r="A706" s="45">
        <v>132</v>
      </c>
      <c r="B706" s="45">
        <v>2003</v>
      </c>
      <c r="C706" s="17">
        <v>0</v>
      </c>
      <c r="D706" s="14">
        <v>7.4612700000000004E-2</v>
      </c>
      <c r="E706" s="14">
        <v>0.40501340000000002</v>
      </c>
      <c r="F706" s="14">
        <v>6.6520700000000002E-2</v>
      </c>
      <c r="G706" s="14">
        <v>2.3895919999999999</v>
      </c>
      <c r="H706" s="14">
        <v>0.28841220000000001</v>
      </c>
      <c r="R706" s="11">
        <f t="shared" si="22"/>
        <v>5.6817244638926164E-4</v>
      </c>
      <c r="Z706" s="11">
        <f t="shared" ref="Z706:Z769" si="23">1/(1+EXP(-(U$2+$V$2*E706+$W$2*F706+$X$2*G706)))</f>
        <v>7.2284813715488337E-4</v>
      </c>
    </row>
    <row r="707" spans="1:26" x14ac:dyDescent="0.2">
      <c r="A707" s="45">
        <v>132</v>
      </c>
      <c r="B707" s="45">
        <v>2004</v>
      </c>
      <c r="C707" s="17">
        <v>0</v>
      </c>
      <c r="D707" s="14">
        <v>0.10555299999999999</v>
      </c>
      <c r="E707" s="14">
        <v>0.28680480000000003</v>
      </c>
      <c r="F707" s="14">
        <v>4.6202899999999998E-2</v>
      </c>
      <c r="G707" s="14">
        <v>1.609642</v>
      </c>
      <c r="H707" s="14">
        <v>0.23854549999999999</v>
      </c>
      <c r="R707" s="11">
        <f t="shared" si="22"/>
        <v>2.745090394602666E-3</v>
      </c>
      <c r="Z707" s="11">
        <f t="shared" si="23"/>
        <v>3.4780681009659079E-3</v>
      </c>
    </row>
    <row r="708" spans="1:26" x14ac:dyDescent="0.2">
      <c r="A708" s="45">
        <v>133</v>
      </c>
      <c r="B708" s="45">
        <v>1999</v>
      </c>
      <c r="C708" s="17">
        <v>0</v>
      </c>
      <c r="D708" s="14">
        <v>1.30727E-2</v>
      </c>
      <c r="E708" s="14">
        <v>6.3094499999999998E-2</v>
      </c>
      <c r="F708" s="14">
        <v>2.8781500000000002E-2</v>
      </c>
      <c r="G708" s="14">
        <v>1.957557</v>
      </c>
      <c r="H708" s="14">
        <v>8.3061200000000002E-2</v>
      </c>
      <c r="R708" s="11">
        <f t="shared" si="22"/>
        <v>2.5099144829758943E-3</v>
      </c>
      <c r="Z708" s="11">
        <f t="shared" si="23"/>
        <v>3.087796204403693E-3</v>
      </c>
    </row>
    <row r="709" spans="1:26" x14ac:dyDescent="0.2">
      <c r="A709" s="45">
        <v>133</v>
      </c>
      <c r="B709" s="45">
        <v>2000</v>
      </c>
      <c r="C709" s="17">
        <v>0</v>
      </c>
      <c r="D709" s="14">
        <v>-1.85249E-2</v>
      </c>
      <c r="E709" s="14">
        <v>-2.7607900000000001E-2</v>
      </c>
      <c r="F709" s="14">
        <v>3.2360399999999998E-2</v>
      </c>
      <c r="G709" s="14">
        <v>1.1377219999999999</v>
      </c>
      <c r="H709" s="14">
        <v>0.1101757</v>
      </c>
      <c r="R709" s="11">
        <f t="shared" si="22"/>
        <v>1.0198599704902944E-2</v>
      </c>
      <c r="Z709" s="11">
        <f t="shared" si="23"/>
        <v>1.2747547178912055E-2</v>
      </c>
    </row>
    <row r="710" spans="1:26" x14ac:dyDescent="0.2">
      <c r="A710" s="45">
        <v>133</v>
      </c>
      <c r="B710" s="45">
        <v>2001</v>
      </c>
      <c r="C710" s="17">
        <v>0</v>
      </c>
      <c r="D710" s="14">
        <v>-4.2443000000000002E-2</v>
      </c>
      <c r="E710" s="14">
        <v>-8.5122799999999998E-2</v>
      </c>
      <c r="F710" s="14">
        <v>2.05685E-2</v>
      </c>
      <c r="G710" s="14">
        <v>0.46877530000000001</v>
      </c>
      <c r="H710" s="14">
        <v>0.12530730000000001</v>
      </c>
      <c r="R710" s="11">
        <f t="shared" si="22"/>
        <v>3.4513807452036374E-2</v>
      </c>
      <c r="Z710" s="11">
        <f t="shared" si="23"/>
        <v>4.300377787334974E-2</v>
      </c>
    </row>
    <row r="711" spans="1:26" x14ac:dyDescent="0.2">
      <c r="A711" s="45">
        <v>133</v>
      </c>
      <c r="B711" s="45">
        <v>2002</v>
      </c>
      <c r="C711" s="17">
        <v>0</v>
      </c>
      <c r="D711" s="14">
        <v>-0.1856863</v>
      </c>
      <c r="E711" s="14">
        <v>-3.3124199999999999</v>
      </c>
      <c r="F711" s="14">
        <v>5.0890400000000002E-2</v>
      </c>
      <c r="G711" s="14">
        <v>0.2205136</v>
      </c>
      <c r="H711" s="14">
        <v>0.38342340000000003</v>
      </c>
      <c r="R711" s="11">
        <f t="shared" si="22"/>
        <v>0.81970737004095928</v>
      </c>
      <c r="Z711" s="11">
        <f t="shared" si="23"/>
        <v>0.84061741774092513</v>
      </c>
    </row>
    <row r="712" spans="1:26" x14ac:dyDescent="0.2">
      <c r="A712" s="45">
        <v>133</v>
      </c>
      <c r="B712" s="45">
        <v>2003</v>
      </c>
      <c r="C712" s="17">
        <v>0</v>
      </c>
      <c r="D712" s="14">
        <v>-2.0969000000000001E-3</v>
      </c>
      <c r="E712" s="14">
        <v>-1.7147460000000001</v>
      </c>
      <c r="F712" s="14">
        <v>7.3722999999999997E-2</v>
      </c>
      <c r="G712" s="14">
        <v>0.46646860000000001</v>
      </c>
      <c r="H712" s="14">
        <v>0.1908589</v>
      </c>
      <c r="R712" s="11">
        <f t="shared" si="22"/>
        <v>0.20048327576916999</v>
      </c>
      <c r="Z712" s="11">
        <f t="shared" si="23"/>
        <v>0.23744263053892462</v>
      </c>
    </row>
    <row r="713" spans="1:26" x14ac:dyDescent="0.2">
      <c r="A713" s="45">
        <v>133</v>
      </c>
      <c r="B713" s="45">
        <v>2004</v>
      </c>
      <c r="C713" s="17">
        <v>0</v>
      </c>
      <c r="D713" s="14">
        <v>1.07332E-2</v>
      </c>
      <c r="E713" s="14">
        <v>-1.7880119999999999</v>
      </c>
      <c r="F713" s="14">
        <v>7.2344500000000006E-2</v>
      </c>
      <c r="G713" s="14">
        <v>0.42548170000000002</v>
      </c>
      <c r="H713" s="14">
        <v>0.1721512</v>
      </c>
      <c r="R713" s="11">
        <f t="shared" si="22"/>
        <v>0.23140350562029824</v>
      </c>
      <c r="Z713" s="11">
        <f t="shared" si="23"/>
        <v>0.27158082216215784</v>
      </c>
    </row>
    <row r="714" spans="1:26" x14ac:dyDescent="0.2">
      <c r="A714" s="45">
        <v>134</v>
      </c>
      <c r="B714" s="45">
        <v>1999</v>
      </c>
      <c r="C714" s="17">
        <v>0</v>
      </c>
      <c r="D714" s="14">
        <v>0.13555610000000001</v>
      </c>
      <c r="E714" s="14">
        <v>0.1109435</v>
      </c>
      <c r="F714" s="14">
        <v>6.6838700000000001E-2</v>
      </c>
      <c r="G714" s="14">
        <v>0.56642479999999995</v>
      </c>
      <c r="H714" s="14">
        <v>0.33185369999999997</v>
      </c>
      <c r="R714" s="11">
        <f t="shared" si="22"/>
        <v>1.5641099249187943E-2</v>
      </c>
      <c r="Z714" s="11">
        <f t="shared" si="23"/>
        <v>2.0415581499643645E-2</v>
      </c>
    </row>
    <row r="715" spans="1:26" x14ac:dyDescent="0.2">
      <c r="A715" s="45">
        <v>134</v>
      </c>
      <c r="B715" s="45">
        <v>2000</v>
      </c>
      <c r="C715" s="17">
        <v>0</v>
      </c>
      <c r="D715" s="14">
        <v>0.20444570000000001</v>
      </c>
      <c r="E715" s="14">
        <v>0.13705210000000001</v>
      </c>
      <c r="F715" s="14">
        <v>6.2889500000000001E-2</v>
      </c>
      <c r="G715" s="14">
        <v>0.57798890000000003</v>
      </c>
      <c r="H715" s="14">
        <v>0.31106319999999998</v>
      </c>
      <c r="R715" s="11">
        <f t="shared" si="22"/>
        <v>1.5263802789188541E-2</v>
      </c>
      <c r="Z715" s="11">
        <f t="shared" si="23"/>
        <v>1.9874795418660572E-2</v>
      </c>
    </row>
    <row r="716" spans="1:26" x14ac:dyDescent="0.2">
      <c r="A716" s="45">
        <v>134</v>
      </c>
      <c r="B716" s="45">
        <v>2002</v>
      </c>
      <c r="C716" s="17">
        <v>0</v>
      </c>
      <c r="D716" s="14">
        <v>0.2097627</v>
      </c>
      <c r="E716" s="14">
        <v>-0.179872</v>
      </c>
      <c r="F716" s="14">
        <v>8.8283000000000007E-3</v>
      </c>
      <c r="G716" s="14">
        <v>0.28939169999999997</v>
      </c>
      <c r="H716" s="14">
        <v>0.23458809999999999</v>
      </c>
      <c r="R716" s="11">
        <f t="shared" si="22"/>
        <v>5.658673578014984E-2</v>
      </c>
      <c r="Z716" s="11">
        <f t="shared" si="23"/>
        <v>6.9532701156116164E-2</v>
      </c>
    </row>
    <row r="717" spans="1:26" x14ac:dyDescent="0.2">
      <c r="A717" s="45">
        <v>134</v>
      </c>
      <c r="B717" s="45">
        <v>2003</v>
      </c>
      <c r="C717" s="17">
        <v>0</v>
      </c>
      <c r="D717" s="14">
        <v>4.8565799999999999E-2</v>
      </c>
      <c r="E717" s="14">
        <v>-0.46881410000000001</v>
      </c>
      <c r="F717" s="14">
        <v>5.1105400000000002E-2</v>
      </c>
      <c r="G717" s="14">
        <v>0.22251399999999999</v>
      </c>
      <c r="H717" s="14">
        <v>0.31274020000000002</v>
      </c>
      <c r="R717" s="11">
        <f t="shared" si="22"/>
        <v>6.7533896063692506E-2</v>
      </c>
      <c r="Z717" s="11">
        <f t="shared" si="23"/>
        <v>8.4777288336435011E-2</v>
      </c>
    </row>
    <row r="718" spans="1:26" x14ac:dyDescent="0.2">
      <c r="A718" s="45">
        <v>134</v>
      </c>
      <c r="B718" s="45">
        <v>2004</v>
      </c>
      <c r="C718" s="17">
        <v>0</v>
      </c>
      <c r="D718" s="14">
        <v>0.28633219999999998</v>
      </c>
      <c r="E718" s="14">
        <v>-0.53464129999999999</v>
      </c>
      <c r="F718" s="14">
        <v>4.7992100000000003E-2</v>
      </c>
      <c r="G718" s="14">
        <v>0.26841369999999998</v>
      </c>
      <c r="H718" s="14">
        <v>0.31774599999999997</v>
      </c>
      <c r="R718" s="11">
        <f t="shared" si="22"/>
        <v>7.0585434101459635E-2</v>
      </c>
      <c r="Z718" s="11">
        <f t="shared" si="23"/>
        <v>8.8065547274455439E-2</v>
      </c>
    </row>
    <row r="719" spans="1:26" x14ac:dyDescent="0.2">
      <c r="A719" s="45">
        <v>135</v>
      </c>
      <c r="B719" s="45">
        <v>1999</v>
      </c>
      <c r="C719" s="17">
        <v>0</v>
      </c>
      <c r="D719" s="14">
        <v>4.6310200000000003E-2</v>
      </c>
      <c r="E719" s="14">
        <v>0.31312250000000003</v>
      </c>
      <c r="F719" s="14">
        <v>3.6121E-2</v>
      </c>
      <c r="G719" s="14">
        <v>0.47974929999999999</v>
      </c>
      <c r="H719" s="14">
        <v>0.15201909999999999</v>
      </c>
      <c r="R719" s="11">
        <f t="shared" si="22"/>
        <v>1.7086663508824193E-2</v>
      </c>
      <c r="Z719" s="11">
        <f t="shared" si="23"/>
        <v>2.1939029905368619E-2</v>
      </c>
    </row>
    <row r="720" spans="1:26" x14ac:dyDescent="0.2">
      <c r="A720" s="45">
        <v>135</v>
      </c>
      <c r="B720" s="45">
        <v>2000</v>
      </c>
      <c r="C720" s="17">
        <v>0</v>
      </c>
      <c r="D720" s="14">
        <v>3.8810900000000002E-2</v>
      </c>
      <c r="E720" s="14">
        <v>0.34140209999999999</v>
      </c>
      <c r="F720" s="14">
        <v>4.2772400000000002E-2</v>
      </c>
      <c r="G720" s="14">
        <v>0.53722150000000002</v>
      </c>
      <c r="H720" s="14">
        <v>0.1610219</v>
      </c>
      <c r="R720" s="11">
        <f t="shared" si="22"/>
        <v>1.4229109438875016E-2</v>
      </c>
      <c r="Z720" s="11">
        <f t="shared" si="23"/>
        <v>1.8377849446798374E-2</v>
      </c>
    </row>
    <row r="721" spans="1:26" x14ac:dyDescent="0.2">
      <c r="A721" s="45">
        <v>135</v>
      </c>
      <c r="B721" s="45">
        <v>2001</v>
      </c>
      <c r="C721" s="17">
        <v>0</v>
      </c>
      <c r="D721" s="14">
        <v>2.0551699999999999E-2</v>
      </c>
      <c r="E721" s="14">
        <v>0.37297720000000001</v>
      </c>
      <c r="F721" s="14">
        <v>3.66164E-2</v>
      </c>
      <c r="G721" s="14">
        <v>0.64577399999999996</v>
      </c>
      <c r="H721" s="14">
        <v>0.15880810000000001</v>
      </c>
      <c r="R721" s="11">
        <f t="shared" si="22"/>
        <v>1.2035437445081832E-2</v>
      </c>
      <c r="Z721" s="11">
        <f t="shared" si="23"/>
        <v>1.5457665280973613E-2</v>
      </c>
    </row>
    <row r="722" spans="1:26" x14ac:dyDescent="0.2">
      <c r="A722" s="45">
        <v>135</v>
      </c>
      <c r="B722" s="45">
        <v>2002</v>
      </c>
      <c r="C722" s="17">
        <v>0</v>
      </c>
      <c r="D722" s="14">
        <v>2.2923700000000002E-2</v>
      </c>
      <c r="E722" s="14">
        <v>0.37242629999999999</v>
      </c>
      <c r="F722" s="14">
        <v>5.1922200000000002E-2</v>
      </c>
      <c r="G722" s="14">
        <v>0.5195824</v>
      </c>
      <c r="H722" s="14">
        <v>0.15168590000000001</v>
      </c>
      <c r="R722" s="11">
        <f t="shared" si="22"/>
        <v>1.301793054622084E-2</v>
      </c>
      <c r="Z722" s="11">
        <f t="shared" si="23"/>
        <v>1.696823279762508E-2</v>
      </c>
    </row>
    <row r="723" spans="1:26" x14ac:dyDescent="0.2">
      <c r="A723" s="45">
        <v>135</v>
      </c>
      <c r="B723" s="45">
        <v>2003</v>
      </c>
      <c r="C723" s="17">
        <v>0</v>
      </c>
      <c r="D723" s="14">
        <v>2.4530099999999999E-2</v>
      </c>
      <c r="E723" s="14">
        <v>0.3625466</v>
      </c>
      <c r="F723" s="14">
        <v>5.5205799999999999E-2</v>
      </c>
      <c r="G723" s="14">
        <v>0.83324169999999997</v>
      </c>
      <c r="H723" s="14">
        <v>0.17289080000000001</v>
      </c>
      <c r="R723" s="11">
        <f t="shared" si="22"/>
        <v>7.844476176805882E-3</v>
      </c>
      <c r="Z723" s="11">
        <f t="shared" si="23"/>
        <v>1.0195118217587333E-2</v>
      </c>
    </row>
    <row r="724" spans="1:26" x14ac:dyDescent="0.2">
      <c r="A724" s="45">
        <v>135</v>
      </c>
      <c r="B724" s="45">
        <v>2004</v>
      </c>
      <c r="C724" s="17">
        <v>0</v>
      </c>
      <c r="D724" s="14">
        <v>2.93672E-2</v>
      </c>
      <c r="E724" s="14">
        <v>0.38073360000000001</v>
      </c>
      <c r="F724" s="14">
        <v>5.5989499999999998E-2</v>
      </c>
      <c r="G724" s="14">
        <v>1.3967909999999999</v>
      </c>
      <c r="H724" s="14">
        <v>0.17629700000000001</v>
      </c>
      <c r="R724" s="11">
        <f t="shared" si="22"/>
        <v>3.1074135652244491E-3</v>
      </c>
      <c r="Z724" s="11">
        <f t="shared" si="23"/>
        <v>3.9997119941478261E-3</v>
      </c>
    </row>
    <row r="725" spans="1:26" x14ac:dyDescent="0.2">
      <c r="A725" s="45">
        <v>136</v>
      </c>
      <c r="B725" s="45">
        <v>1997</v>
      </c>
      <c r="C725" s="17">
        <v>0</v>
      </c>
      <c r="D725" s="14">
        <v>6.7547899999999994E-2</v>
      </c>
      <c r="E725" s="14">
        <v>9.3645999999999993E-2</v>
      </c>
      <c r="F725" s="14">
        <v>4.80043E-2</v>
      </c>
      <c r="G725" s="14">
        <v>4.5881819999999998</v>
      </c>
      <c r="H725" s="14">
        <v>0.1133719</v>
      </c>
      <c r="R725" s="11">
        <f t="shared" si="22"/>
        <v>3.1191644026621021E-5</v>
      </c>
      <c r="Z725" s="11">
        <f t="shared" si="23"/>
        <v>3.6848219743928894E-5</v>
      </c>
    </row>
    <row r="726" spans="1:26" x14ac:dyDescent="0.2">
      <c r="A726" s="45">
        <v>136</v>
      </c>
      <c r="B726" s="45">
        <v>1998</v>
      </c>
      <c r="C726" s="17">
        <v>0</v>
      </c>
      <c r="D726" s="14">
        <v>5.2339700000000003E-2</v>
      </c>
      <c r="E726" s="14">
        <v>8.7768100000000002E-2</v>
      </c>
      <c r="F726" s="14">
        <v>3.1979300000000002E-2</v>
      </c>
      <c r="G726" s="14">
        <v>4.7305650000000004</v>
      </c>
      <c r="H726" s="14">
        <v>9.1883000000000006E-2</v>
      </c>
      <c r="R726" s="11">
        <f t="shared" si="22"/>
        <v>2.8502269643060534E-5</v>
      </c>
      <c r="Z726" s="11">
        <f t="shared" si="23"/>
        <v>3.312105627689052E-5</v>
      </c>
    </row>
    <row r="727" spans="1:26" x14ac:dyDescent="0.2">
      <c r="A727" s="45">
        <v>136</v>
      </c>
      <c r="B727" s="45">
        <v>1999</v>
      </c>
      <c r="C727" s="17">
        <v>0</v>
      </c>
      <c r="D727" s="14">
        <v>5.1260600000000003E-2</v>
      </c>
      <c r="E727" s="14">
        <v>7.0299799999999996E-2</v>
      </c>
      <c r="F727" s="14">
        <v>2.5059100000000001E-2</v>
      </c>
      <c r="G727" s="14">
        <v>4.4996090000000004</v>
      </c>
      <c r="H727" s="14">
        <v>9.1486100000000001E-2</v>
      </c>
      <c r="R727" s="11">
        <f t="shared" ref="R727:R790" si="24">1/(1+EXP(-(K$2+$M$2*E727+$N$2*F727+$O$2*G727)))</f>
        <v>4.4646328728621986E-5</v>
      </c>
      <c r="Z727" s="11">
        <f t="shared" si="23"/>
        <v>5.1819667307020832E-5</v>
      </c>
    </row>
    <row r="728" spans="1:26" x14ac:dyDescent="0.2">
      <c r="A728" s="45">
        <v>136</v>
      </c>
      <c r="B728" s="45">
        <v>2000</v>
      </c>
      <c r="C728" s="17">
        <v>0</v>
      </c>
      <c r="D728" s="14">
        <v>2.1422900000000002E-2</v>
      </c>
      <c r="E728" s="14">
        <v>3.75968E-2</v>
      </c>
      <c r="F728" s="14">
        <v>2.5130300000000001E-2</v>
      </c>
      <c r="G728" s="14">
        <v>1.472167</v>
      </c>
      <c r="H728" s="14">
        <v>7.40286E-2</v>
      </c>
      <c r="R728" s="11">
        <f t="shared" si="24"/>
        <v>5.7935567143075281E-3</v>
      </c>
      <c r="Z728" s="11">
        <f t="shared" si="23"/>
        <v>7.1704687260108931E-3</v>
      </c>
    </row>
    <row r="729" spans="1:26" x14ac:dyDescent="0.2">
      <c r="A729" s="45">
        <v>136</v>
      </c>
      <c r="B729" s="45">
        <v>2001</v>
      </c>
      <c r="C729" s="17">
        <v>0</v>
      </c>
      <c r="D729" s="14">
        <v>2.00825E-2</v>
      </c>
      <c r="E729" s="14">
        <v>2.4309799999999999E-2</v>
      </c>
      <c r="F729" s="14">
        <v>4.08134E-2</v>
      </c>
      <c r="G729" s="14">
        <v>1.7446969999999999</v>
      </c>
      <c r="H729" s="14">
        <v>6.9028300000000001E-2</v>
      </c>
      <c r="R729" s="11">
        <f t="shared" si="24"/>
        <v>3.3829071513423446E-3</v>
      </c>
      <c r="Z729" s="11">
        <f t="shared" si="23"/>
        <v>4.2160898944309322E-3</v>
      </c>
    </row>
    <row r="730" spans="1:26" x14ac:dyDescent="0.2">
      <c r="A730" s="45">
        <v>136</v>
      </c>
      <c r="B730" s="45">
        <v>2002</v>
      </c>
      <c r="C730" s="17">
        <v>0</v>
      </c>
      <c r="D730" s="14">
        <v>7.2087999999999996E-3</v>
      </c>
      <c r="E730" s="14">
        <v>-0.56635170000000001</v>
      </c>
      <c r="F730" s="14">
        <v>3.1436600000000002E-2</v>
      </c>
      <c r="G730" s="14">
        <v>1.723889</v>
      </c>
      <c r="H730" s="14">
        <v>0.12325709999999999</v>
      </c>
      <c r="R730" s="11">
        <f t="shared" si="24"/>
        <v>8.8483891444356543E-3</v>
      </c>
      <c r="Z730" s="11">
        <f t="shared" si="23"/>
        <v>1.0717556921039642E-2</v>
      </c>
    </row>
    <row r="731" spans="1:26" x14ac:dyDescent="0.2">
      <c r="A731" s="45">
        <v>136</v>
      </c>
      <c r="B731" s="45">
        <v>2003</v>
      </c>
      <c r="C731" s="17">
        <v>0</v>
      </c>
      <c r="D731" s="14">
        <v>4.6775700000000003E-2</v>
      </c>
      <c r="E731" s="14">
        <v>-0.50364140000000002</v>
      </c>
      <c r="F731" s="14">
        <v>5.3709199999999999E-2</v>
      </c>
      <c r="G731" s="14">
        <v>2.275928</v>
      </c>
      <c r="H731" s="14">
        <v>0.1032401</v>
      </c>
      <c r="R731" s="11">
        <f t="shared" si="24"/>
        <v>2.8213901895861372E-3</v>
      </c>
      <c r="Z731" s="11">
        <f t="shared" si="23"/>
        <v>3.4500344877613285E-3</v>
      </c>
    </row>
    <row r="732" spans="1:26" x14ac:dyDescent="0.2">
      <c r="A732" s="45">
        <v>136</v>
      </c>
      <c r="B732" s="45">
        <v>2004</v>
      </c>
      <c r="C732" s="17">
        <v>0</v>
      </c>
      <c r="D732" s="14">
        <v>3.6994800000000001E-2</v>
      </c>
      <c r="E732" s="14">
        <v>-0.96133120000000005</v>
      </c>
      <c r="F732" s="14">
        <v>4.7390300000000003E-2</v>
      </c>
      <c r="G732" s="14">
        <v>1.8588830000000001</v>
      </c>
      <c r="H732" s="14">
        <v>0.14758350000000001</v>
      </c>
      <c r="R732" s="11">
        <f t="shared" si="24"/>
        <v>1.1128401184742013E-2</v>
      </c>
      <c r="Z732" s="11">
        <f t="shared" si="23"/>
        <v>1.3427095668288983E-2</v>
      </c>
    </row>
    <row r="733" spans="1:26" x14ac:dyDescent="0.2">
      <c r="A733" s="45">
        <v>137</v>
      </c>
      <c r="B733" s="45">
        <v>2000</v>
      </c>
      <c r="C733" s="17">
        <v>0</v>
      </c>
      <c r="D733" s="14">
        <v>2.03254E-2</v>
      </c>
      <c r="E733" s="14">
        <v>0.10561429999999999</v>
      </c>
      <c r="F733" s="14">
        <v>1.7954899999999999E-2</v>
      </c>
      <c r="G733" s="14">
        <v>0.37421349999999998</v>
      </c>
      <c r="H733" s="14">
        <v>6.7913299999999996E-2</v>
      </c>
      <c r="R733" s="11">
        <f t="shared" si="24"/>
        <v>3.1158663081743861E-2</v>
      </c>
      <c r="Z733" s="11">
        <f t="shared" si="23"/>
        <v>3.9099172298592194E-2</v>
      </c>
    </row>
    <row r="734" spans="1:26" x14ac:dyDescent="0.2">
      <c r="A734" s="45">
        <v>137</v>
      </c>
      <c r="B734" s="45">
        <v>2001</v>
      </c>
      <c r="C734" s="17">
        <v>0</v>
      </c>
      <c r="D734" s="14">
        <v>3.0888200000000001E-2</v>
      </c>
      <c r="E734" s="14">
        <v>2.0881299999999998E-2</v>
      </c>
      <c r="F734" s="14">
        <v>1.8273399999999999E-2</v>
      </c>
      <c r="G734" s="14">
        <v>0.37029600000000001</v>
      </c>
      <c r="H734" s="14">
        <v>6.9850099999999998E-2</v>
      </c>
      <c r="R734" s="11">
        <f t="shared" si="24"/>
        <v>3.522598718665685E-2</v>
      </c>
      <c r="Z734" s="11">
        <f t="shared" si="23"/>
        <v>4.4047982845763479E-2</v>
      </c>
    </row>
    <row r="735" spans="1:26" x14ac:dyDescent="0.2">
      <c r="A735" s="45">
        <v>137</v>
      </c>
      <c r="B735" s="45">
        <v>2002</v>
      </c>
      <c r="C735" s="17">
        <v>0</v>
      </c>
      <c r="D735" s="14">
        <v>-0.86150749999999998</v>
      </c>
      <c r="E735" s="14">
        <v>-0.68383649999999996</v>
      </c>
      <c r="F735" s="14">
        <v>4.2715099999999999E-2</v>
      </c>
      <c r="G735" s="14">
        <v>2.9757200000000001E-2</v>
      </c>
      <c r="H735" s="14">
        <v>0.13808880000000001</v>
      </c>
      <c r="R735" s="11">
        <f t="shared" si="24"/>
        <v>0.12583853035040893</v>
      </c>
      <c r="Z735" s="11">
        <f t="shared" si="23"/>
        <v>0.15417749309406922</v>
      </c>
    </row>
    <row r="736" spans="1:26" x14ac:dyDescent="0.2">
      <c r="A736" s="45">
        <v>138</v>
      </c>
      <c r="B736" s="45">
        <v>1999</v>
      </c>
      <c r="C736" s="17">
        <v>0</v>
      </c>
      <c r="D736" s="14">
        <v>-2.1570499999999999E-2</v>
      </c>
      <c r="E736" s="14">
        <v>0.43233359999999998</v>
      </c>
      <c r="F736" s="14">
        <v>8.23821E-2</v>
      </c>
      <c r="G736" s="14">
        <v>4.9419170000000001</v>
      </c>
      <c r="H736" s="14">
        <v>0.3009174</v>
      </c>
      <c r="R736" s="11">
        <f t="shared" si="24"/>
        <v>8.2401150983949897E-6</v>
      </c>
      <c r="Z736" s="11">
        <f t="shared" si="23"/>
        <v>1.0051017785294641E-5</v>
      </c>
    </row>
    <row r="737" spans="1:26" x14ac:dyDescent="0.2">
      <c r="A737" s="45">
        <v>138</v>
      </c>
      <c r="B737" s="45">
        <v>2000</v>
      </c>
      <c r="C737" s="17">
        <v>0</v>
      </c>
      <c r="D737" s="14">
        <v>1.7089900000000002E-2</v>
      </c>
      <c r="E737" s="14">
        <v>0.45219619999999999</v>
      </c>
      <c r="F737" s="14">
        <v>8.5750699999999999E-2</v>
      </c>
      <c r="G737" s="14">
        <v>4.1462729999999999</v>
      </c>
      <c r="H737" s="14">
        <v>0.29957450000000002</v>
      </c>
      <c r="R737" s="11">
        <f t="shared" si="24"/>
        <v>2.7690856532560885E-5</v>
      </c>
      <c r="Z737" s="11">
        <f t="shared" si="23"/>
        <v>3.4491746044681021E-5</v>
      </c>
    </row>
    <row r="738" spans="1:26" x14ac:dyDescent="0.2">
      <c r="A738" s="45">
        <v>138</v>
      </c>
      <c r="B738" s="45">
        <v>2001</v>
      </c>
      <c r="C738" s="17">
        <v>0</v>
      </c>
      <c r="D738" s="14">
        <v>4.9456100000000003E-2</v>
      </c>
      <c r="E738" s="14">
        <v>0.50583920000000004</v>
      </c>
      <c r="F738" s="14">
        <v>8.5522200000000007E-2</v>
      </c>
      <c r="G738" s="14">
        <v>3.8542999999999998</v>
      </c>
      <c r="H738" s="14">
        <v>0.31891130000000001</v>
      </c>
      <c r="R738" s="11">
        <f t="shared" si="24"/>
        <v>4.0862196114127978E-5</v>
      </c>
      <c r="Z738" s="11">
        <f t="shared" si="23"/>
        <v>5.1310760126334131E-5</v>
      </c>
    </row>
    <row r="739" spans="1:26" x14ac:dyDescent="0.2">
      <c r="A739" s="45">
        <v>138</v>
      </c>
      <c r="B739" s="45">
        <v>2002</v>
      </c>
      <c r="C739" s="17">
        <v>0</v>
      </c>
      <c r="D739" s="14">
        <v>-2.41193E-2</v>
      </c>
      <c r="E739" s="14">
        <v>0.56448019999999999</v>
      </c>
      <c r="F739" s="14">
        <v>0.10790039999999999</v>
      </c>
      <c r="G739" s="14">
        <v>4.2112819999999997</v>
      </c>
      <c r="H739" s="14">
        <v>0.33049149999999999</v>
      </c>
      <c r="R739" s="11">
        <f t="shared" si="24"/>
        <v>1.7762228529045592E-5</v>
      </c>
      <c r="Z739" s="11">
        <f t="shared" si="23"/>
        <v>2.2584574800166407E-5</v>
      </c>
    </row>
    <row r="740" spans="1:26" x14ac:dyDescent="0.2">
      <c r="A740" s="45">
        <v>138</v>
      </c>
      <c r="B740" s="45">
        <v>2003</v>
      </c>
      <c r="C740" s="17">
        <v>0</v>
      </c>
      <c r="D740" s="14">
        <v>-0.1127436</v>
      </c>
      <c r="E740" s="14">
        <v>0.63415489999999997</v>
      </c>
      <c r="F740" s="14">
        <v>0.1048741</v>
      </c>
      <c r="G740" s="14">
        <v>3.8305669999999998</v>
      </c>
      <c r="H740" s="14">
        <v>0.35406989999999999</v>
      </c>
      <c r="R740" s="11">
        <f t="shared" si="24"/>
        <v>3.0164511811866832E-5</v>
      </c>
      <c r="Z740" s="11">
        <f t="shared" si="23"/>
        <v>3.8673196174170652E-5</v>
      </c>
    </row>
    <row r="741" spans="1:26" x14ac:dyDescent="0.2">
      <c r="A741" s="45">
        <v>138</v>
      </c>
      <c r="B741" s="45">
        <v>2004</v>
      </c>
      <c r="C741" s="17">
        <v>0</v>
      </c>
      <c r="D741" s="14">
        <v>-2.45702E-2</v>
      </c>
      <c r="E741" s="14">
        <v>0.69742479999999996</v>
      </c>
      <c r="F741" s="14">
        <v>0.108793</v>
      </c>
      <c r="G741" s="14">
        <v>5.007206</v>
      </c>
      <c r="H741" s="14">
        <v>0.34561809999999998</v>
      </c>
      <c r="R741" s="11">
        <f t="shared" si="24"/>
        <v>4.0888503881432409E-6</v>
      </c>
      <c r="Z741" s="11">
        <f t="shared" si="23"/>
        <v>5.1357288681621491E-6</v>
      </c>
    </row>
    <row r="742" spans="1:26" x14ac:dyDescent="0.2">
      <c r="A742" s="45">
        <v>139</v>
      </c>
      <c r="B742" s="45">
        <v>1999</v>
      </c>
      <c r="C742" s="17">
        <v>0</v>
      </c>
      <c r="D742" s="14">
        <v>2.3361699999999999E-2</v>
      </c>
      <c r="E742" s="14">
        <v>1.5892E-3</v>
      </c>
      <c r="F742" s="14">
        <v>3.9931700000000001E-2</v>
      </c>
      <c r="G742" s="14">
        <v>0.31618750000000001</v>
      </c>
      <c r="H742" s="14">
        <v>0.25197009999999997</v>
      </c>
      <c r="R742" s="11">
        <f t="shared" si="24"/>
        <v>3.3275964154793426E-2</v>
      </c>
      <c r="Z742" s="11">
        <f t="shared" si="23"/>
        <v>4.2366283015841187E-2</v>
      </c>
    </row>
    <row r="743" spans="1:26" x14ac:dyDescent="0.2">
      <c r="A743" s="45">
        <v>139</v>
      </c>
      <c r="B743" s="45">
        <v>2000</v>
      </c>
      <c r="C743" s="17">
        <v>0</v>
      </c>
      <c r="D743" s="14">
        <v>4.6860499999999999E-2</v>
      </c>
      <c r="E743" s="14">
        <v>2.7307999999999998E-3</v>
      </c>
      <c r="F743" s="14">
        <v>2.7642799999999999E-2</v>
      </c>
      <c r="G743" s="14">
        <v>0.25140489999999999</v>
      </c>
      <c r="H743" s="14">
        <v>0.2448166</v>
      </c>
      <c r="R743" s="11">
        <f t="shared" si="24"/>
        <v>4.0341343241068049E-2</v>
      </c>
      <c r="Z743" s="11">
        <f t="shared" si="23"/>
        <v>5.0842453779065801E-2</v>
      </c>
    </row>
    <row r="744" spans="1:26" x14ac:dyDescent="0.2">
      <c r="A744" s="45">
        <v>139</v>
      </c>
      <c r="B744" s="45">
        <v>2001</v>
      </c>
      <c r="C744" s="17">
        <v>0</v>
      </c>
      <c r="D744" s="14">
        <v>-2.3419200000000001E-2</v>
      </c>
      <c r="E744" s="14">
        <v>-2.9196999999999999E-3</v>
      </c>
      <c r="F744" s="14">
        <v>3.1120100000000001E-2</v>
      </c>
      <c r="G744" s="14">
        <v>0.26647880000000002</v>
      </c>
      <c r="H744" s="14">
        <v>0.26194889999999998</v>
      </c>
      <c r="R744" s="11">
        <f t="shared" si="24"/>
        <v>3.8686060621997469E-2</v>
      </c>
      <c r="Z744" s="11">
        <f t="shared" si="23"/>
        <v>4.8886168858567391E-2</v>
      </c>
    </row>
    <row r="745" spans="1:26" x14ac:dyDescent="0.2">
      <c r="A745" s="45">
        <v>139</v>
      </c>
      <c r="B745" s="45">
        <v>2002</v>
      </c>
      <c r="C745" s="17">
        <v>0</v>
      </c>
      <c r="D745" s="14">
        <v>4.8809100000000001E-2</v>
      </c>
      <c r="E745" s="14">
        <v>2.6256600000000001E-2</v>
      </c>
      <c r="F745" s="14">
        <v>3.9513600000000003E-2</v>
      </c>
      <c r="G745" s="14">
        <v>0.35741699999999998</v>
      </c>
      <c r="H745" s="14">
        <v>0.23315520000000001</v>
      </c>
      <c r="R745" s="11">
        <f t="shared" si="24"/>
        <v>3.0257005775841252E-2</v>
      </c>
      <c r="Z745" s="11">
        <f t="shared" si="23"/>
        <v>3.8540483127475329E-2</v>
      </c>
    </row>
    <row r="746" spans="1:26" x14ac:dyDescent="0.2">
      <c r="A746" s="45">
        <v>139</v>
      </c>
      <c r="B746" s="45">
        <v>2003</v>
      </c>
      <c r="C746" s="17">
        <v>0</v>
      </c>
      <c r="D746" s="14">
        <v>8.43357E-2</v>
      </c>
      <c r="E746" s="14">
        <v>2.7949700000000001E-2</v>
      </c>
      <c r="F746" s="14">
        <v>3.9598099999999997E-2</v>
      </c>
      <c r="G746" s="14">
        <v>0.29547810000000002</v>
      </c>
      <c r="H746" s="14">
        <v>0.246201</v>
      </c>
      <c r="R746" s="11">
        <f t="shared" si="24"/>
        <v>3.319057077744364E-2</v>
      </c>
      <c r="Z746" s="11">
        <f t="shared" si="23"/>
        <v>4.2302562475209429E-2</v>
      </c>
    </row>
    <row r="747" spans="1:26" x14ac:dyDescent="0.2">
      <c r="A747" s="45">
        <v>139</v>
      </c>
      <c r="B747" s="45">
        <v>2004</v>
      </c>
      <c r="C747" s="17">
        <v>0</v>
      </c>
      <c r="D747" s="14">
        <v>6.1300800000000003E-2</v>
      </c>
      <c r="E747" s="14">
        <v>4.6680300000000001E-2</v>
      </c>
      <c r="F747" s="14">
        <v>4.5320399999999997E-2</v>
      </c>
      <c r="G747" s="14">
        <v>0.32235989999999998</v>
      </c>
      <c r="H747" s="14">
        <v>0.26915739999999999</v>
      </c>
      <c r="R747" s="11">
        <f t="shared" si="24"/>
        <v>2.9667634398452856E-2</v>
      </c>
      <c r="Z747" s="11">
        <f t="shared" si="23"/>
        <v>3.8023339808080141E-2</v>
      </c>
    </row>
    <row r="748" spans="1:26" x14ac:dyDescent="0.2">
      <c r="A748" s="45">
        <v>140</v>
      </c>
      <c r="B748" s="45">
        <v>1999</v>
      </c>
      <c r="C748" s="17">
        <v>0</v>
      </c>
      <c r="D748" s="14">
        <v>-0.13792499999999999</v>
      </c>
      <c r="E748" s="14">
        <v>0.91661789999999999</v>
      </c>
      <c r="F748" s="14">
        <v>8.6003700000000002E-2</v>
      </c>
      <c r="G748" s="14">
        <v>11.919169999999999</v>
      </c>
      <c r="H748" s="14">
        <v>0.25479689999999999</v>
      </c>
      <c r="R748" s="11">
        <f t="shared" si="24"/>
        <v>5.8703207436359808E-11</v>
      </c>
      <c r="Z748" s="11">
        <f t="shared" si="23"/>
        <v>6.2619426232110141E-11</v>
      </c>
    </row>
    <row r="749" spans="1:26" x14ac:dyDescent="0.2">
      <c r="A749" s="45">
        <v>140</v>
      </c>
      <c r="B749" s="45">
        <v>2000</v>
      </c>
      <c r="C749" s="17">
        <v>0</v>
      </c>
      <c r="D749" s="14">
        <v>-0.1206639</v>
      </c>
      <c r="E749" s="14">
        <v>0.93576000000000004</v>
      </c>
      <c r="F749" s="14">
        <v>7.7886399999999995E-2</v>
      </c>
      <c r="G749" s="14">
        <v>13.14859</v>
      </c>
      <c r="H749" s="14">
        <v>0.25169439999999998</v>
      </c>
      <c r="R749" s="11">
        <f t="shared" si="24"/>
        <v>8.5882546442630066E-12</v>
      </c>
      <c r="Z749" s="11">
        <f t="shared" si="23"/>
        <v>8.8631802983078401E-12</v>
      </c>
    </row>
    <row r="750" spans="1:26" x14ac:dyDescent="0.2">
      <c r="A750" s="45">
        <v>140</v>
      </c>
      <c r="B750" s="45">
        <v>2001</v>
      </c>
      <c r="C750" s="17">
        <v>0</v>
      </c>
      <c r="D750" s="14">
        <v>-3.37989E-2</v>
      </c>
      <c r="E750" s="14">
        <v>0.95508230000000005</v>
      </c>
      <c r="F750" s="14">
        <v>8.4447700000000001E-2</v>
      </c>
      <c r="G750" s="14">
        <v>10.64119</v>
      </c>
      <c r="H750" s="14">
        <v>0.22592090000000001</v>
      </c>
      <c r="R750" s="11">
        <f t="shared" si="24"/>
        <v>4.3077865568183086E-10</v>
      </c>
      <c r="Z750" s="11">
        <f t="shared" si="23"/>
        <v>4.726529284794388E-10</v>
      </c>
    </row>
    <row r="751" spans="1:26" x14ac:dyDescent="0.2">
      <c r="A751" s="45">
        <v>140</v>
      </c>
      <c r="B751" s="45">
        <v>2002</v>
      </c>
      <c r="C751" s="17">
        <v>0</v>
      </c>
      <c r="D751" s="14">
        <v>2.1559999999999999E-2</v>
      </c>
      <c r="E751" s="14">
        <v>0.88991399999999998</v>
      </c>
      <c r="F751" s="14">
        <v>8.1004300000000001E-2</v>
      </c>
      <c r="G751" s="14">
        <v>8.5928970000000007</v>
      </c>
      <c r="H751" s="14">
        <v>0.21841550000000001</v>
      </c>
      <c r="R751" s="11">
        <f t="shared" si="24"/>
        <v>1.2734145223799986E-8</v>
      </c>
      <c r="Z751" s="11">
        <f t="shared" si="23"/>
        <v>1.4542912628920822E-8</v>
      </c>
    </row>
    <row r="752" spans="1:26" x14ac:dyDescent="0.2">
      <c r="A752" s="45">
        <v>140</v>
      </c>
      <c r="B752" s="45">
        <v>2003</v>
      </c>
      <c r="C752" s="17">
        <v>0</v>
      </c>
      <c r="D752" s="14">
        <v>5.0698100000000003E-2</v>
      </c>
      <c r="E752" s="14">
        <v>0.92711860000000001</v>
      </c>
      <c r="F752" s="14">
        <v>8.3668900000000004E-2</v>
      </c>
      <c r="G752" s="14">
        <v>9.4099389999999996</v>
      </c>
      <c r="H752" s="14">
        <v>0.217859</v>
      </c>
      <c r="R752" s="11">
        <f t="shared" si="24"/>
        <v>3.2118369916252639E-9</v>
      </c>
      <c r="Z752" s="11">
        <f t="shared" si="23"/>
        <v>3.6151266675995317E-9</v>
      </c>
    </row>
    <row r="753" spans="1:26" x14ac:dyDescent="0.2">
      <c r="A753" s="45">
        <v>140</v>
      </c>
      <c r="B753" s="45">
        <v>2004</v>
      </c>
      <c r="C753" s="17">
        <v>0</v>
      </c>
      <c r="D753" s="14">
        <v>7.3733099999999996E-2</v>
      </c>
      <c r="E753" s="14">
        <v>0.91873400000000005</v>
      </c>
      <c r="F753" s="14">
        <v>8.2495499999999999E-2</v>
      </c>
      <c r="G753" s="14">
        <v>6.5832990000000002</v>
      </c>
      <c r="H753" s="14">
        <v>0.2007603</v>
      </c>
      <c r="R753" s="11">
        <f t="shared" si="24"/>
        <v>2.9676404593126712E-7</v>
      </c>
      <c r="Z753" s="11">
        <f t="shared" si="23"/>
        <v>3.5503567024722403E-7</v>
      </c>
    </row>
    <row r="754" spans="1:26" x14ac:dyDescent="0.2">
      <c r="A754" s="45">
        <v>141</v>
      </c>
      <c r="B754" s="45">
        <v>1999</v>
      </c>
      <c r="C754" s="17">
        <v>0</v>
      </c>
      <c r="D754" s="14">
        <v>0.47862719999999997</v>
      </c>
      <c r="E754" s="14">
        <v>-0.94111199999999995</v>
      </c>
      <c r="F754" s="14">
        <v>-4.8169700000000003E-2</v>
      </c>
      <c r="G754" s="14">
        <v>0.38359310000000002</v>
      </c>
      <c r="H754" s="14">
        <v>9.6370800000000006E-2</v>
      </c>
      <c r="R754" s="11">
        <f t="shared" si="24"/>
        <v>0.19764802968519007</v>
      </c>
      <c r="Z754" s="11">
        <f t="shared" si="23"/>
        <v>0.22164467490236756</v>
      </c>
    </row>
    <row r="755" spans="1:26" x14ac:dyDescent="0.2">
      <c r="A755" s="45">
        <v>141</v>
      </c>
      <c r="B755" s="45">
        <v>2000</v>
      </c>
      <c r="C755" s="17">
        <v>1</v>
      </c>
      <c r="D755" s="14">
        <v>0.37201400000000001</v>
      </c>
      <c r="E755" s="14">
        <v>-1.429416</v>
      </c>
      <c r="F755" s="14">
        <v>-4.68376E-2</v>
      </c>
      <c r="G755" s="14">
        <v>0.181752</v>
      </c>
      <c r="H755" s="14">
        <v>0.10936419999999999</v>
      </c>
      <c r="R755" s="11">
        <f t="shared" si="24"/>
        <v>0.40611286103683897</v>
      </c>
      <c r="Z755" s="11">
        <f t="shared" si="23"/>
        <v>0.43873274001468826</v>
      </c>
    </row>
    <row r="756" spans="1:26" x14ac:dyDescent="0.2">
      <c r="A756" s="45">
        <v>142</v>
      </c>
      <c r="B756" s="45">
        <v>1999</v>
      </c>
      <c r="C756" s="17">
        <v>0</v>
      </c>
      <c r="D756" s="14">
        <v>4.70099E-2</v>
      </c>
      <c r="E756" s="14">
        <v>0.43959680000000001</v>
      </c>
      <c r="F756" s="14">
        <v>0.1025141</v>
      </c>
      <c r="G756" s="14">
        <v>6.808662</v>
      </c>
      <c r="H756" s="14">
        <v>0.34848210000000002</v>
      </c>
      <c r="R756" s="11">
        <f t="shared" si="24"/>
        <v>3.5437141087592026E-7</v>
      </c>
      <c r="Z756" s="11">
        <f t="shared" si="23"/>
        <v>4.2185001023880778E-7</v>
      </c>
    </row>
    <row r="757" spans="1:26" x14ac:dyDescent="0.2">
      <c r="A757" s="45">
        <v>142</v>
      </c>
      <c r="B757" s="45">
        <v>2000</v>
      </c>
      <c r="C757" s="17">
        <v>0</v>
      </c>
      <c r="D757" s="14">
        <v>4.5320300000000001E-2</v>
      </c>
      <c r="E757" s="14">
        <v>0.54106410000000005</v>
      </c>
      <c r="F757" s="14">
        <v>0.1118334</v>
      </c>
      <c r="G757" s="14">
        <v>6.4231100000000003</v>
      </c>
      <c r="H757" s="14">
        <v>0.37408390000000002</v>
      </c>
      <c r="R757" s="11">
        <f t="shared" si="24"/>
        <v>5.246218021264469E-7</v>
      </c>
      <c r="Z757" s="11">
        <f t="shared" si="23"/>
        <v>6.3688503571736038E-7</v>
      </c>
    </row>
    <row r="758" spans="1:26" x14ac:dyDescent="0.2">
      <c r="A758" s="45">
        <v>142</v>
      </c>
      <c r="B758" s="45">
        <v>2001</v>
      </c>
      <c r="C758" s="17">
        <v>0</v>
      </c>
      <c r="D758" s="14">
        <v>3.8207199999999997E-2</v>
      </c>
      <c r="E758" s="14">
        <v>0.60990670000000002</v>
      </c>
      <c r="F758" s="14">
        <v>0.1035539</v>
      </c>
      <c r="G758" s="14">
        <v>5.2246699999999997</v>
      </c>
      <c r="H758" s="14">
        <v>0.35969200000000001</v>
      </c>
      <c r="R758" s="11">
        <f t="shared" si="24"/>
        <v>3.4242283346897206E-6</v>
      </c>
      <c r="Z758" s="11">
        <f t="shared" si="23"/>
        <v>4.2492868355228556E-6</v>
      </c>
    </row>
    <row r="759" spans="1:26" x14ac:dyDescent="0.2">
      <c r="A759" s="45">
        <v>142</v>
      </c>
      <c r="B759" s="45">
        <v>2002</v>
      </c>
      <c r="C759" s="17">
        <v>0</v>
      </c>
      <c r="D759" s="14">
        <v>2.8593899999999998E-2</v>
      </c>
      <c r="E759" s="14">
        <v>0.67481729999999995</v>
      </c>
      <c r="F759" s="14">
        <v>8.4932400000000005E-2</v>
      </c>
      <c r="G759" s="14">
        <v>4.232329</v>
      </c>
      <c r="H759" s="14">
        <v>0.37933820000000001</v>
      </c>
      <c r="R759" s="11">
        <f t="shared" si="24"/>
        <v>1.7581091714851412E-5</v>
      </c>
      <c r="Z759" s="11">
        <f t="shared" si="23"/>
        <v>2.2010265098399688E-5</v>
      </c>
    </row>
    <row r="760" spans="1:26" x14ac:dyDescent="0.2">
      <c r="A760" s="45">
        <v>142</v>
      </c>
      <c r="B760" s="45">
        <v>2003</v>
      </c>
      <c r="C760" s="17">
        <v>0</v>
      </c>
      <c r="D760" s="14">
        <v>4.1827700000000002E-2</v>
      </c>
      <c r="E760" s="14">
        <v>0.77195409999999998</v>
      </c>
      <c r="F760" s="14">
        <v>9.9979999999999999E-2</v>
      </c>
      <c r="G760" s="14">
        <v>4.1027189999999996</v>
      </c>
      <c r="H760" s="14">
        <v>0.35685670000000003</v>
      </c>
      <c r="R760" s="11">
        <f t="shared" si="24"/>
        <v>1.66392625553372E-5</v>
      </c>
      <c r="Z760" s="11">
        <f t="shared" si="23"/>
        <v>2.1220508216249985E-5</v>
      </c>
    </row>
    <row r="761" spans="1:26" x14ac:dyDescent="0.2">
      <c r="A761" s="45">
        <v>142</v>
      </c>
      <c r="B761" s="45">
        <v>2004</v>
      </c>
      <c r="C761" s="17">
        <v>0</v>
      </c>
      <c r="D761" s="14">
        <v>2.6225200000000001E-2</v>
      </c>
      <c r="E761" s="14">
        <v>0.77475839999999996</v>
      </c>
      <c r="F761" s="14">
        <v>8.5638000000000006E-2</v>
      </c>
      <c r="G761" s="14">
        <v>3.6906059999999998</v>
      </c>
      <c r="H761" s="14">
        <v>0.36080289999999998</v>
      </c>
      <c r="R761" s="11">
        <f t="shared" si="24"/>
        <v>3.5842409118652964E-5</v>
      </c>
      <c r="Z761" s="11">
        <f t="shared" si="23"/>
        <v>4.5592575042328716E-5</v>
      </c>
    </row>
    <row r="762" spans="1:26" x14ac:dyDescent="0.2">
      <c r="A762" s="45">
        <v>143</v>
      </c>
      <c r="B762" s="45">
        <v>1999</v>
      </c>
      <c r="C762" s="17">
        <v>0</v>
      </c>
      <c r="D762" s="14">
        <v>-5.53868E-2</v>
      </c>
      <c r="E762" s="14">
        <v>9.1258300000000001E-2</v>
      </c>
      <c r="F762" s="14">
        <v>7.3519699999999993E-2</v>
      </c>
      <c r="G762" s="14">
        <v>1.0695509999999999</v>
      </c>
      <c r="H762" s="14">
        <v>0.1311176</v>
      </c>
      <c r="R762" s="11">
        <f t="shared" si="24"/>
        <v>6.9042729177517465E-3</v>
      </c>
      <c r="Z762" s="11">
        <f t="shared" si="23"/>
        <v>8.9802577702681723E-3</v>
      </c>
    </row>
    <row r="763" spans="1:26" x14ac:dyDescent="0.2">
      <c r="A763" s="45">
        <v>144</v>
      </c>
      <c r="B763" s="45">
        <v>1999</v>
      </c>
      <c r="C763" s="17">
        <v>0</v>
      </c>
      <c r="D763" s="14">
        <v>0.19186539999999999</v>
      </c>
      <c r="E763" s="14">
        <v>0.22024550000000001</v>
      </c>
      <c r="F763" s="14">
        <v>5.2483399999999999E-2</v>
      </c>
      <c r="G763" s="14">
        <v>2.0572539999999999</v>
      </c>
      <c r="H763" s="14">
        <v>9.2913700000000002E-2</v>
      </c>
      <c r="R763" s="11">
        <f t="shared" si="24"/>
        <v>1.411113871177559E-3</v>
      </c>
      <c r="Z763" s="11">
        <f t="shared" si="23"/>
        <v>1.7761032220617846E-3</v>
      </c>
    </row>
    <row r="764" spans="1:26" x14ac:dyDescent="0.2">
      <c r="A764" s="45">
        <v>144</v>
      </c>
      <c r="B764" s="45">
        <v>2000</v>
      </c>
      <c r="C764" s="17">
        <v>0</v>
      </c>
      <c r="D764" s="14">
        <v>6.1453099999999997E-2</v>
      </c>
      <c r="E764" s="14">
        <v>7.38182E-2</v>
      </c>
      <c r="F764" s="14">
        <v>4.0622999999999999E-2</v>
      </c>
      <c r="G764" s="14">
        <v>1.7588710000000001</v>
      </c>
      <c r="H764" s="14">
        <v>8.7929999999999994E-2</v>
      </c>
      <c r="R764" s="11">
        <f t="shared" si="24"/>
        <v>3.0832531292470785E-3</v>
      </c>
      <c r="Z764" s="11">
        <f t="shared" si="23"/>
        <v>3.8476248410762737E-3</v>
      </c>
    </row>
    <row r="765" spans="1:26" x14ac:dyDescent="0.2">
      <c r="A765" s="45">
        <v>144</v>
      </c>
      <c r="B765" s="45">
        <v>2001</v>
      </c>
      <c r="C765" s="17">
        <v>0</v>
      </c>
      <c r="D765" s="14">
        <v>7.0484699999999997E-2</v>
      </c>
      <c r="E765" s="14">
        <v>9.2808600000000005E-2</v>
      </c>
      <c r="F765" s="14">
        <v>2.1083899999999999E-2</v>
      </c>
      <c r="G765" s="14">
        <v>1.4622809999999999</v>
      </c>
      <c r="H765" s="14">
        <v>0.1028346</v>
      </c>
      <c r="R765" s="11">
        <f t="shared" si="24"/>
        <v>5.6112432997007773E-3</v>
      </c>
      <c r="Z765" s="11">
        <f t="shared" si="23"/>
        <v>6.9368115718506001E-3</v>
      </c>
    </row>
    <row r="766" spans="1:26" x14ac:dyDescent="0.2">
      <c r="A766" s="45">
        <v>144</v>
      </c>
      <c r="B766" s="45">
        <v>2002</v>
      </c>
      <c r="C766" s="17">
        <v>0</v>
      </c>
      <c r="D766" s="14">
        <v>-4.16908E-2</v>
      </c>
      <c r="E766" s="14">
        <v>4.4032799999999997E-2</v>
      </c>
      <c r="F766" s="14">
        <v>1.9464499999999999E-2</v>
      </c>
      <c r="G766" s="14">
        <v>0.73946400000000001</v>
      </c>
      <c r="H766" s="14">
        <v>5.4847300000000002E-2</v>
      </c>
      <c r="R766" s="11">
        <f t="shared" si="24"/>
        <v>1.9047200027918609E-2</v>
      </c>
      <c r="Z766" s="11">
        <f t="shared" si="23"/>
        <v>2.3769806713711528E-2</v>
      </c>
    </row>
    <row r="767" spans="1:26" x14ac:dyDescent="0.2">
      <c r="A767" s="45">
        <v>144</v>
      </c>
      <c r="B767" s="45">
        <v>2003</v>
      </c>
      <c r="C767" s="17">
        <v>0</v>
      </c>
      <c r="D767" s="14">
        <v>-8.7223999999999999E-3</v>
      </c>
      <c r="E767" s="14">
        <v>7.7627299999999996E-2</v>
      </c>
      <c r="F767" s="14">
        <v>4.53316E-2</v>
      </c>
      <c r="G767" s="14">
        <v>1.1190560000000001</v>
      </c>
      <c r="H767" s="14">
        <v>6.8281400000000006E-2</v>
      </c>
      <c r="R767" s="11">
        <f t="shared" si="24"/>
        <v>8.1441378111878956E-3</v>
      </c>
      <c r="Z767" s="11">
        <f t="shared" si="23"/>
        <v>1.0333654777344145E-2</v>
      </c>
    </row>
    <row r="768" spans="1:26" x14ac:dyDescent="0.2">
      <c r="A768" s="45">
        <v>144</v>
      </c>
      <c r="B768" s="45">
        <v>2004</v>
      </c>
      <c r="C768" s="17">
        <v>0</v>
      </c>
      <c r="D768" s="14">
        <v>-2.1090000000000001E-2</v>
      </c>
      <c r="E768" s="14">
        <v>9.2626700000000006E-2</v>
      </c>
      <c r="F768" s="14">
        <v>3.9639599999999997E-2</v>
      </c>
      <c r="G768" s="14">
        <v>1.2045589999999999</v>
      </c>
      <c r="H768" s="14">
        <v>6.7844799999999997E-2</v>
      </c>
      <c r="R768" s="11">
        <f t="shared" si="24"/>
        <v>7.2836324444587788E-3</v>
      </c>
      <c r="Z768" s="11">
        <f t="shared" si="23"/>
        <v>9.1888586855064722E-3</v>
      </c>
    </row>
    <row r="769" spans="1:26" x14ac:dyDescent="0.2">
      <c r="A769" s="45">
        <v>145</v>
      </c>
      <c r="B769" s="45">
        <v>1999</v>
      </c>
      <c r="C769" s="17">
        <v>0</v>
      </c>
      <c r="D769" s="14">
        <v>0.29543550000000002</v>
      </c>
      <c r="E769" s="14">
        <v>0.36665239999999999</v>
      </c>
      <c r="F769" s="14">
        <v>6.0622599999999999E-2</v>
      </c>
      <c r="G769" s="14">
        <v>0.68670540000000002</v>
      </c>
      <c r="H769" s="14">
        <v>0.55491869999999999</v>
      </c>
      <c r="R769" s="11">
        <f t="shared" si="24"/>
        <v>9.4163191240090541E-3</v>
      </c>
      <c r="Z769" s="11">
        <f t="shared" si="23"/>
        <v>1.2326864016156345E-2</v>
      </c>
    </row>
    <row r="770" spans="1:26" x14ac:dyDescent="0.2">
      <c r="A770" s="45">
        <v>145</v>
      </c>
      <c r="B770" s="45">
        <v>2000</v>
      </c>
      <c r="C770" s="17">
        <v>0</v>
      </c>
      <c r="D770" s="14">
        <v>0.26754549999999999</v>
      </c>
      <c r="E770" s="14">
        <v>0.39767239999999998</v>
      </c>
      <c r="F770" s="14">
        <v>5.56911E-2</v>
      </c>
      <c r="G770" s="14">
        <v>0.53442690000000004</v>
      </c>
      <c r="H770" s="14">
        <v>0.64671210000000001</v>
      </c>
      <c r="R770" s="11">
        <f t="shared" si="24"/>
        <v>1.1904812484650921E-2</v>
      </c>
      <c r="Z770" s="11">
        <f t="shared" ref="Z770:Z833" si="25">1/(1+EXP(-(U$2+$V$2*E770+$W$2*F770+$X$2*G770)))</f>
        <v>1.5578187077491982E-2</v>
      </c>
    </row>
    <row r="771" spans="1:26" x14ac:dyDescent="0.2">
      <c r="A771" s="45">
        <v>145</v>
      </c>
      <c r="B771" s="45">
        <v>2001</v>
      </c>
      <c r="C771" s="17">
        <v>0</v>
      </c>
      <c r="D771" s="14">
        <v>0.29337570000000002</v>
      </c>
      <c r="E771" s="14">
        <v>0.42135640000000002</v>
      </c>
      <c r="F771" s="14">
        <v>5.0978099999999998E-2</v>
      </c>
      <c r="G771" s="14">
        <v>0.66399739999999996</v>
      </c>
      <c r="H771" s="14">
        <v>0.63075490000000001</v>
      </c>
      <c r="R771" s="11">
        <f t="shared" si="24"/>
        <v>9.7368162052348991E-3</v>
      </c>
      <c r="Z771" s="11">
        <f t="shared" si="25"/>
        <v>1.2675749650198834E-2</v>
      </c>
    </row>
    <row r="772" spans="1:26" x14ac:dyDescent="0.2">
      <c r="A772" s="45">
        <v>145</v>
      </c>
      <c r="B772" s="45">
        <v>2002</v>
      </c>
      <c r="C772" s="17">
        <v>0</v>
      </c>
      <c r="D772" s="14">
        <v>0.34858630000000002</v>
      </c>
      <c r="E772" s="14">
        <v>0.3634271</v>
      </c>
      <c r="F772" s="14">
        <v>3.3932400000000001E-2</v>
      </c>
      <c r="G772" s="14">
        <v>0.76822729999999995</v>
      </c>
      <c r="H772" s="14">
        <v>0.57524220000000004</v>
      </c>
      <c r="R772" s="11">
        <f t="shared" si="24"/>
        <v>1.0276389276456016E-2</v>
      </c>
      <c r="Z772" s="11">
        <f t="shared" si="25"/>
        <v>1.313722451969756E-2</v>
      </c>
    </row>
    <row r="773" spans="1:26" x14ac:dyDescent="0.2">
      <c r="A773" s="45">
        <v>145</v>
      </c>
      <c r="B773" s="45">
        <v>2003</v>
      </c>
      <c r="C773" s="17">
        <v>0</v>
      </c>
      <c r="D773" s="14">
        <v>0.3469795</v>
      </c>
      <c r="E773" s="14">
        <v>0.3483928</v>
      </c>
      <c r="F773" s="14">
        <v>4.2032899999999998E-2</v>
      </c>
      <c r="G773" s="14">
        <v>0.75913019999999998</v>
      </c>
      <c r="H773" s="14">
        <v>0.65250470000000005</v>
      </c>
      <c r="R773" s="11">
        <f t="shared" si="24"/>
        <v>9.9911332448050661E-3</v>
      </c>
      <c r="Z773" s="11">
        <f t="shared" si="25"/>
        <v>1.2853588128329856E-2</v>
      </c>
    </row>
    <row r="774" spans="1:26" x14ac:dyDescent="0.2">
      <c r="A774" s="45">
        <v>145</v>
      </c>
      <c r="B774" s="45">
        <v>2004</v>
      </c>
      <c r="C774" s="17">
        <v>0</v>
      </c>
      <c r="D774" s="14">
        <v>0.35668800000000001</v>
      </c>
      <c r="E774" s="14">
        <v>0.28799400000000003</v>
      </c>
      <c r="F774" s="14">
        <v>6.6697099999999995E-2</v>
      </c>
      <c r="G774" s="14">
        <v>0.78966530000000001</v>
      </c>
      <c r="H774" s="14">
        <v>0.77336839999999996</v>
      </c>
      <c r="R774" s="11">
        <f t="shared" si="24"/>
        <v>8.5423021825130549E-3</v>
      </c>
      <c r="Z774" s="11">
        <f t="shared" si="25"/>
        <v>1.1185917785747212E-2</v>
      </c>
    </row>
    <row r="775" spans="1:26" x14ac:dyDescent="0.2">
      <c r="A775" s="45">
        <v>146</v>
      </c>
      <c r="B775" s="45">
        <v>1999</v>
      </c>
      <c r="C775" s="17">
        <v>0</v>
      </c>
      <c r="D775" s="14">
        <v>0.11832620000000001</v>
      </c>
      <c r="E775" s="14">
        <v>0.13991690000000001</v>
      </c>
      <c r="F775" s="14">
        <v>4.4230100000000001E-2</v>
      </c>
      <c r="G775" s="14">
        <v>1.02536</v>
      </c>
      <c r="H775" s="14">
        <v>0.14114460000000001</v>
      </c>
      <c r="R775" s="11">
        <f t="shared" si="24"/>
        <v>8.7083589911309614E-3</v>
      </c>
      <c r="Z775" s="11">
        <f t="shared" si="25"/>
        <v>1.1083938591438689E-2</v>
      </c>
    </row>
    <row r="776" spans="1:26" x14ac:dyDescent="0.2">
      <c r="A776" s="45">
        <v>147</v>
      </c>
      <c r="B776" s="45">
        <v>1999</v>
      </c>
      <c r="C776" s="17">
        <v>0</v>
      </c>
      <c r="D776" s="14">
        <v>9.7781599999999996E-2</v>
      </c>
      <c r="E776" s="14">
        <v>0.31746220000000003</v>
      </c>
      <c r="F776" s="14">
        <v>3.57576E-2</v>
      </c>
      <c r="G776" s="14">
        <v>3.7088450000000002</v>
      </c>
      <c r="H776" s="14">
        <v>0.39996189999999998</v>
      </c>
      <c r="R776" s="11">
        <f t="shared" si="24"/>
        <v>1.0087837711569855E-4</v>
      </c>
      <c r="Z776" s="11">
        <f t="shared" si="25"/>
        <v>1.2121370352453989E-4</v>
      </c>
    </row>
    <row r="777" spans="1:26" x14ac:dyDescent="0.2">
      <c r="A777" s="45">
        <v>147</v>
      </c>
      <c r="B777" s="45">
        <v>2000</v>
      </c>
      <c r="C777" s="17">
        <v>0</v>
      </c>
      <c r="D777" s="14">
        <v>0.1714793</v>
      </c>
      <c r="E777" s="14">
        <v>0.26693650000000002</v>
      </c>
      <c r="F777" s="14">
        <v>6.3114500000000004E-2</v>
      </c>
      <c r="G777" s="14">
        <v>2.0368580000000001</v>
      </c>
      <c r="H777" s="14">
        <v>0.49089529999999998</v>
      </c>
      <c r="R777" s="11">
        <f t="shared" si="24"/>
        <v>1.2512135914723491E-3</v>
      </c>
      <c r="Z777" s="11">
        <f t="shared" si="25"/>
        <v>1.5919259271385702E-3</v>
      </c>
    </row>
    <row r="778" spans="1:26" x14ac:dyDescent="0.2">
      <c r="A778" s="45">
        <v>147</v>
      </c>
      <c r="B778" s="45">
        <v>2001</v>
      </c>
      <c r="C778" s="17">
        <v>0</v>
      </c>
      <c r="D778" s="14">
        <v>0.13187489999999999</v>
      </c>
      <c r="E778" s="14">
        <v>0.20613870000000001</v>
      </c>
      <c r="F778" s="14">
        <v>4.2645200000000001E-2</v>
      </c>
      <c r="G778" s="14">
        <v>1.3554550000000001</v>
      </c>
      <c r="H778" s="14">
        <v>0.39729579999999998</v>
      </c>
      <c r="R778" s="11">
        <f t="shared" si="24"/>
        <v>4.7522521876687549E-3</v>
      </c>
      <c r="Z778" s="11">
        <f t="shared" si="25"/>
        <v>6.0174358524850927E-3</v>
      </c>
    </row>
    <row r="779" spans="1:26" x14ac:dyDescent="0.2">
      <c r="A779" s="45">
        <v>148</v>
      </c>
      <c r="B779" s="45">
        <v>1999</v>
      </c>
      <c r="C779" s="17">
        <v>0</v>
      </c>
      <c r="D779" s="14">
        <v>9.3867999999999993E-2</v>
      </c>
      <c r="E779" s="14">
        <v>0.25630429999999998</v>
      </c>
      <c r="F779" s="14">
        <v>8.3613599999999996E-2</v>
      </c>
      <c r="G779" s="14">
        <v>3.0968330000000002</v>
      </c>
      <c r="H779" s="14">
        <v>0.14666290000000001</v>
      </c>
      <c r="R779" s="11">
        <f t="shared" si="24"/>
        <v>1.9938501828420304E-4</v>
      </c>
      <c r="Z779" s="11">
        <f t="shared" si="25"/>
        <v>2.5200615118628873E-4</v>
      </c>
    </row>
    <row r="780" spans="1:26" x14ac:dyDescent="0.2">
      <c r="A780" s="45">
        <v>148</v>
      </c>
      <c r="B780" s="45">
        <v>2000</v>
      </c>
      <c r="C780" s="17">
        <v>0</v>
      </c>
      <c r="D780" s="14">
        <v>6.7092799999999994E-2</v>
      </c>
      <c r="E780" s="14">
        <v>0.25632470000000002</v>
      </c>
      <c r="F780" s="14">
        <v>-2.6346E-3</v>
      </c>
      <c r="G780" s="14">
        <v>1.8944270000000001</v>
      </c>
      <c r="H780" s="14">
        <v>7.1788500000000005E-2</v>
      </c>
      <c r="R780" s="11">
        <f t="shared" si="24"/>
        <v>2.6939440959490926E-3</v>
      </c>
      <c r="Z780" s="11">
        <f t="shared" si="25"/>
        <v>3.2559782057511428E-3</v>
      </c>
    </row>
    <row r="781" spans="1:26" x14ac:dyDescent="0.2">
      <c r="A781" s="45">
        <v>148</v>
      </c>
      <c r="B781" s="45">
        <v>2001</v>
      </c>
      <c r="C781" s="17">
        <v>0</v>
      </c>
      <c r="D781" s="14">
        <v>9.9807400000000004E-2</v>
      </c>
      <c r="E781" s="14">
        <v>0.1911804</v>
      </c>
      <c r="F781" s="14">
        <v>1.49698E-2</v>
      </c>
      <c r="G781" s="14">
        <v>1.6930540000000001</v>
      </c>
      <c r="H781" s="14">
        <v>9.6468700000000004E-2</v>
      </c>
      <c r="R781" s="11">
        <f t="shared" si="24"/>
        <v>3.5429652248688552E-3</v>
      </c>
      <c r="Z781" s="11">
        <f t="shared" si="25"/>
        <v>4.3528593145535921E-3</v>
      </c>
    </row>
    <row r="782" spans="1:26" x14ac:dyDescent="0.2">
      <c r="A782" s="45">
        <v>148</v>
      </c>
      <c r="B782" s="45">
        <v>2002</v>
      </c>
      <c r="C782" s="17">
        <v>0</v>
      </c>
      <c r="D782" s="14">
        <v>7.5903799999999993E-2</v>
      </c>
      <c r="E782" s="14">
        <v>0.1873504</v>
      </c>
      <c r="F782" s="14">
        <v>4.0017799999999999E-2</v>
      </c>
      <c r="G782" s="14">
        <v>1.2015439999999999</v>
      </c>
      <c r="H782" s="14">
        <v>0.1097481</v>
      </c>
      <c r="R782" s="11">
        <f t="shared" si="24"/>
        <v>6.3636697122161495E-3</v>
      </c>
      <c r="Z782" s="11">
        <f t="shared" si="25"/>
        <v>8.0591147353122686E-3</v>
      </c>
    </row>
    <row r="783" spans="1:26" x14ac:dyDescent="0.2">
      <c r="A783" s="45">
        <v>148</v>
      </c>
      <c r="B783" s="45">
        <v>2003</v>
      </c>
      <c r="C783" s="17">
        <v>0</v>
      </c>
      <c r="D783" s="14">
        <v>0.1139365</v>
      </c>
      <c r="E783" s="14">
        <v>0.21111530000000001</v>
      </c>
      <c r="F783" s="14">
        <v>4.1567199999999999E-2</v>
      </c>
      <c r="G783" s="14">
        <v>2.6397810000000002</v>
      </c>
      <c r="H783" s="14">
        <v>0.1061933</v>
      </c>
      <c r="R783" s="11">
        <f t="shared" si="24"/>
        <v>6.1721198432749169E-4</v>
      </c>
      <c r="Z783" s="11">
        <f t="shared" si="25"/>
        <v>7.6005333302910495E-4</v>
      </c>
    </row>
    <row r="784" spans="1:26" x14ac:dyDescent="0.2">
      <c r="A784" s="45">
        <v>149</v>
      </c>
      <c r="B784" s="45">
        <v>1999</v>
      </c>
      <c r="C784" s="17">
        <v>0</v>
      </c>
      <c r="D784" s="14">
        <v>0.16375439999999999</v>
      </c>
      <c r="E784" s="14">
        <v>0.37028719999999998</v>
      </c>
      <c r="F784" s="14">
        <v>6.4657500000000007E-2</v>
      </c>
      <c r="G784" s="14">
        <v>4.7223680000000003</v>
      </c>
      <c r="H784" s="14">
        <v>0.47308149999999999</v>
      </c>
      <c r="R784" s="11">
        <f t="shared" si="24"/>
        <v>1.4744596832068022E-5</v>
      </c>
      <c r="Z784" s="11">
        <f t="shared" si="25"/>
        <v>1.7773601209386319E-5</v>
      </c>
    </row>
    <row r="785" spans="1:26" x14ac:dyDescent="0.2">
      <c r="A785" s="45">
        <v>149</v>
      </c>
      <c r="B785" s="45">
        <v>2000</v>
      </c>
      <c r="C785" s="17">
        <v>0</v>
      </c>
      <c r="D785" s="14">
        <v>-2.58222E-2</v>
      </c>
      <c r="E785" s="14">
        <v>0.27768209999999999</v>
      </c>
      <c r="F785" s="14">
        <v>3.27753E-2</v>
      </c>
      <c r="G785" s="14">
        <v>1.1291420000000001</v>
      </c>
      <c r="H785" s="14">
        <v>0.3752316</v>
      </c>
      <c r="R785" s="11">
        <f t="shared" si="24"/>
        <v>6.6346169153884476E-3</v>
      </c>
      <c r="Z785" s="11">
        <f t="shared" si="25"/>
        <v>8.3912643430631793E-3</v>
      </c>
    </row>
    <row r="786" spans="1:26" x14ac:dyDescent="0.2">
      <c r="A786" s="45">
        <v>149</v>
      </c>
      <c r="B786" s="45">
        <v>2001</v>
      </c>
      <c r="C786" s="17">
        <v>0</v>
      </c>
      <c r="D786" s="14">
        <v>0.1003028</v>
      </c>
      <c r="E786" s="14">
        <v>0.2971819</v>
      </c>
      <c r="F786" s="14">
        <v>5.3399700000000001E-2</v>
      </c>
      <c r="G786" s="14">
        <v>1.7907459999999999</v>
      </c>
      <c r="H786" s="14">
        <v>0.3775577</v>
      </c>
      <c r="R786" s="11">
        <f t="shared" si="24"/>
        <v>1.9143616768407003E-3</v>
      </c>
      <c r="Z786" s="11">
        <f t="shared" si="25"/>
        <v>2.431554885521511E-3</v>
      </c>
    </row>
    <row r="787" spans="1:26" x14ac:dyDescent="0.2">
      <c r="A787" s="45">
        <v>149</v>
      </c>
      <c r="B787" s="45">
        <v>2002</v>
      </c>
      <c r="C787" s="17">
        <v>0</v>
      </c>
      <c r="D787" s="14">
        <v>0.1310132</v>
      </c>
      <c r="E787" s="14">
        <v>0.31918390000000002</v>
      </c>
      <c r="F787" s="14">
        <v>6.7871000000000001E-2</v>
      </c>
      <c r="G787" s="14">
        <v>1.08636</v>
      </c>
      <c r="H787" s="14">
        <v>0.3352734</v>
      </c>
      <c r="R787" s="11">
        <f t="shared" si="24"/>
        <v>5.0580792661249086E-3</v>
      </c>
      <c r="Z787" s="11">
        <f t="shared" si="25"/>
        <v>6.6010423689201242E-3</v>
      </c>
    </row>
    <row r="788" spans="1:26" x14ac:dyDescent="0.2">
      <c r="A788" s="45">
        <v>149</v>
      </c>
      <c r="B788" s="45">
        <v>2003</v>
      </c>
      <c r="C788" s="17">
        <v>0</v>
      </c>
      <c r="D788" s="14">
        <v>0.17005329999999999</v>
      </c>
      <c r="E788" s="14">
        <v>0.35495890000000002</v>
      </c>
      <c r="F788" s="14">
        <v>4.6871400000000001E-2</v>
      </c>
      <c r="G788" s="14">
        <v>1.21245</v>
      </c>
      <c r="H788" s="14">
        <v>0.32686219999999999</v>
      </c>
      <c r="R788" s="11">
        <f t="shared" si="24"/>
        <v>4.6479308179037853E-3</v>
      </c>
      <c r="Z788" s="11">
        <f t="shared" si="25"/>
        <v>5.9544428896344936E-3</v>
      </c>
    </row>
    <row r="789" spans="1:26" x14ac:dyDescent="0.2">
      <c r="A789" s="45">
        <v>149</v>
      </c>
      <c r="B789" s="45">
        <v>2004</v>
      </c>
      <c r="C789" s="17">
        <v>0</v>
      </c>
      <c r="D789" s="14">
        <v>0.18051809999999999</v>
      </c>
      <c r="E789" s="14">
        <v>0.40359349999999999</v>
      </c>
      <c r="F789" s="14">
        <v>5.40898E-2</v>
      </c>
      <c r="G789" s="14">
        <v>1.4561839999999999</v>
      </c>
      <c r="H789" s="14">
        <v>0.34494730000000001</v>
      </c>
      <c r="R789" s="11">
        <f t="shared" si="24"/>
        <v>2.7771650964521482E-3</v>
      </c>
      <c r="Z789" s="11">
        <f t="shared" si="25"/>
        <v>3.5675650698280366E-3</v>
      </c>
    </row>
    <row r="790" spans="1:26" x14ac:dyDescent="0.2">
      <c r="A790" s="45">
        <v>150</v>
      </c>
      <c r="B790" s="45">
        <v>1999</v>
      </c>
      <c r="C790" s="17">
        <v>0</v>
      </c>
      <c r="D790" s="14">
        <v>6.17826E-2</v>
      </c>
      <c r="E790" s="14">
        <v>0.1180987</v>
      </c>
      <c r="F790" s="14">
        <v>6.8647700000000006E-2</v>
      </c>
      <c r="G790" s="14">
        <v>1.2461580000000001</v>
      </c>
      <c r="H790" s="14">
        <v>0.53322539999999996</v>
      </c>
      <c r="R790" s="11">
        <f t="shared" si="24"/>
        <v>5.2191830195923673E-3</v>
      </c>
      <c r="Z790" s="11">
        <f t="shared" si="25"/>
        <v>6.7451500586128673E-3</v>
      </c>
    </row>
    <row r="791" spans="1:26" x14ac:dyDescent="0.2">
      <c r="A791" s="45">
        <v>150</v>
      </c>
      <c r="B791" s="45">
        <v>2000</v>
      </c>
      <c r="C791" s="17">
        <v>0</v>
      </c>
      <c r="D791" s="14">
        <v>5.1327499999999998E-2</v>
      </c>
      <c r="E791" s="14">
        <v>0.1018237</v>
      </c>
      <c r="F791" s="14">
        <v>5.2602500000000003E-2</v>
      </c>
      <c r="G791" s="14">
        <v>0.93727689999999997</v>
      </c>
      <c r="H791" s="14">
        <v>0.4051245</v>
      </c>
      <c r="R791" s="11">
        <f t="shared" ref="R791:R854" si="26">1/(1+EXP(-(K$2+$M$2*E791+$N$2*F791+$O$2*G791)))</f>
        <v>9.8934492239473176E-3</v>
      </c>
      <c r="Z791" s="11">
        <f t="shared" si="25"/>
        <v>1.2681733189618696E-2</v>
      </c>
    </row>
    <row r="792" spans="1:26" x14ac:dyDescent="0.2">
      <c r="A792" s="45">
        <v>150</v>
      </c>
      <c r="B792" s="45">
        <v>2002</v>
      </c>
      <c r="C792" s="17">
        <v>0</v>
      </c>
      <c r="D792" s="14">
        <v>0.18775710000000001</v>
      </c>
      <c r="E792" s="14">
        <v>0.15875059999999999</v>
      </c>
      <c r="F792" s="14">
        <v>3.6897100000000002E-2</v>
      </c>
      <c r="G792" s="14">
        <v>1.272875</v>
      </c>
      <c r="H792" s="14">
        <v>0.27828750000000002</v>
      </c>
      <c r="R792" s="11">
        <f t="shared" si="26"/>
        <v>6.0725151831758613E-3</v>
      </c>
      <c r="Z792" s="11">
        <f t="shared" si="25"/>
        <v>7.6520954359149988E-3</v>
      </c>
    </row>
    <row r="793" spans="1:26" x14ac:dyDescent="0.2">
      <c r="A793" s="45">
        <v>150</v>
      </c>
      <c r="B793" s="45">
        <v>2003</v>
      </c>
      <c r="C793" s="17">
        <v>0</v>
      </c>
      <c r="D793" s="14">
        <v>0.17462520000000001</v>
      </c>
      <c r="E793" s="14">
        <v>0.21435389999999999</v>
      </c>
      <c r="F793" s="14">
        <v>6.0322599999999997E-2</v>
      </c>
      <c r="G793" s="14">
        <v>1.611853</v>
      </c>
      <c r="H793" s="14">
        <v>0.29473120000000003</v>
      </c>
      <c r="R793" s="11">
        <f t="shared" si="26"/>
        <v>2.7148093141750374E-3</v>
      </c>
      <c r="Z793" s="11">
        <f t="shared" si="25"/>
        <v>3.4708635894663562E-3</v>
      </c>
    </row>
    <row r="794" spans="1:26" x14ac:dyDescent="0.2">
      <c r="A794" s="45">
        <v>151</v>
      </c>
      <c r="B794" s="45">
        <v>2002</v>
      </c>
      <c r="C794" s="17">
        <v>0</v>
      </c>
      <c r="D794" s="14">
        <v>-1.8431999999999999E-3</v>
      </c>
      <c r="E794" s="14">
        <v>0.32800990000000002</v>
      </c>
      <c r="F794" s="14">
        <v>3.3257700000000001E-2</v>
      </c>
      <c r="G794" s="14">
        <v>0.78019070000000001</v>
      </c>
      <c r="H794" s="14">
        <v>0.1300288</v>
      </c>
      <c r="R794" s="11">
        <f t="shared" si="26"/>
        <v>1.0668359901934307E-2</v>
      </c>
      <c r="Z794" s="11">
        <f t="shared" si="25"/>
        <v>1.3609527412104652E-2</v>
      </c>
    </row>
    <row r="795" spans="1:26" x14ac:dyDescent="0.2">
      <c r="A795" s="45">
        <v>151</v>
      </c>
      <c r="B795" s="45">
        <v>2003</v>
      </c>
      <c r="C795" s="17">
        <v>0</v>
      </c>
      <c r="D795" s="14">
        <v>6.8199999999999999E-4</v>
      </c>
      <c r="E795" s="14">
        <v>0.2988169</v>
      </c>
      <c r="F795" s="14">
        <v>5.7078700000000003E-2</v>
      </c>
      <c r="G795" s="14">
        <v>0.72032260000000004</v>
      </c>
      <c r="H795" s="14">
        <v>0.14201449999999999</v>
      </c>
      <c r="R795" s="11">
        <f t="shared" si="26"/>
        <v>1.0126311867366664E-2</v>
      </c>
      <c r="Z795" s="11">
        <f t="shared" si="25"/>
        <v>1.3175523946169179E-2</v>
      </c>
    </row>
    <row r="796" spans="1:26" x14ac:dyDescent="0.2">
      <c r="A796" s="45">
        <v>151</v>
      </c>
      <c r="B796" s="45">
        <v>2004</v>
      </c>
      <c r="C796" s="17">
        <v>0</v>
      </c>
      <c r="D796" s="14">
        <v>3.7843E-3</v>
      </c>
      <c r="E796" s="14">
        <v>0.26486090000000001</v>
      </c>
      <c r="F796" s="14">
        <v>4.6356099999999997E-2</v>
      </c>
      <c r="G796" s="14">
        <v>0.7532702</v>
      </c>
      <c r="H796" s="14">
        <v>0.13036400000000001</v>
      </c>
      <c r="R796" s="11">
        <f t="shared" si="26"/>
        <v>1.0989096095535339E-2</v>
      </c>
      <c r="Z796" s="11">
        <f t="shared" si="25"/>
        <v>1.4144670270582726E-2</v>
      </c>
    </row>
    <row r="797" spans="1:26" x14ac:dyDescent="0.2">
      <c r="A797" s="45">
        <v>152</v>
      </c>
      <c r="B797" s="45">
        <v>1999</v>
      </c>
      <c r="C797" s="17">
        <v>0</v>
      </c>
      <c r="D797" s="14">
        <v>8.8183200000000003E-2</v>
      </c>
      <c r="E797" s="14">
        <v>0.27482529999999999</v>
      </c>
      <c r="F797" s="14">
        <v>5.1450500000000003E-2</v>
      </c>
      <c r="G797" s="14">
        <v>0.82378130000000005</v>
      </c>
      <c r="H797" s="14">
        <v>0.48847160000000001</v>
      </c>
      <c r="R797" s="11">
        <f t="shared" si="26"/>
        <v>9.309131262910747E-3</v>
      </c>
      <c r="Z797" s="11">
        <f t="shared" si="25"/>
        <v>1.2023308201020082E-2</v>
      </c>
    </row>
    <row r="798" spans="1:26" x14ac:dyDescent="0.2">
      <c r="A798" s="45">
        <v>152</v>
      </c>
      <c r="B798" s="45">
        <v>2000</v>
      </c>
      <c r="C798" s="17">
        <v>0</v>
      </c>
      <c r="D798" s="14">
        <v>0.1254354</v>
      </c>
      <c r="E798" s="14">
        <v>0.27792630000000002</v>
      </c>
      <c r="F798" s="14">
        <v>4.3679900000000001E-2</v>
      </c>
      <c r="G798" s="14">
        <v>0.78375939999999999</v>
      </c>
      <c r="H798" s="14">
        <v>0.46170450000000002</v>
      </c>
      <c r="R798" s="11">
        <f t="shared" si="26"/>
        <v>1.0498389475072548E-2</v>
      </c>
      <c r="Z798" s="11">
        <f t="shared" si="25"/>
        <v>1.348279053668538E-2</v>
      </c>
    </row>
    <row r="799" spans="1:26" x14ac:dyDescent="0.2">
      <c r="A799" s="45">
        <v>152</v>
      </c>
      <c r="B799" s="45">
        <v>2001</v>
      </c>
      <c r="C799" s="17">
        <v>0</v>
      </c>
      <c r="D799" s="14">
        <v>0.176702</v>
      </c>
      <c r="E799" s="14">
        <v>0.1595393</v>
      </c>
      <c r="F799" s="14">
        <v>2.64297E-2</v>
      </c>
      <c r="G799" s="14">
        <v>0.72394639999999999</v>
      </c>
      <c r="H799" s="14">
        <v>0.40360620000000003</v>
      </c>
      <c r="R799" s="11">
        <f t="shared" si="26"/>
        <v>1.5664969166831348E-2</v>
      </c>
      <c r="Z799" s="11">
        <f t="shared" si="25"/>
        <v>1.9758655274241307E-2</v>
      </c>
    </row>
    <row r="800" spans="1:26" x14ac:dyDescent="0.2">
      <c r="A800" s="45">
        <v>152</v>
      </c>
      <c r="B800" s="45">
        <v>2002</v>
      </c>
      <c r="C800" s="17">
        <v>0</v>
      </c>
      <c r="D800" s="14">
        <v>0.1660808</v>
      </c>
      <c r="E800" s="14">
        <v>0.19451570000000001</v>
      </c>
      <c r="F800" s="14">
        <v>5.5505100000000002E-2</v>
      </c>
      <c r="G800" s="14">
        <v>0.84549890000000005</v>
      </c>
      <c r="H800" s="14">
        <v>0.49391849999999998</v>
      </c>
      <c r="R800" s="11">
        <f t="shared" si="26"/>
        <v>9.7791349634322542E-3</v>
      </c>
      <c r="Z800" s="11">
        <f t="shared" si="25"/>
        <v>1.2629754212106655E-2</v>
      </c>
    </row>
    <row r="801" spans="1:26" x14ac:dyDescent="0.2">
      <c r="A801" s="45">
        <v>152</v>
      </c>
      <c r="B801" s="45">
        <v>2003</v>
      </c>
      <c r="C801" s="17">
        <v>0</v>
      </c>
      <c r="D801" s="14">
        <v>0.21397179999999999</v>
      </c>
      <c r="E801" s="14">
        <v>0.20724329999999999</v>
      </c>
      <c r="F801" s="14">
        <v>4.77811E-2</v>
      </c>
      <c r="G801" s="14">
        <v>0.89730069999999995</v>
      </c>
      <c r="H801" s="14">
        <v>0.3303797</v>
      </c>
      <c r="R801" s="11">
        <f t="shared" si="26"/>
        <v>9.4060697863201734E-3</v>
      </c>
      <c r="Z801" s="11">
        <f t="shared" si="25"/>
        <v>1.206512209683794E-2</v>
      </c>
    </row>
    <row r="802" spans="1:26" x14ac:dyDescent="0.2">
      <c r="A802" s="45">
        <v>152</v>
      </c>
      <c r="B802" s="45">
        <v>2004</v>
      </c>
      <c r="C802" s="17">
        <v>0</v>
      </c>
      <c r="D802" s="14">
        <v>0.34087509999999999</v>
      </c>
      <c r="E802" s="14">
        <v>0.194938</v>
      </c>
      <c r="F802" s="14">
        <v>5.5754600000000001E-2</v>
      </c>
      <c r="G802" s="14">
        <v>1.544953</v>
      </c>
      <c r="H802" s="14">
        <v>0.4164756</v>
      </c>
      <c r="R802" s="11">
        <f t="shared" si="26"/>
        <v>3.2206931582986951E-3</v>
      </c>
      <c r="Z802" s="11">
        <f t="shared" si="25"/>
        <v>4.105027632953789E-3</v>
      </c>
    </row>
    <row r="803" spans="1:26" x14ac:dyDescent="0.2">
      <c r="A803" s="45">
        <v>153</v>
      </c>
      <c r="B803" s="45">
        <v>1999</v>
      </c>
      <c r="C803" s="17">
        <v>0</v>
      </c>
      <c r="D803" s="14">
        <v>4.3567599999999998E-2</v>
      </c>
      <c r="E803" s="14">
        <v>0.27154260000000002</v>
      </c>
      <c r="F803" s="14">
        <v>4.64375E-2</v>
      </c>
      <c r="G803" s="14">
        <v>1.535566</v>
      </c>
      <c r="H803" s="14">
        <v>0.1785764</v>
      </c>
      <c r="R803" s="11">
        <f t="shared" si="26"/>
        <v>3.1511542044357767E-3</v>
      </c>
      <c r="Z803" s="11">
        <f t="shared" si="25"/>
        <v>3.9972966688162012E-3</v>
      </c>
    </row>
    <row r="804" spans="1:26" x14ac:dyDescent="0.2">
      <c r="A804" s="45">
        <v>154</v>
      </c>
      <c r="B804" s="45">
        <v>1995</v>
      </c>
      <c r="C804" s="17">
        <v>0</v>
      </c>
      <c r="D804" s="14">
        <v>-4.9915500000000002E-2</v>
      </c>
      <c r="E804" s="14">
        <v>-2.4221699999999999E-2</v>
      </c>
      <c r="F804" s="14">
        <v>6.1810499999999997E-2</v>
      </c>
      <c r="G804" s="14">
        <v>0.49300539999999998</v>
      </c>
      <c r="H804" s="14">
        <v>0.1711771</v>
      </c>
      <c r="R804" s="11">
        <f t="shared" si="26"/>
        <v>2.2132350826413474E-2</v>
      </c>
      <c r="Z804" s="11">
        <f t="shared" si="25"/>
        <v>2.8631088320439368E-2</v>
      </c>
    </row>
    <row r="805" spans="1:26" x14ac:dyDescent="0.2">
      <c r="A805" s="45">
        <v>154</v>
      </c>
      <c r="B805" s="45">
        <v>1996</v>
      </c>
      <c r="C805" s="17">
        <v>0</v>
      </c>
      <c r="D805" s="14">
        <v>-5.02195E-2</v>
      </c>
      <c r="E805" s="14">
        <v>-5.7494E-3</v>
      </c>
      <c r="F805" s="14">
        <v>4.5847300000000001E-2</v>
      </c>
      <c r="G805" s="14">
        <v>0.56884880000000004</v>
      </c>
      <c r="H805" s="14">
        <v>0.16718910000000001</v>
      </c>
      <c r="R805" s="11">
        <f t="shared" si="26"/>
        <v>2.1702930494881003E-2</v>
      </c>
      <c r="Z805" s="11">
        <f t="shared" si="25"/>
        <v>2.7696354784261454E-2</v>
      </c>
    </row>
    <row r="806" spans="1:26" x14ac:dyDescent="0.2">
      <c r="A806" s="45">
        <v>154</v>
      </c>
      <c r="B806" s="45">
        <v>1997</v>
      </c>
      <c r="C806" s="17">
        <v>0</v>
      </c>
      <c r="D806" s="14">
        <v>-6.4973699999999995E-2</v>
      </c>
      <c r="E806" s="14">
        <v>-9.5186000000000003E-3</v>
      </c>
      <c r="F806" s="14">
        <v>5.5564500000000003E-2</v>
      </c>
      <c r="G806" s="14">
        <v>0.65578800000000004</v>
      </c>
      <c r="H806" s="14">
        <v>0.18185809999999999</v>
      </c>
      <c r="R806" s="11">
        <f t="shared" si="26"/>
        <v>1.7650902080949566E-2</v>
      </c>
      <c r="Z806" s="11">
        <f t="shared" si="25"/>
        <v>2.2682017318139281E-2</v>
      </c>
    </row>
    <row r="807" spans="1:26" x14ac:dyDescent="0.2">
      <c r="A807" s="45">
        <v>154</v>
      </c>
      <c r="B807" s="45">
        <v>1998</v>
      </c>
      <c r="C807" s="17">
        <v>0</v>
      </c>
      <c r="D807" s="14">
        <v>-1.2114099999999999E-2</v>
      </c>
      <c r="E807" s="14">
        <v>-8.2942999999999992E-3</v>
      </c>
      <c r="F807" s="14">
        <v>3.0300500000000001E-2</v>
      </c>
      <c r="G807" s="14">
        <v>0.62368469999999998</v>
      </c>
      <c r="H807" s="14">
        <v>0.1624302</v>
      </c>
      <c r="R807" s="11">
        <f t="shared" si="26"/>
        <v>2.2583526021852436E-2</v>
      </c>
      <c r="Z807" s="11">
        <f t="shared" si="25"/>
        <v>2.8422723066635378E-2</v>
      </c>
    </row>
    <row r="808" spans="1:26" x14ac:dyDescent="0.2">
      <c r="A808" s="45">
        <v>154</v>
      </c>
      <c r="B808" s="45">
        <v>1999</v>
      </c>
      <c r="C808" s="17">
        <v>0</v>
      </c>
      <c r="D808" s="14">
        <v>-8.7417999999999992E-3</v>
      </c>
      <c r="E808" s="14">
        <v>1.8074900000000001E-2</v>
      </c>
      <c r="F808" s="14">
        <v>3.6568400000000001E-2</v>
      </c>
      <c r="G808" s="14">
        <v>0.31043730000000003</v>
      </c>
      <c r="H808" s="14">
        <v>0.14081840000000001</v>
      </c>
      <c r="R808" s="11">
        <f t="shared" si="26"/>
        <v>3.3667286504240931E-2</v>
      </c>
      <c r="Z808" s="11">
        <f t="shared" si="25"/>
        <v>4.2775126979999592E-2</v>
      </c>
    </row>
    <row r="809" spans="1:26" x14ac:dyDescent="0.2">
      <c r="A809" s="45">
        <v>154</v>
      </c>
      <c r="B809" s="45">
        <v>2000</v>
      </c>
      <c r="C809" s="17">
        <v>0</v>
      </c>
      <c r="D809" s="14">
        <v>-2.43752E-2</v>
      </c>
      <c r="E809" s="14">
        <v>-2.7536000000000001E-3</v>
      </c>
      <c r="F809" s="14">
        <v>3.55882E-2</v>
      </c>
      <c r="G809" s="14">
        <v>0.32979429999999998</v>
      </c>
      <c r="H809" s="14">
        <v>0.25136639999999999</v>
      </c>
      <c r="R809" s="11">
        <f t="shared" si="26"/>
        <v>3.3904890637611033E-2</v>
      </c>
      <c r="Z809" s="11">
        <f t="shared" si="25"/>
        <v>4.2994099687018783E-2</v>
      </c>
    </row>
    <row r="810" spans="1:26" x14ac:dyDescent="0.2">
      <c r="A810" s="45">
        <v>154</v>
      </c>
      <c r="B810" s="45">
        <v>2001</v>
      </c>
      <c r="C810" s="17">
        <v>0</v>
      </c>
      <c r="D810" s="14">
        <v>-1.30177E-2</v>
      </c>
      <c r="E810" s="14">
        <v>-5.7533300000000002E-2</v>
      </c>
      <c r="F810" s="14">
        <v>2.9693000000000001E-2</v>
      </c>
      <c r="G810" s="14">
        <v>0.2320295</v>
      </c>
      <c r="H810" s="14">
        <v>0.24044509999999999</v>
      </c>
      <c r="R810" s="11">
        <f t="shared" si="26"/>
        <v>4.448498650030263E-2</v>
      </c>
      <c r="Z810" s="11">
        <f t="shared" si="25"/>
        <v>5.6003968938275347E-2</v>
      </c>
    </row>
    <row r="811" spans="1:26" x14ac:dyDescent="0.2">
      <c r="A811" s="45">
        <v>154</v>
      </c>
      <c r="B811" s="45">
        <v>2002</v>
      </c>
      <c r="C811" s="17">
        <v>0</v>
      </c>
      <c r="D811" s="14">
        <v>2.28258E-2</v>
      </c>
      <c r="E811" s="14">
        <v>-0.1552153</v>
      </c>
      <c r="F811" s="14">
        <v>-1.2479499999999999E-2</v>
      </c>
      <c r="G811" s="14">
        <v>0.13682620000000001</v>
      </c>
      <c r="H811" s="14">
        <v>0.15771850000000001</v>
      </c>
      <c r="R811" s="11">
        <f t="shared" si="26"/>
        <v>8.046755145500202E-2</v>
      </c>
      <c r="Z811" s="11">
        <f t="shared" si="25"/>
        <v>9.7138409113122284E-2</v>
      </c>
    </row>
    <row r="812" spans="1:26" x14ac:dyDescent="0.2">
      <c r="A812" s="45">
        <v>154</v>
      </c>
      <c r="B812" s="45">
        <v>2003</v>
      </c>
      <c r="C812" s="17">
        <v>0</v>
      </c>
      <c r="D812" s="14">
        <v>9.65728E-2</v>
      </c>
      <c r="E812" s="14">
        <v>-0.13058439999999999</v>
      </c>
      <c r="F812" s="14">
        <v>3.9275299999999999E-2</v>
      </c>
      <c r="G812" s="14">
        <v>0.15398909999999999</v>
      </c>
      <c r="H812" s="14">
        <v>0.1202529</v>
      </c>
      <c r="R812" s="11">
        <f t="shared" si="26"/>
        <v>5.150656579678789E-2</v>
      </c>
      <c r="Z812" s="11">
        <f t="shared" si="25"/>
        <v>6.5149803024204742E-2</v>
      </c>
    </row>
    <row r="813" spans="1:26" x14ac:dyDescent="0.2">
      <c r="A813" s="45">
        <v>154</v>
      </c>
      <c r="B813" s="45">
        <v>2004</v>
      </c>
      <c r="C813" s="17">
        <v>0</v>
      </c>
      <c r="D813" s="14">
        <v>0.11229740000000001</v>
      </c>
      <c r="E813" s="14">
        <v>-9.8862500000000006E-2</v>
      </c>
      <c r="F813" s="14">
        <v>2.8629999999999999E-2</v>
      </c>
      <c r="G813" s="14">
        <v>0.1735197</v>
      </c>
      <c r="H813" s="14">
        <v>0.13535730000000001</v>
      </c>
      <c r="R813" s="11">
        <f t="shared" si="26"/>
        <v>5.1894088400018357E-2</v>
      </c>
      <c r="Z813" s="11">
        <f t="shared" si="25"/>
        <v>6.5139786064026331E-2</v>
      </c>
    </row>
    <row r="814" spans="1:26" x14ac:dyDescent="0.2">
      <c r="A814" s="45">
        <v>155</v>
      </c>
      <c r="B814" s="45">
        <v>1999</v>
      </c>
      <c r="C814" s="17">
        <v>0</v>
      </c>
      <c r="D814" s="14">
        <v>0.23832249999999999</v>
      </c>
      <c r="E814" s="14">
        <v>0.40608100000000003</v>
      </c>
      <c r="F814" s="14">
        <v>5.85706E-2</v>
      </c>
      <c r="G814" s="14">
        <v>0.70600010000000002</v>
      </c>
      <c r="H814" s="14">
        <v>0.2910722</v>
      </c>
      <c r="R814" s="11">
        <f t="shared" si="26"/>
        <v>8.7708333073118587E-3</v>
      </c>
      <c r="Z814" s="11">
        <f t="shared" si="25"/>
        <v>1.1475601370583035E-2</v>
      </c>
    </row>
    <row r="815" spans="1:26" x14ac:dyDescent="0.2">
      <c r="A815" s="45">
        <v>155</v>
      </c>
      <c r="B815" s="45">
        <v>2000</v>
      </c>
      <c r="C815" s="17">
        <v>0</v>
      </c>
      <c r="D815" s="14">
        <v>0.1807539</v>
      </c>
      <c r="E815" s="14">
        <v>0.38971709999999998</v>
      </c>
      <c r="F815" s="14">
        <v>4.5145699999999997E-2</v>
      </c>
      <c r="G815" s="14">
        <v>0.42661070000000001</v>
      </c>
      <c r="H815" s="14">
        <v>0.3190963</v>
      </c>
      <c r="R815" s="11">
        <f t="shared" si="26"/>
        <v>1.5502949842716923E-2</v>
      </c>
      <c r="Z815" s="11">
        <f t="shared" si="25"/>
        <v>2.0134322464388687E-2</v>
      </c>
    </row>
    <row r="816" spans="1:26" x14ac:dyDescent="0.2">
      <c r="A816" s="45">
        <v>155</v>
      </c>
      <c r="B816" s="45">
        <v>2001</v>
      </c>
      <c r="C816" s="17">
        <v>0</v>
      </c>
      <c r="D816" s="14">
        <v>0.1356193</v>
      </c>
      <c r="E816" s="14">
        <v>0.39585730000000002</v>
      </c>
      <c r="F816" s="14">
        <v>4.9516400000000002E-2</v>
      </c>
      <c r="G816" s="14">
        <v>0.64591270000000001</v>
      </c>
      <c r="H816" s="14">
        <v>0.30855510000000003</v>
      </c>
      <c r="R816" s="11">
        <f t="shared" si="26"/>
        <v>1.0514098482527018E-2</v>
      </c>
      <c r="Z816" s="11">
        <f t="shared" si="25"/>
        <v>1.3661827804882435E-2</v>
      </c>
    </row>
    <row r="817" spans="1:26" x14ac:dyDescent="0.2">
      <c r="A817" s="45">
        <v>155</v>
      </c>
      <c r="B817" s="45">
        <v>2002</v>
      </c>
      <c r="C817" s="17">
        <v>0</v>
      </c>
      <c r="D817" s="14">
        <v>0.1919167</v>
      </c>
      <c r="E817" s="14">
        <v>0.41049239999999998</v>
      </c>
      <c r="F817" s="14">
        <v>5.36839E-2</v>
      </c>
      <c r="G817" s="14">
        <v>0.66853390000000001</v>
      </c>
      <c r="H817" s="14">
        <v>0.33638249999999997</v>
      </c>
      <c r="R817" s="11">
        <f t="shared" si="26"/>
        <v>9.6115353457627943E-3</v>
      </c>
      <c r="Z817" s="11">
        <f t="shared" si="25"/>
        <v>1.2534720944585957E-2</v>
      </c>
    </row>
    <row r="818" spans="1:26" x14ac:dyDescent="0.2">
      <c r="A818" s="45">
        <v>155</v>
      </c>
      <c r="B818" s="45">
        <v>2003</v>
      </c>
      <c r="C818" s="17">
        <v>0</v>
      </c>
      <c r="D818" s="14">
        <v>0.2296241</v>
      </c>
      <c r="E818" s="14">
        <v>0.42804389999999998</v>
      </c>
      <c r="F818" s="14">
        <v>4.16785E-2</v>
      </c>
      <c r="G818" s="14">
        <v>0.88645609999999997</v>
      </c>
      <c r="H818" s="14">
        <v>0.2124635</v>
      </c>
      <c r="R818" s="11">
        <f t="shared" si="26"/>
        <v>7.304733520912347E-3</v>
      </c>
      <c r="Z818" s="11">
        <f t="shared" si="25"/>
        <v>9.4014548693185963E-3</v>
      </c>
    </row>
    <row r="819" spans="1:26" x14ac:dyDescent="0.2">
      <c r="A819" s="45">
        <v>155</v>
      </c>
      <c r="B819" s="45">
        <v>2004</v>
      </c>
      <c r="C819" s="17">
        <v>0</v>
      </c>
      <c r="D819" s="14">
        <v>0.53121439999999998</v>
      </c>
      <c r="E819" s="14">
        <v>0.5468807</v>
      </c>
      <c r="F819" s="14">
        <v>3.3623599999999997E-2</v>
      </c>
      <c r="G819" s="14">
        <v>1.120112</v>
      </c>
      <c r="H819" s="14">
        <v>0.23181099999999999</v>
      </c>
      <c r="R819" s="11">
        <f t="shared" si="26"/>
        <v>4.5294573259783803E-3</v>
      </c>
      <c r="Z819" s="11">
        <f t="shared" si="25"/>
        <v>5.7899097137373229E-3</v>
      </c>
    </row>
    <row r="820" spans="1:26" x14ac:dyDescent="0.2">
      <c r="A820" s="45">
        <v>156</v>
      </c>
      <c r="B820" s="45">
        <v>1999</v>
      </c>
      <c r="C820" s="17">
        <v>0</v>
      </c>
      <c r="D820" s="14">
        <v>0.2430464</v>
      </c>
      <c r="E820" s="14">
        <v>-0.23028380000000001</v>
      </c>
      <c r="F820" s="14">
        <v>6.6599500000000006E-2</v>
      </c>
      <c r="G820" s="14">
        <v>2.8981309999999998</v>
      </c>
      <c r="H820" s="14">
        <v>0.1867915</v>
      </c>
      <c r="R820" s="11">
        <f t="shared" si="26"/>
        <v>6.3591017132059026E-4</v>
      </c>
      <c r="Z820" s="11">
        <f t="shared" si="25"/>
        <v>7.8284091567537735E-4</v>
      </c>
    </row>
    <row r="821" spans="1:26" x14ac:dyDescent="0.2">
      <c r="A821" s="45">
        <v>156</v>
      </c>
      <c r="B821" s="45">
        <v>2000</v>
      </c>
      <c r="C821" s="17">
        <v>0</v>
      </c>
      <c r="D821" s="14">
        <v>0.1613484</v>
      </c>
      <c r="E821" s="14">
        <v>-0.11420370000000001</v>
      </c>
      <c r="F821" s="14">
        <v>6.1572799999999997E-2</v>
      </c>
      <c r="G821" s="14">
        <v>4.1519310000000003</v>
      </c>
      <c r="H821" s="14">
        <v>0.2017516</v>
      </c>
      <c r="R821" s="11">
        <f t="shared" si="26"/>
        <v>7.5868011916513226E-5</v>
      </c>
      <c r="Z821" s="11">
        <f t="shared" si="25"/>
        <v>9.0853422911451768E-5</v>
      </c>
    </row>
    <row r="822" spans="1:26" x14ac:dyDescent="0.2">
      <c r="A822" s="45">
        <v>156</v>
      </c>
      <c r="B822" s="45">
        <v>2001</v>
      </c>
      <c r="C822" s="17">
        <v>0</v>
      </c>
      <c r="D822" s="14">
        <v>0.25399189999999999</v>
      </c>
      <c r="E822" s="14">
        <v>-2.0075000000000002E-3</v>
      </c>
      <c r="F822" s="14">
        <v>7.5248499999999996E-2</v>
      </c>
      <c r="G822" s="14">
        <v>5.2009550000000004</v>
      </c>
      <c r="H822" s="14">
        <v>0.21131369999999999</v>
      </c>
      <c r="R822" s="11">
        <f t="shared" si="26"/>
        <v>1.0857035008619443E-5</v>
      </c>
      <c r="Z822" s="11">
        <f t="shared" si="25"/>
        <v>1.2897496988412891E-5</v>
      </c>
    </row>
    <row r="823" spans="1:26" x14ac:dyDescent="0.2">
      <c r="A823" s="45">
        <v>156</v>
      </c>
      <c r="B823" s="45">
        <v>2002</v>
      </c>
      <c r="C823" s="17">
        <v>0</v>
      </c>
      <c r="D823" s="14">
        <v>0.15427660000000001</v>
      </c>
      <c r="E823" s="14">
        <v>8.9819700000000002E-2</v>
      </c>
      <c r="F823" s="14">
        <v>7.3549699999999996E-2</v>
      </c>
      <c r="G823" s="14">
        <v>3.1535679999999999</v>
      </c>
      <c r="H823" s="14">
        <v>0.20387669999999999</v>
      </c>
      <c r="R823" s="11">
        <f t="shared" si="26"/>
        <v>2.514758174994281E-4</v>
      </c>
      <c r="Z823" s="11">
        <f t="shared" si="25"/>
        <v>3.1304546529415409E-4</v>
      </c>
    </row>
    <row r="824" spans="1:26" x14ac:dyDescent="0.2">
      <c r="A824" s="45">
        <v>156</v>
      </c>
      <c r="B824" s="45">
        <v>2003</v>
      </c>
      <c r="C824" s="17">
        <v>0</v>
      </c>
      <c r="D824" s="14">
        <v>0.24671180000000001</v>
      </c>
      <c r="E824" s="14">
        <v>0.19491559999999999</v>
      </c>
      <c r="F824" s="14">
        <v>7.5855000000000006E-2</v>
      </c>
      <c r="G824" s="14">
        <v>4.855766</v>
      </c>
      <c r="H824" s="14">
        <v>0.19136909999999999</v>
      </c>
      <c r="R824" s="11">
        <f t="shared" si="26"/>
        <v>1.4065423579350121E-5</v>
      </c>
      <c r="Z824" s="11">
        <f t="shared" si="25"/>
        <v>1.6958804898985932E-5</v>
      </c>
    </row>
    <row r="825" spans="1:26" x14ac:dyDescent="0.2">
      <c r="A825" s="45">
        <v>156</v>
      </c>
      <c r="B825" s="45">
        <v>2004</v>
      </c>
      <c r="C825" s="17">
        <v>0</v>
      </c>
      <c r="D825" s="14">
        <v>0.26290000000000002</v>
      </c>
      <c r="E825" s="14">
        <v>0.30000080000000001</v>
      </c>
      <c r="F825" s="14">
        <v>6.9085499999999994E-2</v>
      </c>
      <c r="G825" s="14">
        <v>8.6412289999999992</v>
      </c>
      <c r="H825" s="14">
        <v>0.20243259999999999</v>
      </c>
      <c r="R825" s="11">
        <f t="shared" si="26"/>
        <v>3.0580132629798969E-8</v>
      </c>
      <c r="Z825" s="11">
        <f t="shared" si="25"/>
        <v>3.3855894917829657E-8</v>
      </c>
    </row>
    <row r="826" spans="1:26" x14ac:dyDescent="0.2">
      <c r="A826" s="45">
        <v>157</v>
      </c>
      <c r="B826" s="45">
        <v>1999</v>
      </c>
      <c r="C826" s="17">
        <v>0</v>
      </c>
      <c r="D826" s="14">
        <v>0.18014450000000001</v>
      </c>
      <c r="E826" s="14">
        <v>0.56217309999999998</v>
      </c>
      <c r="F826" s="14">
        <v>2.7098400000000002E-2</v>
      </c>
      <c r="G826" s="14">
        <v>2.6848350000000001</v>
      </c>
      <c r="H826" s="14">
        <v>0.34190910000000002</v>
      </c>
      <c r="R826" s="11">
        <f t="shared" si="26"/>
        <v>3.8719807151875332E-4</v>
      </c>
      <c r="Z826" s="11">
        <f t="shared" si="25"/>
        <v>4.764424080152424E-4</v>
      </c>
    </row>
    <row r="827" spans="1:26" x14ac:dyDescent="0.2">
      <c r="A827" s="45">
        <v>157</v>
      </c>
      <c r="B827" s="45">
        <v>2000</v>
      </c>
      <c r="C827" s="17">
        <v>0</v>
      </c>
      <c r="D827" s="14">
        <v>0.11212419999999999</v>
      </c>
      <c r="E827" s="14">
        <v>0.5820149</v>
      </c>
      <c r="F827" s="14">
        <v>4.8610500000000001E-2</v>
      </c>
      <c r="G827" s="14">
        <v>4.1252700000000004</v>
      </c>
      <c r="H827" s="14">
        <v>0.39169589999999999</v>
      </c>
      <c r="R827" s="11">
        <f t="shared" si="26"/>
        <v>3.190924912020129E-5</v>
      </c>
      <c r="Z827" s="11">
        <f t="shared" si="25"/>
        <v>3.8744240004353963E-5</v>
      </c>
    </row>
    <row r="828" spans="1:26" x14ac:dyDescent="0.2">
      <c r="A828" s="45">
        <v>157</v>
      </c>
      <c r="B828" s="45">
        <v>2001</v>
      </c>
      <c r="C828" s="17">
        <v>0</v>
      </c>
      <c r="D828" s="14">
        <v>7.0382600000000003E-2</v>
      </c>
      <c r="E828" s="14">
        <v>0.56490759999999995</v>
      </c>
      <c r="F828" s="14">
        <v>4.81713E-2</v>
      </c>
      <c r="G828" s="14">
        <v>2.3772669999999998</v>
      </c>
      <c r="H828" s="14">
        <v>0.35237590000000002</v>
      </c>
      <c r="R828" s="11">
        <f t="shared" si="26"/>
        <v>5.3186559922391546E-4</v>
      </c>
      <c r="Z828" s="11">
        <f t="shared" si="25"/>
        <v>6.7041180804414179E-4</v>
      </c>
    </row>
    <row r="829" spans="1:26" x14ac:dyDescent="0.2">
      <c r="A829" s="45">
        <v>157</v>
      </c>
      <c r="B829" s="45">
        <v>2002</v>
      </c>
      <c r="C829" s="17">
        <v>0</v>
      </c>
      <c r="D829" s="14">
        <v>7.4827000000000001E-3</v>
      </c>
      <c r="E829" s="14">
        <v>0.25264920000000002</v>
      </c>
      <c r="F829" s="14">
        <v>4.2210200000000003E-2</v>
      </c>
      <c r="G829" s="14">
        <v>0.67355330000000002</v>
      </c>
      <c r="H829" s="14">
        <v>0.26256119999999999</v>
      </c>
      <c r="R829" s="11">
        <f t="shared" si="26"/>
        <v>1.3101427400364915E-2</v>
      </c>
      <c r="Z829" s="11">
        <f t="shared" si="25"/>
        <v>1.6819108706070961E-2</v>
      </c>
    </row>
    <row r="830" spans="1:26" x14ac:dyDescent="0.2">
      <c r="A830" s="45">
        <v>157</v>
      </c>
      <c r="B830" s="45">
        <v>2003</v>
      </c>
      <c r="C830" s="17">
        <v>0</v>
      </c>
      <c r="D830" s="14">
        <v>1.7457400000000001E-2</v>
      </c>
      <c r="E830" s="14">
        <v>0.30407899999999999</v>
      </c>
      <c r="F830" s="14">
        <v>4.2632700000000003E-2</v>
      </c>
      <c r="G830" s="14">
        <v>0.64459379999999999</v>
      </c>
      <c r="H830" s="14">
        <v>0.2551388</v>
      </c>
      <c r="R830" s="11">
        <f t="shared" si="26"/>
        <v>1.2693932245363682E-2</v>
      </c>
      <c r="Z830" s="11">
        <f t="shared" si="25"/>
        <v>1.6341988807030909E-2</v>
      </c>
    </row>
    <row r="831" spans="1:26" x14ac:dyDescent="0.2">
      <c r="A831" s="45">
        <v>157</v>
      </c>
      <c r="B831" s="45">
        <v>2004</v>
      </c>
      <c r="C831" s="17">
        <v>0</v>
      </c>
      <c r="D831" s="14">
        <v>5.6776300000000002E-2</v>
      </c>
      <c r="E831" s="14">
        <v>0.35713089999999997</v>
      </c>
      <c r="F831" s="14">
        <v>5.8945299999999999E-2</v>
      </c>
      <c r="G831" s="14">
        <v>0.92668159999999999</v>
      </c>
      <c r="H831" s="14">
        <v>0.26095449999999998</v>
      </c>
      <c r="R831" s="11">
        <f t="shared" si="26"/>
        <v>6.6200290147649344E-3</v>
      </c>
      <c r="Z831" s="11">
        <f t="shared" si="25"/>
        <v>8.6139579752480735E-3</v>
      </c>
    </row>
    <row r="832" spans="1:26" x14ac:dyDescent="0.2">
      <c r="A832" s="45">
        <v>158</v>
      </c>
      <c r="B832" s="45">
        <v>1999</v>
      </c>
      <c r="C832" s="17">
        <v>0</v>
      </c>
      <c r="D832" s="14">
        <v>9.2355699999999999E-2</v>
      </c>
      <c r="E832" s="14">
        <v>0.3088921</v>
      </c>
      <c r="F832" s="14">
        <v>5.5200100000000002E-2</v>
      </c>
      <c r="G832" s="14">
        <v>7.8221319999999999</v>
      </c>
      <c r="H832" s="14">
        <v>0.22692519999999999</v>
      </c>
      <c r="R832" s="11">
        <f t="shared" si="26"/>
        <v>1.2443713971930659E-7</v>
      </c>
      <c r="Z832" s="11">
        <f t="shared" si="25"/>
        <v>1.3872919313403588E-7</v>
      </c>
    </row>
    <row r="833" spans="1:26" x14ac:dyDescent="0.2">
      <c r="A833" s="45">
        <v>158</v>
      </c>
      <c r="B833" s="45">
        <v>2000</v>
      </c>
      <c r="C833" s="17">
        <v>0</v>
      </c>
      <c r="D833" s="14">
        <v>0.16731219999999999</v>
      </c>
      <c r="E833" s="14">
        <v>0.15179480000000001</v>
      </c>
      <c r="F833" s="14">
        <v>5.534E-2</v>
      </c>
      <c r="G833" s="14">
        <v>6.807137</v>
      </c>
      <c r="H833" s="14">
        <v>0.13054740000000001</v>
      </c>
      <c r="R833" s="11">
        <f t="shared" si="26"/>
        <v>7.8728776368745505E-7</v>
      </c>
      <c r="Z833" s="11">
        <f t="shared" si="25"/>
        <v>8.9283190190057077E-7</v>
      </c>
    </row>
    <row r="834" spans="1:26" x14ac:dyDescent="0.2">
      <c r="A834" s="45">
        <v>158</v>
      </c>
      <c r="B834" s="45">
        <v>2001</v>
      </c>
      <c r="C834" s="17">
        <v>0</v>
      </c>
      <c r="D834" s="14">
        <v>0.1976454</v>
      </c>
      <c r="E834" s="14">
        <v>-0.26703690000000002</v>
      </c>
      <c r="F834" s="14">
        <v>-3.9538999999999998E-3</v>
      </c>
      <c r="G834" s="14">
        <v>1.1752229999999999</v>
      </c>
      <c r="H834" s="14">
        <v>0.110239</v>
      </c>
      <c r="R834" s="11">
        <f t="shared" si="26"/>
        <v>1.8049900661668127E-2</v>
      </c>
      <c r="Z834" s="11">
        <f t="shared" ref="Z834:Z897" si="27">1/(1+EXP(-(U$2+$V$2*E834+$W$2*F834+$X$2*G834)))</f>
        <v>2.1678175364943753E-2</v>
      </c>
    </row>
    <row r="835" spans="1:26" x14ac:dyDescent="0.2">
      <c r="A835" s="45">
        <v>158</v>
      </c>
      <c r="B835" s="45">
        <v>2002</v>
      </c>
      <c r="C835" s="17">
        <v>0</v>
      </c>
      <c r="D835" s="14">
        <v>0.21896560000000001</v>
      </c>
      <c r="E835" s="14">
        <v>-0.42107929999999999</v>
      </c>
      <c r="F835" s="14">
        <v>8.3829999999999998E-3</v>
      </c>
      <c r="G835" s="14">
        <v>0.57326509999999997</v>
      </c>
      <c r="H835" s="14">
        <v>9.4755699999999998E-2</v>
      </c>
      <c r="R835" s="11">
        <f t="shared" si="26"/>
        <v>5.1572026139026277E-2</v>
      </c>
      <c r="Z835" s="11">
        <f t="shared" si="27"/>
        <v>6.256916663387628E-2</v>
      </c>
    </row>
    <row r="836" spans="1:26" x14ac:dyDescent="0.2">
      <c r="A836" s="45">
        <v>158</v>
      </c>
      <c r="B836" s="45">
        <v>2003</v>
      </c>
      <c r="C836" s="17">
        <v>0</v>
      </c>
      <c r="D836" s="14">
        <v>0.13242689999999999</v>
      </c>
      <c r="E836" s="14">
        <v>-0.45475779999999999</v>
      </c>
      <c r="F836" s="14">
        <v>4.8377000000000003E-2</v>
      </c>
      <c r="G836" s="14">
        <v>2.6476069999999998</v>
      </c>
      <c r="H836" s="14">
        <v>0.1075334</v>
      </c>
      <c r="R836" s="11">
        <f t="shared" si="26"/>
        <v>1.5186239930126441E-3</v>
      </c>
      <c r="Z836" s="11">
        <f t="shared" si="27"/>
        <v>1.8374711926594045E-3</v>
      </c>
    </row>
    <row r="837" spans="1:26" x14ac:dyDescent="0.2">
      <c r="A837" s="45">
        <v>158</v>
      </c>
      <c r="B837" s="45">
        <v>2004</v>
      </c>
      <c r="C837" s="17">
        <v>0</v>
      </c>
      <c r="D837" s="14">
        <v>0.124177</v>
      </c>
      <c r="E837" s="14">
        <v>-0.71751759999999998</v>
      </c>
      <c r="F837" s="14">
        <v>3.6189600000000002E-2</v>
      </c>
      <c r="G837" s="14">
        <v>2.8343639999999999</v>
      </c>
      <c r="H837" s="14">
        <v>0.13527790000000001</v>
      </c>
      <c r="R837" s="11">
        <f t="shared" si="26"/>
        <v>1.8210854580491475E-3</v>
      </c>
      <c r="Z837" s="11">
        <f t="shared" si="27"/>
        <v>2.1530727813585571E-3</v>
      </c>
    </row>
    <row r="838" spans="1:26" x14ac:dyDescent="0.2">
      <c r="A838" s="45">
        <v>159</v>
      </c>
      <c r="B838" s="45">
        <v>2002</v>
      </c>
      <c r="C838" s="17">
        <v>0</v>
      </c>
      <c r="D838" s="14">
        <v>-3.2628400000000002E-2</v>
      </c>
      <c r="E838" s="14">
        <v>0.65311889999999995</v>
      </c>
      <c r="F838" s="14">
        <v>6.2147899999999999E-2</v>
      </c>
      <c r="G838" s="14">
        <v>3.3057989999999999</v>
      </c>
      <c r="H838" s="14">
        <v>0.46668470000000001</v>
      </c>
      <c r="R838" s="11">
        <f t="shared" si="26"/>
        <v>9.5303220068272964E-5</v>
      </c>
      <c r="Z838" s="11">
        <f t="shared" si="27"/>
        <v>1.1942781104783099E-4</v>
      </c>
    </row>
    <row r="839" spans="1:26" x14ac:dyDescent="0.2">
      <c r="A839" s="45">
        <v>159</v>
      </c>
      <c r="B839" s="45">
        <v>2003</v>
      </c>
      <c r="C839" s="17">
        <v>0</v>
      </c>
      <c r="D839" s="14">
        <v>-2.13536E-2</v>
      </c>
      <c r="E839" s="14">
        <v>0.62438830000000001</v>
      </c>
      <c r="F839" s="14">
        <v>8.0568000000000001E-2</v>
      </c>
      <c r="G839" s="14">
        <v>3.2201409999999999</v>
      </c>
      <c r="H839" s="14">
        <v>0.46542040000000001</v>
      </c>
      <c r="R839" s="11">
        <f t="shared" si="26"/>
        <v>9.8297255520308658E-5</v>
      </c>
      <c r="Z839" s="11">
        <f t="shared" si="27"/>
        <v>1.251661826743297E-4</v>
      </c>
    </row>
    <row r="840" spans="1:26" x14ac:dyDescent="0.2">
      <c r="A840" s="45">
        <v>159</v>
      </c>
      <c r="B840" s="45">
        <v>2004</v>
      </c>
      <c r="C840" s="17">
        <v>0</v>
      </c>
      <c r="D840" s="14">
        <v>-3.6289999999999998E-4</v>
      </c>
      <c r="E840" s="14">
        <v>0.6416115</v>
      </c>
      <c r="F840" s="14">
        <v>8.21963E-2</v>
      </c>
      <c r="G840" s="14">
        <v>2.909751</v>
      </c>
      <c r="H840" s="14">
        <v>0.45115509999999998</v>
      </c>
      <c r="R840" s="11">
        <f t="shared" si="26"/>
        <v>1.551678104192746E-4</v>
      </c>
      <c r="Z840" s="11">
        <f t="shared" si="27"/>
        <v>1.9931696798887569E-4</v>
      </c>
    </row>
    <row r="841" spans="1:26" x14ac:dyDescent="0.2">
      <c r="A841" s="45">
        <v>160</v>
      </c>
      <c r="B841" s="45">
        <v>1999</v>
      </c>
      <c r="C841" s="17">
        <v>0</v>
      </c>
      <c r="D841" s="14">
        <v>0.25902120000000001</v>
      </c>
      <c r="E841" s="14">
        <v>0.54011989999999999</v>
      </c>
      <c r="F841" s="14">
        <v>8.5756499999999999E-2</v>
      </c>
      <c r="G841" s="14">
        <v>2.1999499999999999</v>
      </c>
      <c r="H841" s="14">
        <v>0.34606779999999998</v>
      </c>
      <c r="R841" s="11">
        <f t="shared" si="26"/>
        <v>5.4150272759378559E-4</v>
      </c>
      <c r="Z841" s="11">
        <f t="shared" si="27"/>
        <v>7.0605072368916009E-4</v>
      </c>
    </row>
    <row r="842" spans="1:26" x14ac:dyDescent="0.2">
      <c r="A842" s="45">
        <v>160</v>
      </c>
      <c r="B842" s="45">
        <v>2000</v>
      </c>
      <c r="C842" s="17">
        <v>0</v>
      </c>
      <c r="D842" s="14">
        <v>0.25930429999999999</v>
      </c>
      <c r="E842" s="14">
        <v>0.62520330000000002</v>
      </c>
      <c r="F842" s="14">
        <v>6.5704299999999993E-2</v>
      </c>
      <c r="G842" s="14">
        <v>3.2303120000000001</v>
      </c>
      <c r="H842" s="14">
        <v>0.33354339999999999</v>
      </c>
      <c r="R842" s="11">
        <f t="shared" si="26"/>
        <v>1.0879743437465149E-4</v>
      </c>
      <c r="Z842" s="11">
        <f t="shared" si="27"/>
        <v>1.3683187701259473E-4</v>
      </c>
    </row>
    <row r="843" spans="1:26" x14ac:dyDescent="0.2">
      <c r="A843" s="45">
        <v>160</v>
      </c>
      <c r="B843" s="45">
        <v>2001</v>
      </c>
      <c r="C843" s="17">
        <v>0</v>
      </c>
      <c r="D843" s="14">
        <v>0.24024429999999999</v>
      </c>
      <c r="E843" s="14">
        <v>0.61565150000000002</v>
      </c>
      <c r="F843" s="14">
        <v>5.1575500000000003E-2</v>
      </c>
      <c r="G843" s="14">
        <v>2.4234200000000001</v>
      </c>
      <c r="H843" s="14">
        <v>0.33141759999999998</v>
      </c>
      <c r="R843" s="11">
        <f t="shared" si="26"/>
        <v>4.4671186501555108E-4</v>
      </c>
      <c r="Z843" s="11">
        <f t="shared" si="27"/>
        <v>5.6506949294270821E-4</v>
      </c>
    </row>
    <row r="844" spans="1:26" x14ac:dyDescent="0.2">
      <c r="A844" s="45">
        <v>160</v>
      </c>
      <c r="B844" s="45">
        <v>2002</v>
      </c>
      <c r="C844" s="17">
        <v>0</v>
      </c>
      <c r="D844" s="14">
        <v>0.1978567</v>
      </c>
      <c r="E844" s="14">
        <v>0.5510157</v>
      </c>
      <c r="F844" s="14">
        <v>-1.4895E-2</v>
      </c>
      <c r="G844" s="14">
        <v>1.5862970000000001</v>
      </c>
      <c r="H844" s="14">
        <v>0.27590379999999998</v>
      </c>
      <c r="R844" s="11">
        <f t="shared" si="26"/>
        <v>3.161846218980646E-3</v>
      </c>
      <c r="Z844" s="11">
        <f t="shared" si="27"/>
        <v>3.8472359245925597E-3</v>
      </c>
    </row>
    <row r="845" spans="1:26" x14ac:dyDescent="0.2">
      <c r="A845" s="45">
        <v>160</v>
      </c>
      <c r="B845" s="45">
        <v>2003</v>
      </c>
      <c r="C845" s="17">
        <v>0</v>
      </c>
      <c r="D845" s="14">
        <v>0.15519930000000001</v>
      </c>
      <c r="E845" s="14">
        <v>0.52467350000000001</v>
      </c>
      <c r="F845" s="14">
        <v>5.7657600000000003E-2</v>
      </c>
      <c r="G845" s="14">
        <v>1.815874</v>
      </c>
      <c r="H845" s="14">
        <v>0.26920250000000001</v>
      </c>
      <c r="R845" s="11">
        <f t="shared" si="26"/>
        <v>1.2778018560003269E-3</v>
      </c>
      <c r="Z845" s="11">
        <f t="shared" si="27"/>
        <v>1.6407889557498705E-3</v>
      </c>
    </row>
    <row r="846" spans="1:26" x14ac:dyDescent="0.2">
      <c r="A846" s="45">
        <v>160</v>
      </c>
      <c r="B846" s="45">
        <v>2004</v>
      </c>
      <c r="C846" s="17">
        <v>0</v>
      </c>
      <c r="D846" s="14">
        <v>0.17287739999999999</v>
      </c>
      <c r="E846" s="14">
        <v>0.40035179999999998</v>
      </c>
      <c r="F846" s="14">
        <v>5.36528E-2</v>
      </c>
      <c r="G846" s="14">
        <v>1.193892</v>
      </c>
      <c r="H846" s="14">
        <v>0.27031840000000001</v>
      </c>
      <c r="R846" s="11">
        <f t="shared" si="26"/>
        <v>4.2467415805907544E-3</v>
      </c>
      <c r="Z846" s="11">
        <f t="shared" si="27"/>
        <v>5.4819616630777217E-3</v>
      </c>
    </row>
    <row r="847" spans="1:26" x14ac:dyDescent="0.2">
      <c r="A847" s="45">
        <v>161</v>
      </c>
      <c r="B847" s="45">
        <v>2000</v>
      </c>
      <c r="C847" s="17">
        <v>0</v>
      </c>
      <c r="D847" s="14">
        <v>0.12735850000000001</v>
      </c>
      <c r="E847" s="14">
        <v>-2.8640800000000001E-2</v>
      </c>
      <c r="F847" s="14">
        <v>4.0116400000000003E-2</v>
      </c>
      <c r="G847" s="14">
        <v>0.45774350000000003</v>
      </c>
      <c r="H847" s="14">
        <v>0.2369328</v>
      </c>
      <c r="R847" s="11">
        <f t="shared" si="26"/>
        <v>2.7863383537207805E-2</v>
      </c>
      <c r="Z847" s="11">
        <f t="shared" si="27"/>
        <v>3.539255438616256E-2</v>
      </c>
    </row>
    <row r="848" spans="1:26" x14ac:dyDescent="0.2">
      <c r="A848" s="45">
        <v>161</v>
      </c>
      <c r="B848" s="45">
        <v>2001</v>
      </c>
      <c r="C848" s="17">
        <v>0</v>
      </c>
      <c r="D848" s="14">
        <v>7.3953400000000002E-2</v>
      </c>
      <c r="E848" s="14">
        <v>-0.10368869999999999</v>
      </c>
      <c r="F848" s="14">
        <v>2.9429500000000001E-2</v>
      </c>
      <c r="G848" s="14">
        <v>0.41408919999999999</v>
      </c>
      <c r="H848" s="14">
        <v>0.212949</v>
      </c>
      <c r="R848" s="11">
        <f t="shared" si="26"/>
        <v>3.5984837543156761E-2</v>
      </c>
      <c r="Z848" s="11">
        <f t="shared" si="27"/>
        <v>4.5156326321283691E-2</v>
      </c>
    </row>
    <row r="849" spans="1:26" x14ac:dyDescent="0.2">
      <c r="A849" s="45">
        <v>161</v>
      </c>
      <c r="B849" s="45">
        <v>2002</v>
      </c>
      <c r="C849" s="17">
        <v>0</v>
      </c>
      <c r="D849" s="14">
        <v>6.6902900000000001E-2</v>
      </c>
      <c r="E849" s="14">
        <v>-0.25119710000000001</v>
      </c>
      <c r="F849" s="14">
        <v>1.9974599999999999E-2</v>
      </c>
      <c r="G849" s="14">
        <v>0.28568579999999999</v>
      </c>
      <c r="H849" s="14">
        <v>0.21228269999999999</v>
      </c>
      <c r="R849" s="11">
        <f t="shared" si="26"/>
        <v>5.7688618589615034E-2</v>
      </c>
      <c r="Z849" s="11">
        <f t="shared" si="27"/>
        <v>7.1315037246397137E-2</v>
      </c>
    </row>
    <row r="850" spans="1:26" x14ac:dyDescent="0.2">
      <c r="A850" s="45">
        <v>161</v>
      </c>
      <c r="B850" s="45">
        <v>2003</v>
      </c>
      <c r="C850" s="17">
        <v>0</v>
      </c>
      <c r="D850" s="14">
        <v>6.6347000000000003E-2</v>
      </c>
      <c r="E850" s="14">
        <v>-0.23508799999999999</v>
      </c>
      <c r="F850" s="14">
        <v>3.0238000000000001E-2</v>
      </c>
      <c r="G850" s="14">
        <v>0.40033390000000002</v>
      </c>
      <c r="H850" s="14">
        <v>0.25055860000000002</v>
      </c>
      <c r="R850" s="11">
        <f t="shared" si="26"/>
        <v>4.3876889697504667E-2</v>
      </c>
      <c r="Z850" s="11">
        <f t="shared" si="27"/>
        <v>5.4761749346427024E-2</v>
      </c>
    </row>
    <row r="851" spans="1:26" x14ac:dyDescent="0.2">
      <c r="A851" s="45">
        <v>161</v>
      </c>
      <c r="B851" s="45">
        <v>2004</v>
      </c>
      <c r="C851" s="17">
        <v>0</v>
      </c>
      <c r="D851" s="14">
        <v>0.15143419999999999</v>
      </c>
      <c r="E851" s="14">
        <v>-0.22208700000000001</v>
      </c>
      <c r="F851" s="14">
        <v>3.5232699999999999E-2</v>
      </c>
      <c r="G851" s="14">
        <v>0.60880120000000004</v>
      </c>
      <c r="H851" s="14">
        <v>0.25992130000000002</v>
      </c>
      <c r="R851" s="11">
        <f t="shared" si="26"/>
        <v>3.010291849453994E-2</v>
      </c>
      <c r="Z851" s="11">
        <f t="shared" si="27"/>
        <v>3.7703672810536694E-2</v>
      </c>
    </row>
    <row r="852" spans="1:26" x14ac:dyDescent="0.2">
      <c r="A852" s="45">
        <v>162</v>
      </c>
      <c r="B852" s="45">
        <v>1999</v>
      </c>
      <c r="C852" s="17">
        <v>0</v>
      </c>
      <c r="D852" s="14">
        <v>-3.8057E-3</v>
      </c>
      <c r="E852" s="14">
        <v>4.2614100000000002E-2</v>
      </c>
      <c r="F852" s="14">
        <v>2.0269599999999999E-2</v>
      </c>
      <c r="G852" s="14">
        <v>0.18410389999999999</v>
      </c>
      <c r="H852" s="14">
        <v>0.80493340000000002</v>
      </c>
      <c r="R852" s="11">
        <f t="shared" si="26"/>
        <v>4.4746530049218934E-2</v>
      </c>
      <c r="Z852" s="11">
        <f t="shared" si="27"/>
        <v>5.6157462439711731E-2</v>
      </c>
    </row>
    <row r="853" spans="1:26" x14ac:dyDescent="0.2">
      <c r="A853" s="45">
        <v>163</v>
      </c>
      <c r="B853" s="45">
        <v>1999</v>
      </c>
      <c r="C853" s="17">
        <v>0</v>
      </c>
      <c r="D853" s="14">
        <v>-1.95239E-2</v>
      </c>
      <c r="E853" s="14">
        <v>8.0557599999999993E-2</v>
      </c>
      <c r="F853" s="14">
        <v>2.1847700000000001E-2</v>
      </c>
      <c r="G853" s="14">
        <v>0.33729029999999999</v>
      </c>
      <c r="H853" s="14">
        <v>0.17860090000000001</v>
      </c>
      <c r="R853" s="11">
        <f t="shared" si="26"/>
        <v>3.3154068217198074E-2</v>
      </c>
      <c r="Z853" s="11">
        <f t="shared" si="27"/>
        <v>4.1706787198585948E-2</v>
      </c>
    </row>
    <row r="854" spans="1:26" x14ac:dyDescent="0.2">
      <c r="A854" s="45">
        <v>163</v>
      </c>
      <c r="B854" s="45">
        <v>2000</v>
      </c>
      <c r="C854" s="17">
        <v>0</v>
      </c>
      <c r="D854" s="14">
        <v>8.6745699999999995E-2</v>
      </c>
      <c r="E854" s="14">
        <v>1.6139899999999999E-2</v>
      </c>
      <c r="F854" s="14">
        <v>3.14551E-2</v>
      </c>
      <c r="G854" s="14">
        <v>0.1378935</v>
      </c>
      <c r="H854" s="14">
        <v>0.17916860000000001</v>
      </c>
      <c r="R854" s="11">
        <f t="shared" si="26"/>
        <v>4.5725220664735722E-2</v>
      </c>
      <c r="Z854" s="11">
        <f t="shared" si="27"/>
        <v>5.7874605812588714E-2</v>
      </c>
    </row>
    <row r="855" spans="1:26" x14ac:dyDescent="0.2">
      <c r="A855" s="45">
        <v>163</v>
      </c>
      <c r="B855" s="45">
        <v>2001</v>
      </c>
      <c r="C855" s="17">
        <v>0</v>
      </c>
      <c r="D855" s="14">
        <v>1.62898E-2</v>
      </c>
      <c r="E855" s="14">
        <v>-0.12864429999999999</v>
      </c>
      <c r="F855" s="14">
        <v>2.1917200000000001E-2</v>
      </c>
      <c r="G855" s="14">
        <v>6.7236099999999993E-2</v>
      </c>
      <c r="H855" s="14">
        <v>0.19633220000000001</v>
      </c>
      <c r="R855" s="11">
        <f t="shared" ref="R855:R918" si="28">1/(1+EXP(-(K$2+$M$2*E855+$N$2*F855+$O$2*G855)))</f>
        <v>6.6677143210602891E-2</v>
      </c>
      <c r="Z855" s="11">
        <f t="shared" si="27"/>
        <v>8.3045293966330508E-2</v>
      </c>
    </row>
    <row r="856" spans="1:26" x14ac:dyDescent="0.2">
      <c r="A856" s="45">
        <v>163</v>
      </c>
      <c r="B856" s="45">
        <v>2002</v>
      </c>
      <c r="C856" s="17">
        <v>0</v>
      </c>
      <c r="D856" s="14">
        <v>9.6574999999999994E-3</v>
      </c>
      <c r="E856" s="14">
        <v>-0.30944480000000002</v>
      </c>
      <c r="F856" s="14">
        <v>5.02342E-2</v>
      </c>
      <c r="G856" s="14">
        <v>0.20953369999999999</v>
      </c>
      <c r="H856" s="14">
        <v>0.23943490000000001</v>
      </c>
      <c r="R856" s="11">
        <f t="shared" si="28"/>
        <v>5.5762542960026015E-2</v>
      </c>
      <c r="Z856" s="11">
        <f t="shared" si="27"/>
        <v>7.0556147439865199E-2</v>
      </c>
    </row>
    <row r="857" spans="1:26" x14ac:dyDescent="0.2">
      <c r="A857" s="45">
        <v>163</v>
      </c>
      <c r="B857" s="45">
        <v>2003</v>
      </c>
      <c r="C857" s="17">
        <v>0</v>
      </c>
      <c r="D857" s="14">
        <v>3.4738600000000001E-2</v>
      </c>
      <c r="E857" s="14">
        <v>-0.27178029999999997</v>
      </c>
      <c r="F857" s="14">
        <v>4.5730300000000002E-2</v>
      </c>
      <c r="G857" s="14">
        <v>0.23431089999999999</v>
      </c>
      <c r="H857" s="14">
        <v>0.2268289</v>
      </c>
      <c r="R857" s="11">
        <f t="shared" si="28"/>
        <v>5.2775047855495159E-2</v>
      </c>
      <c r="Z857" s="11">
        <f t="shared" si="27"/>
        <v>6.6648653927637316E-2</v>
      </c>
    </row>
    <row r="858" spans="1:26" x14ac:dyDescent="0.2">
      <c r="A858" s="45">
        <v>163</v>
      </c>
      <c r="B858" s="45">
        <v>2004</v>
      </c>
      <c r="C858" s="17">
        <v>0</v>
      </c>
      <c r="D858" s="14">
        <v>5.5093000000000003E-2</v>
      </c>
      <c r="E858" s="14">
        <v>-0.25651819999999997</v>
      </c>
      <c r="F858" s="14">
        <v>5.5626000000000002E-2</v>
      </c>
      <c r="G858" s="14">
        <v>0.32587569999999999</v>
      </c>
      <c r="H858" s="14">
        <v>0.25778040000000002</v>
      </c>
      <c r="R858" s="11">
        <f t="shared" si="28"/>
        <v>4.1695876593958035E-2</v>
      </c>
      <c r="Z858" s="11">
        <f t="shared" si="27"/>
        <v>5.3151466006052681E-2</v>
      </c>
    </row>
    <row r="859" spans="1:26" x14ac:dyDescent="0.2">
      <c r="A859" s="45">
        <v>164</v>
      </c>
      <c r="B859" s="45">
        <v>1999</v>
      </c>
      <c r="C859" s="17">
        <v>0</v>
      </c>
      <c r="D859" s="14">
        <v>0.2206891</v>
      </c>
      <c r="E859" s="14">
        <v>0.1703982</v>
      </c>
      <c r="F859" s="14">
        <v>5.6987599999999999E-2</v>
      </c>
      <c r="G859" s="14">
        <v>0.63248450000000001</v>
      </c>
      <c r="H859" s="14">
        <v>0.41795470000000001</v>
      </c>
      <c r="R859" s="11">
        <f t="shared" si="28"/>
        <v>1.3994331731980321E-2</v>
      </c>
      <c r="Z859" s="11">
        <f t="shared" si="27"/>
        <v>1.8141537605398269E-2</v>
      </c>
    </row>
    <row r="860" spans="1:26" x14ac:dyDescent="0.2">
      <c r="A860" s="45">
        <v>164</v>
      </c>
      <c r="B860" s="45">
        <v>2000</v>
      </c>
      <c r="C860" s="17">
        <v>0</v>
      </c>
      <c r="D860" s="14">
        <v>0.16661010000000001</v>
      </c>
      <c r="E860" s="14">
        <v>0.16181090000000001</v>
      </c>
      <c r="F860" s="14">
        <v>2.4369999999999999E-2</v>
      </c>
      <c r="G860" s="14">
        <v>0.52210160000000005</v>
      </c>
      <c r="H860" s="14">
        <v>0.38750479999999998</v>
      </c>
      <c r="R860" s="11">
        <f t="shared" si="28"/>
        <v>2.1759439516338772E-2</v>
      </c>
      <c r="Z860" s="11">
        <f t="shared" si="27"/>
        <v>2.7477082599270508E-2</v>
      </c>
    </row>
    <row r="861" spans="1:26" x14ac:dyDescent="0.2">
      <c r="A861" s="45">
        <v>164</v>
      </c>
      <c r="B861" s="45">
        <v>2001</v>
      </c>
      <c r="C861" s="17">
        <v>0</v>
      </c>
      <c r="D861" s="14">
        <v>0.18548010000000001</v>
      </c>
      <c r="E861" s="14">
        <v>9.10276E-2</v>
      </c>
      <c r="F861" s="14">
        <v>4.0389599999999998E-2</v>
      </c>
      <c r="G861" s="14">
        <v>0.52567149999999996</v>
      </c>
      <c r="H861" s="14">
        <v>0.37183660000000002</v>
      </c>
      <c r="R861" s="11">
        <f t="shared" si="28"/>
        <v>2.1111118836363092E-2</v>
      </c>
      <c r="Z861" s="11">
        <f t="shared" si="27"/>
        <v>2.6940218828171443E-2</v>
      </c>
    </row>
    <row r="862" spans="1:26" x14ac:dyDescent="0.2">
      <c r="A862" s="45">
        <v>164</v>
      </c>
      <c r="B862" s="45">
        <v>2002</v>
      </c>
      <c r="C862" s="17">
        <v>0</v>
      </c>
      <c r="D862" s="14">
        <v>0.16984060000000001</v>
      </c>
      <c r="E862" s="14">
        <v>4.4757199999999997E-2</v>
      </c>
      <c r="F862" s="14">
        <v>3.2961299999999999E-2</v>
      </c>
      <c r="G862" s="14">
        <v>0.32263039999999998</v>
      </c>
      <c r="H862" s="14">
        <v>0.31232189999999999</v>
      </c>
      <c r="R862" s="11">
        <f t="shared" si="28"/>
        <v>3.2724617204638547E-2</v>
      </c>
      <c r="Z862" s="11">
        <f t="shared" si="27"/>
        <v>4.1496414116819931E-2</v>
      </c>
    </row>
    <row r="863" spans="1:26" x14ac:dyDescent="0.2">
      <c r="A863" s="45">
        <v>164</v>
      </c>
      <c r="B863" s="45">
        <v>2003</v>
      </c>
      <c r="C863" s="17">
        <v>0</v>
      </c>
      <c r="D863" s="14">
        <v>0.17841000000000001</v>
      </c>
      <c r="E863" s="14">
        <v>5.3948900000000001E-2</v>
      </c>
      <c r="F863" s="14">
        <v>4.4968300000000003E-2</v>
      </c>
      <c r="G863" s="14">
        <v>0.53603389999999995</v>
      </c>
      <c r="H863" s="14">
        <v>0.37973309999999999</v>
      </c>
      <c r="R863" s="11">
        <f t="shared" si="28"/>
        <v>2.1127128940586326E-2</v>
      </c>
      <c r="Z863" s="11">
        <f t="shared" si="27"/>
        <v>2.7019722632815477E-2</v>
      </c>
    </row>
    <row r="864" spans="1:26" x14ac:dyDescent="0.2">
      <c r="A864" s="45">
        <v>164</v>
      </c>
      <c r="B864" s="45">
        <v>2004</v>
      </c>
      <c r="C864" s="17">
        <v>0</v>
      </c>
      <c r="D864" s="14">
        <v>0.1959728</v>
      </c>
      <c r="E864" s="14">
        <v>7.9909300000000003E-2</v>
      </c>
      <c r="F864" s="14">
        <v>4.8036700000000002E-2</v>
      </c>
      <c r="G864" s="14">
        <v>0.75310840000000001</v>
      </c>
      <c r="H864" s="14">
        <v>0.37942179999999998</v>
      </c>
      <c r="R864" s="11">
        <f t="shared" si="28"/>
        <v>1.4146175750712895E-2</v>
      </c>
      <c r="Z864" s="11">
        <f t="shared" si="27"/>
        <v>1.810329835288791E-2</v>
      </c>
    </row>
    <row r="865" spans="1:26" x14ac:dyDescent="0.2">
      <c r="A865" s="45">
        <v>165</v>
      </c>
      <c r="B865" s="45">
        <v>1997</v>
      </c>
      <c r="C865" s="17">
        <v>0</v>
      </c>
      <c r="D865" s="14">
        <v>0.19929259999999999</v>
      </c>
      <c r="E865" s="14">
        <v>-0.16928380000000001</v>
      </c>
      <c r="F865" s="14">
        <v>2.6798800000000001E-2</v>
      </c>
      <c r="G865" s="14">
        <v>0.52891639999999995</v>
      </c>
      <c r="H865" s="14">
        <v>0.30356909999999998</v>
      </c>
      <c r="R865" s="11">
        <f t="shared" si="28"/>
        <v>3.3745585558324451E-2</v>
      </c>
      <c r="Z865" s="11">
        <f t="shared" si="27"/>
        <v>4.2091000302990622E-2</v>
      </c>
    </row>
    <row r="866" spans="1:26" x14ac:dyDescent="0.2">
      <c r="A866" s="45">
        <v>165</v>
      </c>
      <c r="B866" s="45">
        <v>1998</v>
      </c>
      <c r="C866" s="17">
        <v>0</v>
      </c>
      <c r="D866" s="14">
        <v>0.20121700000000001</v>
      </c>
      <c r="E866" s="14">
        <v>-0.39125520000000003</v>
      </c>
      <c r="F866" s="14">
        <v>-9.3246000000000006E-3</v>
      </c>
      <c r="G866" s="14">
        <v>0.21600220000000001</v>
      </c>
      <c r="H866" s="14">
        <v>0.36117840000000001</v>
      </c>
      <c r="R866" s="11">
        <f t="shared" si="28"/>
        <v>9.5849629970134909E-2</v>
      </c>
      <c r="Z866" s="11">
        <f t="shared" si="27"/>
        <v>0.11457032325257194</v>
      </c>
    </row>
    <row r="867" spans="1:26" x14ac:dyDescent="0.2">
      <c r="A867" s="45">
        <v>166</v>
      </c>
      <c r="B867" s="45">
        <v>1999</v>
      </c>
      <c r="C867" s="17">
        <v>0</v>
      </c>
      <c r="D867" s="14">
        <v>2.54852E-2</v>
      </c>
      <c r="E867" s="14">
        <v>-2.2998600000000001E-2</v>
      </c>
      <c r="F867" s="14">
        <v>1.04974E-2</v>
      </c>
      <c r="G867" s="14">
        <v>0.1171452</v>
      </c>
      <c r="H867" s="14">
        <v>0.74611170000000004</v>
      </c>
      <c r="R867" s="11">
        <f t="shared" si="28"/>
        <v>5.8376769900180363E-2</v>
      </c>
      <c r="Z867" s="11">
        <f t="shared" si="27"/>
        <v>7.2405739435372846E-2</v>
      </c>
    </row>
    <row r="868" spans="1:26" x14ac:dyDescent="0.2">
      <c r="A868" s="45">
        <v>166</v>
      </c>
      <c r="B868" s="45">
        <v>2000</v>
      </c>
      <c r="C868" s="17">
        <v>0</v>
      </c>
      <c r="D868" s="14">
        <v>-8.0449099999999996E-2</v>
      </c>
      <c r="E868" s="14">
        <v>-0.1748931</v>
      </c>
      <c r="F868" s="14">
        <v>-7.868E-3</v>
      </c>
      <c r="G868" s="14">
        <v>8.2213499999999995E-2</v>
      </c>
      <c r="H868" s="14">
        <v>0.93397859999999999</v>
      </c>
      <c r="R868" s="11">
        <f t="shared" si="28"/>
        <v>8.6490707329826527E-2</v>
      </c>
      <c r="Z868" s="11">
        <f t="shared" si="27"/>
        <v>0.10467097141195558</v>
      </c>
    </row>
    <row r="869" spans="1:26" x14ac:dyDescent="0.2">
      <c r="A869" s="45">
        <v>167</v>
      </c>
      <c r="B869" s="45">
        <v>1999</v>
      </c>
      <c r="C869" s="17">
        <v>0</v>
      </c>
      <c r="D869" s="14">
        <v>0.1068716</v>
      </c>
      <c r="E869" s="14">
        <v>0.2219912</v>
      </c>
      <c r="F869" s="14">
        <v>5.2571300000000001E-2</v>
      </c>
      <c r="G869" s="14">
        <v>0.643868</v>
      </c>
      <c r="H869" s="14">
        <v>0.32836179999999998</v>
      </c>
      <c r="R869" s="11">
        <f t="shared" si="28"/>
        <v>1.321836722555321E-2</v>
      </c>
      <c r="Z869" s="11">
        <f t="shared" si="27"/>
        <v>1.7104235037416635E-2</v>
      </c>
    </row>
    <row r="870" spans="1:26" x14ac:dyDescent="0.2">
      <c r="A870" s="45">
        <v>167</v>
      </c>
      <c r="B870" s="45">
        <v>2000</v>
      </c>
      <c r="C870" s="17">
        <v>0</v>
      </c>
      <c r="D870" s="14">
        <v>2.6578600000000001E-2</v>
      </c>
      <c r="E870" s="14">
        <v>0.23879539999999999</v>
      </c>
      <c r="F870" s="14">
        <v>2.2116799999999999E-2</v>
      </c>
      <c r="G870" s="14">
        <v>0.28636440000000002</v>
      </c>
      <c r="H870" s="14">
        <v>0.29453580000000001</v>
      </c>
      <c r="R870" s="11">
        <f t="shared" si="28"/>
        <v>2.8638351076927901E-2</v>
      </c>
      <c r="Z870" s="11">
        <f t="shared" si="27"/>
        <v>3.6305592821216516E-2</v>
      </c>
    </row>
    <row r="871" spans="1:26" x14ac:dyDescent="0.2">
      <c r="A871" s="45">
        <v>167</v>
      </c>
      <c r="B871" s="45">
        <v>2001</v>
      </c>
      <c r="C871" s="17">
        <v>0</v>
      </c>
      <c r="D871" s="14">
        <v>5.2892099999999997E-2</v>
      </c>
      <c r="E871" s="14">
        <v>0.191749</v>
      </c>
      <c r="F871" s="14">
        <v>3.7493100000000001E-2</v>
      </c>
      <c r="G871" s="14">
        <v>0.2744972</v>
      </c>
      <c r="H871" s="14">
        <v>0.27498640000000002</v>
      </c>
      <c r="R871" s="11">
        <f t="shared" si="28"/>
        <v>2.7662370311199773E-2</v>
      </c>
      <c r="Z871" s="11">
        <f t="shared" si="27"/>
        <v>3.5460624316500114E-2</v>
      </c>
    </row>
    <row r="872" spans="1:26" x14ac:dyDescent="0.2">
      <c r="A872" s="45">
        <v>167</v>
      </c>
      <c r="B872" s="45">
        <v>2002</v>
      </c>
      <c r="C872" s="17">
        <v>0</v>
      </c>
      <c r="D872" s="14">
        <v>0.1705972</v>
      </c>
      <c r="E872" s="14">
        <v>0.15487020000000001</v>
      </c>
      <c r="F872" s="14">
        <v>4.2427399999999997E-2</v>
      </c>
      <c r="G872" s="14">
        <v>0.2514093</v>
      </c>
      <c r="H872" s="14">
        <v>0.27037610000000001</v>
      </c>
      <c r="R872" s="11">
        <f t="shared" si="28"/>
        <v>2.9066136229742332E-2</v>
      </c>
      <c r="Z872" s="11">
        <f t="shared" si="27"/>
        <v>3.7363081004291948E-2</v>
      </c>
    </row>
    <row r="873" spans="1:26" x14ac:dyDescent="0.2">
      <c r="A873" s="45">
        <v>167</v>
      </c>
      <c r="B873" s="45">
        <v>2003</v>
      </c>
      <c r="C873" s="17">
        <v>0</v>
      </c>
      <c r="D873" s="14">
        <v>0.18392149999999999</v>
      </c>
      <c r="E873" s="14">
        <v>0.2144588</v>
      </c>
      <c r="F873" s="14">
        <v>4.2610000000000002E-2</v>
      </c>
      <c r="G873" s="14">
        <v>0.39339990000000002</v>
      </c>
      <c r="H873" s="14">
        <v>0.2471807</v>
      </c>
      <c r="R873" s="11">
        <f t="shared" si="28"/>
        <v>2.1393057021274496E-2</v>
      </c>
      <c r="Z873" s="11">
        <f t="shared" si="27"/>
        <v>2.7536852540732511E-2</v>
      </c>
    </row>
    <row r="874" spans="1:26" x14ac:dyDescent="0.2">
      <c r="A874" s="45">
        <v>167</v>
      </c>
      <c r="B874" s="45">
        <v>2004</v>
      </c>
      <c r="C874" s="17">
        <v>0</v>
      </c>
      <c r="D874" s="14">
        <v>0.1228224</v>
      </c>
      <c r="E874" s="14">
        <v>0.25025629999999999</v>
      </c>
      <c r="F874" s="14">
        <v>2.3647600000000001E-2</v>
      </c>
      <c r="G874" s="14">
        <v>0.41970210000000002</v>
      </c>
      <c r="H874" s="14">
        <v>0.2580789</v>
      </c>
      <c r="R874" s="11">
        <f t="shared" si="28"/>
        <v>2.263533580841692E-2</v>
      </c>
      <c r="Z874" s="11">
        <f t="shared" si="27"/>
        <v>2.8707015842647437E-2</v>
      </c>
    </row>
    <row r="875" spans="1:26" x14ac:dyDescent="0.2">
      <c r="A875" s="45">
        <v>168</v>
      </c>
      <c r="B875" s="45">
        <v>1999</v>
      </c>
      <c r="C875" s="17">
        <v>0</v>
      </c>
      <c r="D875" s="14">
        <v>0.19350000000000001</v>
      </c>
      <c r="E875" s="14">
        <v>0.45001950000000002</v>
      </c>
      <c r="F875" s="14">
        <v>6.8164799999999998E-2</v>
      </c>
      <c r="G875" s="14">
        <v>5.1604320000000001</v>
      </c>
      <c r="H875" s="14">
        <v>0.31408789999999998</v>
      </c>
      <c r="R875" s="11">
        <f t="shared" si="28"/>
        <v>6.3522007394146652E-6</v>
      </c>
      <c r="Z875" s="11">
        <f t="shared" si="27"/>
        <v>7.6262921437854783E-6</v>
      </c>
    </row>
    <row r="876" spans="1:26" x14ac:dyDescent="0.2">
      <c r="A876" s="45">
        <v>168</v>
      </c>
      <c r="B876" s="45">
        <v>2000</v>
      </c>
      <c r="C876" s="17">
        <v>0</v>
      </c>
      <c r="D876" s="14">
        <v>0.13825979999999999</v>
      </c>
      <c r="E876" s="14">
        <v>0.42585790000000001</v>
      </c>
      <c r="F876" s="14">
        <v>7.6983300000000005E-2</v>
      </c>
      <c r="G876" s="14">
        <v>4.6517770000000001</v>
      </c>
      <c r="H876" s="14">
        <v>0.30149969999999998</v>
      </c>
      <c r="R876" s="11">
        <f t="shared" si="28"/>
        <v>1.3790436014006653E-5</v>
      </c>
      <c r="Z876" s="11">
        <f t="shared" si="27"/>
        <v>1.685041966980745E-5</v>
      </c>
    </row>
    <row r="877" spans="1:26" x14ac:dyDescent="0.2">
      <c r="A877" s="45">
        <v>168</v>
      </c>
      <c r="B877" s="45">
        <v>2001</v>
      </c>
      <c r="C877" s="17">
        <v>0</v>
      </c>
      <c r="D877" s="14">
        <v>0.2132117</v>
      </c>
      <c r="E877" s="14">
        <v>0.41574280000000002</v>
      </c>
      <c r="F877" s="14">
        <v>4.55997E-2</v>
      </c>
      <c r="G877" s="14">
        <v>3.3632949999999999</v>
      </c>
      <c r="H877" s="14">
        <v>0.21958430000000001</v>
      </c>
      <c r="R877" s="11">
        <f t="shared" si="28"/>
        <v>1.4017802382620056E-4</v>
      </c>
      <c r="Z877" s="11">
        <f t="shared" si="27"/>
        <v>1.7167227745849855E-4</v>
      </c>
    </row>
    <row r="878" spans="1:26" x14ac:dyDescent="0.2">
      <c r="A878" s="45">
        <v>168</v>
      </c>
      <c r="B878" s="45">
        <v>2002</v>
      </c>
      <c r="C878" s="17">
        <v>0</v>
      </c>
      <c r="D878" s="14">
        <v>0.2163369</v>
      </c>
      <c r="E878" s="14">
        <v>0.37666090000000002</v>
      </c>
      <c r="F878" s="14">
        <v>5.8456800000000003E-2</v>
      </c>
      <c r="G878" s="14">
        <v>3.3594919999999999</v>
      </c>
      <c r="H878" s="14">
        <v>0.24932280000000001</v>
      </c>
      <c r="R878" s="11">
        <f t="shared" si="28"/>
        <v>1.346879101031446E-4</v>
      </c>
      <c r="Z878" s="11">
        <f t="shared" si="27"/>
        <v>1.6648699776763916E-4</v>
      </c>
    </row>
    <row r="879" spans="1:26" x14ac:dyDescent="0.2">
      <c r="A879" s="45">
        <v>168</v>
      </c>
      <c r="B879" s="45">
        <v>2003</v>
      </c>
      <c r="C879" s="17">
        <v>0</v>
      </c>
      <c r="D879" s="14">
        <v>0.25101469999999998</v>
      </c>
      <c r="E879" s="14">
        <v>0.42297659999999998</v>
      </c>
      <c r="F879" s="14">
        <v>6.2302700000000003E-2</v>
      </c>
      <c r="G879" s="14">
        <v>4.3757640000000002</v>
      </c>
      <c r="H879" s="14">
        <v>0.24817210000000001</v>
      </c>
      <c r="R879" s="11">
        <f t="shared" si="28"/>
        <v>2.4177878478785412E-5</v>
      </c>
      <c r="Z879" s="11">
        <f t="shared" si="27"/>
        <v>2.9364368129076117E-5</v>
      </c>
    </row>
    <row r="880" spans="1:26" x14ac:dyDescent="0.2">
      <c r="A880" s="45">
        <v>168</v>
      </c>
      <c r="B880" s="45">
        <v>2004</v>
      </c>
      <c r="C880" s="17">
        <v>0</v>
      </c>
      <c r="D880" s="14">
        <v>0.1076853</v>
      </c>
      <c r="E880" s="14">
        <v>0.44542280000000001</v>
      </c>
      <c r="F880" s="14">
        <v>7.0942099999999994E-2</v>
      </c>
      <c r="G880" s="14">
        <v>4.6121119999999998</v>
      </c>
      <c r="H880" s="14">
        <v>0.25619360000000002</v>
      </c>
      <c r="R880" s="11">
        <f t="shared" si="28"/>
        <v>1.4985157010458505E-5</v>
      </c>
      <c r="Z880" s="11">
        <f t="shared" si="27"/>
        <v>1.8247942849464843E-5</v>
      </c>
    </row>
    <row r="881" spans="1:26" x14ac:dyDescent="0.2">
      <c r="A881" s="45">
        <v>169</v>
      </c>
      <c r="B881" s="45">
        <v>1999</v>
      </c>
      <c r="C881" s="17">
        <v>0</v>
      </c>
      <c r="D881" s="14">
        <v>6.5013899999999999E-2</v>
      </c>
      <c r="E881" s="14">
        <v>0.31216630000000001</v>
      </c>
      <c r="F881" s="14">
        <v>9.82513E-2</v>
      </c>
      <c r="G881" s="14">
        <v>2.5815570000000001</v>
      </c>
      <c r="H881" s="14">
        <v>0.67138140000000002</v>
      </c>
      <c r="R881" s="11">
        <f t="shared" si="28"/>
        <v>3.7162821908530701E-4</v>
      </c>
      <c r="Z881" s="11">
        <f t="shared" si="27"/>
        <v>4.8169567661888047E-4</v>
      </c>
    </row>
    <row r="882" spans="1:26" x14ac:dyDescent="0.2">
      <c r="A882" s="45">
        <v>169</v>
      </c>
      <c r="B882" s="45">
        <v>2000</v>
      </c>
      <c r="C882" s="17">
        <v>0</v>
      </c>
      <c r="D882" s="14">
        <v>7.7096999999999999E-2</v>
      </c>
      <c r="E882" s="14">
        <v>0.30272959999999999</v>
      </c>
      <c r="F882" s="14">
        <v>8.72391E-2</v>
      </c>
      <c r="G882" s="14">
        <v>2.6458050000000002</v>
      </c>
      <c r="H882" s="14">
        <v>0.65532760000000001</v>
      </c>
      <c r="R882" s="11">
        <f t="shared" si="28"/>
        <v>3.7141399002963587E-4</v>
      </c>
      <c r="Z882" s="11">
        <f t="shared" si="27"/>
        <v>4.7626582949786739E-4</v>
      </c>
    </row>
    <row r="883" spans="1:26" x14ac:dyDescent="0.2">
      <c r="A883" s="45">
        <v>169</v>
      </c>
      <c r="B883" s="45">
        <v>2001</v>
      </c>
      <c r="C883" s="17">
        <v>0</v>
      </c>
      <c r="D883" s="14">
        <v>0.13737840000000001</v>
      </c>
      <c r="E883" s="14">
        <v>0.30716860000000001</v>
      </c>
      <c r="F883" s="14">
        <v>8.1378699999999998E-2</v>
      </c>
      <c r="G883" s="14">
        <v>2.4896509999999998</v>
      </c>
      <c r="H883" s="14">
        <v>0.5821288</v>
      </c>
      <c r="R883" s="11">
        <f t="shared" si="28"/>
        <v>4.9594356185282522E-4</v>
      </c>
      <c r="Z883" s="11">
        <f t="shared" si="27"/>
        <v>6.3515793918939771E-4</v>
      </c>
    </row>
    <row r="884" spans="1:26" x14ac:dyDescent="0.2">
      <c r="A884" s="45">
        <v>169</v>
      </c>
      <c r="B884" s="45">
        <v>2002</v>
      </c>
      <c r="C884" s="17">
        <v>0</v>
      </c>
      <c r="D884" s="14">
        <v>0.16836190000000001</v>
      </c>
      <c r="E884" s="14">
        <v>0.32209900000000002</v>
      </c>
      <c r="F884" s="14">
        <v>7.0981600000000006E-2</v>
      </c>
      <c r="G884" s="14">
        <v>1.3715889999999999</v>
      </c>
      <c r="H884" s="14">
        <v>0.52742929999999999</v>
      </c>
      <c r="R884" s="11">
        <f t="shared" si="28"/>
        <v>3.1244822449440924E-3</v>
      </c>
      <c r="Z884" s="11">
        <f t="shared" si="27"/>
        <v>4.0652925199991547E-3</v>
      </c>
    </row>
    <row r="885" spans="1:26" x14ac:dyDescent="0.2">
      <c r="A885" s="45">
        <v>169</v>
      </c>
      <c r="B885" s="45">
        <v>2003</v>
      </c>
      <c r="C885" s="17">
        <v>0</v>
      </c>
      <c r="D885" s="14">
        <v>0.16825480000000001</v>
      </c>
      <c r="E885" s="14">
        <v>0.33382260000000002</v>
      </c>
      <c r="F885" s="14">
        <v>6.6656800000000002E-2</v>
      </c>
      <c r="G885" s="14">
        <v>1.729824</v>
      </c>
      <c r="H885" s="14">
        <v>0.47593609999999997</v>
      </c>
      <c r="R885" s="11">
        <f t="shared" si="28"/>
        <v>1.7990595140212277E-3</v>
      </c>
      <c r="Z885" s="11">
        <f t="shared" si="27"/>
        <v>2.3160780783653928E-3</v>
      </c>
    </row>
    <row r="886" spans="1:26" x14ac:dyDescent="0.2">
      <c r="A886" s="45">
        <v>169</v>
      </c>
      <c r="B886" s="45">
        <v>2004</v>
      </c>
      <c r="C886" s="17">
        <v>0</v>
      </c>
      <c r="D886" s="14">
        <v>0.20588139999999999</v>
      </c>
      <c r="E886" s="14">
        <v>0.37258200000000002</v>
      </c>
      <c r="F886" s="14">
        <v>8.3104600000000001E-2</v>
      </c>
      <c r="G886" s="14">
        <v>2.382768</v>
      </c>
      <c r="H886" s="14">
        <v>0.49255480000000001</v>
      </c>
      <c r="R886" s="11">
        <f t="shared" si="28"/>
        <v>5.2733754286524972E-4</v>
      </c>
      <c r="Z886" s="11">
        <f t="shared" si="27"/>
        <v>6.7942718060272876E-4</v>
      </c>
    </row>
    <row r="887" spans="1:26" x14ac:dyDescent="0.2">
      <c r="A887" s="45">
        <v>170</v>
      </c>
      <c r="B887" s="45">
        <v>1998</v>
      </c>
      <c r="C887" s="17">
        <v>0</v>
      </c>
      <c r="D887" s="14">
        <v>1.24104E-2</v>
      </c>
      <c r="E887" s="14">
        <v>0.20606079999999999</v>
      </c>
      <c r="F887" s="14">
        <v>3.2133799999999997E-2</v>
      </c>
      <c r="G887" s="14">
        <v>1.448186</v>
      </c>
      <c r="H887" s="14">
        <v>0.1217731</v>
      </c>
      <c r="R887" s="11">
        <f t="shared" si="28"/>
        <v>4.4608103329686318E-3</v>
      </c>
      <c r="Z887" s="11">
        <f t="shared" si="27"/>
        <v>5.5892772013028365E-3</v>
      </c>
    </row>
    <row r="888" spans="1:26" x14ac:dyDescent="0.2">
      <c r="A888" s="45">
        <v>170</v>
      </c>
      <c r="B888" s="45">
        <v>1999</v>
      </c>
      <c r="C888" s="17">
        <v>0</v>
      </c>
      <c r="D888" s="14">
        <v>7.0305000000000003E-3</v>
      </c>
      <c r="E888" s="14">
        <v>0.2003374</v>
      </c>
      <c r="F888" s="14">
        <v>3.7536199999999999E-2</v>
      </c>
      <c r="G888" s="14">
        <v>0.98542830000000003</v>
      </c>
      <c r="H888" s="14">
        <v>0.1097764</v>
      </c>
      <c r="R888" s="11">
        <f t="shared" si="28"/>
        <v>8.9652088560905601E-3</v>
      </c>
      <c r="Z888" s="11">
        <f t="shared" si="27"/>
        <v>1.1381471284981475E-2</v>
      </c>
    </row>
    <row r="889" spans="1:26" x14ac:dyDescent="0.2">
      <c r="A889" s="45">
        <v>170</v>
      </c>
      <c r="B889" s="45">
        <v>2000</v>
      </c>
      <c r="C889" s="17">
        <v>0</v>
      </c>
      <c r="D889" s="14">
        <v>5.0335600000000001E-2</v>
      </c>
      <c r="E889" s="14">
        <v>0.24368339999999999</v>
      </c>
      <c r="F889" s="14">
        <v>5.9075599999999999E-2</v>
      </c>
      <c r="G889" s="14">
        <v>1.23733</v>
      </c>
      <c r="H889" s="14">
        <v>0.1026642</v>
      </c>
      <c r="R889" s="11">
        <f t="shared" si="28"/>
        <v>4.7627863555366589E-3</v>
      </c>
      <c r="Z889" s="11">
        <f t="shared" si="27"/>
        <v>6.1356939586069978E-3</v>
      </c>
    </row>
    <row r="890" spans="1:26" x14ac:dyDescent="0.2">
      <c r="A890" s="45">
        <v>170</v>
      </c>
      <c r="B890" s="45">
        <v>2001</v>
      </c>
      <c r="C890" s="17">
        <v>0</v>
      </c>
      <c r="D890" s="14">
        <v>4.0078700000000002E-2</v>
      </c>
      <c r="E890" s="14">
        <v>0.24177280000000001</v>
      </c>
      <c r="F890" s="14">
        <v>5.42201E-2</v>
      </c>
      <c r="G890" s="14">
        <v>0.92091520000000004</v>
      </c>
      <c r="H890" s="14">
        <v>9.48571E-2</v>
      </c>
      <c r="R890" s="11">
        <f t="shared" si="28"/>
        <v>8.1926297146229111E-3</v>
      </c>
      <c r="Z890" s="11">
        <f t="shared" si="27"/>
        <v>1.0574271340807571E-2</v>
      </c>
    </row>
    <row r="891" spans="1:26" x14ac:dyDescent="0.2">
      <c r="A891" s="45">
        <v>170</v>
      </c>
      <c r="B891" s="45">
        <v>2002</v>
      </c>
      <c r="C891" s="17">
        <v>0</v>
      </c>
      <c r="D891" s="14">
        <v>6.3519900000000004E-2</v>
      </c>
      <c r="E891" s="14">
        <v>0.2400939</v>
      </c>
      <c r="F891" s="14">
        <v>6.0414099999999998E-2</v>
      </c>
      <c r="G891" s="14">
        <v>0.61304999999999998</v>
      </c>
      <c r="H891" s="14">
        <v>9.1435100000000005E-2</v>
      </c>
      <c r="R891" s="11">
        <f t="shared" si="28"/>
        <v>1.2707339262366713E-2</v>
      </c>
      <c r="Z891" s="11">
        <f t="shared" si="27"/>
        <v>1.657094825980553E-2</v>
      </c>
    </row>
    <row r="892" spans="1:26" x14ac:dyDescent="0.2">
      <c r="A892" s="45">
        <v>170</v>
      </c>
      <c r="B892" s="45">
        <v>2003</v>
      </c>
      <c r="C892" s="17">
        <v>0</v>
      </c>
      <c r="D892" s="14">
        <v>-3.14918E-2</v>
      </c>
      <c r="E892" s="14">
        <v>0.24962219999999999</v>
      </c>
      <c r="F892" s="14">
        <v>4.6004700000000003E-2</v>
      </c>
      <c r="G892" s="14">
        <v>0.77736729999999998</v>
      </c>
      <c r="H892" s="14">
        <v>0.106363</v>
      </c>
      <c r="R892" s="11">
        <f t="shared" si="28"/>
        <v>1.0844059402862215E-2</v>
      </c>
      <c r="Z892" s="11">
        <f t="shared" si="27"/>
        <v>1.3940127983621216E-2</v>
      </c>
    </row>
    <row r="893" spans="1:26" x14ac:dyDescent="0.2">
      <c r="A893" s="45">
        <v>170</v>
      </c>
      <c r="B893" s="45">
        <v>2004</v>
      </c>
      <c r="C893" s="17">
        <v>0</v>
      </c>
      <c r="D893" s="14">
        <v>9.3624799999999994E-2</v>
      </c>
      <c r="E893" s="14">
        <v>0.2996549</v>
      </c>
      <c r="F893" s="14">
        <v>4.7056800000000003E-2</v>
      </c>
      <c r="G893" s="14">
        <v>1.0689070000000001</v>
      </c>
      <c r="H893" s="14">
        <v>0.1029322</v>
      </c>
      <c r="R893" s="11">
        <f t="shared" si="28"/>
        <v>6.3118478313919256E-3</v>
      </c>
      <c r="Z893" s="11">
        <f t="shared" si="27"/>
        <v>8.0936523276714419E-3</v>
      </c>
    </row>
    <row r="894" spans="1:26" x14ac:dyDescent="0.2">
      <c r="A894" s="45">
        <v>171</v>
      </c>
      <c r="B894" s="45">
        <v>1999</v>
      </c>
      <c r="C894" s="17">
        <v>0</v>
      </c>
      <c r="D894" s="14">
        <v>0.1023787</v>
      </c>
      <c r="E894" s="14">
        <v>0.43610929999999998</v>
      </c>
      <c r="F894" s="14">
        <v>5.2909600000000001E-2</v>
      </c>
      <c r="G894" s="14">
        <v>0.84201090000000001</v>
      </c>
      <c r="H894" s="14">
        <v>0.53398210000000002</v>
      </c>
      <c r="R894" s="11">
        <f t="shared" si="28"/>
        <v>7.0851838676560842E-3</v>
      </c>
      <c r="Z894" s="11">
        <f t="shared" si="27"/>
        <v>9.2144841242987885E-3</v>
      </c>
    </row>
    <row r="895" spans="1:26" x14ac:dyDescent="0.2">
      <c r="A895" s="45">
        <v>171</v>
      </c>
      <c r="B895" s="45">
        <v>2000</v>
      </c>
      <c r="C895" s="17">
        <v>0</v>
      </c>
      <c r="D895" s="14">
        <v>9.60873E-2</v>
      </c>
      <c r="E895" s="14">
        <v>0.38669369999999997</v>
      </c>
      <c r="F895" s="14">
        <v>4.4156300000000002E-2</v>
      </c>
      <c r="G895" s="14">
        <v>0.91706869999999996</v>
      </c>
      <c r="H895" s="14">
        <v>0.53535370000000004</v>
      </c>
      <c r="R895" s="11">
        <f t="shared" si="28"/>
        <v>7.2434974525771153E-3</v>
      </c>
      <c r="Z895" s="11">
        <f t="shared" si="27"/>
        <v>9.3222489810401276E-3</v>
      </c>
    </row>
    <row r="896" spans="1:26" x14ac:dyDescent="0.2">
      <c r="A896" s="45">
        <v>172</v>
      </c>
      <c r="B896" s="45">
        <v>1999</v>
      </c>
      <c r="C896" s="17">
        <v>0</v>
      </c>
      <c r="D896" s="14">
        <v>-6.5716200000000002E-2</v>
      </c>
      <c r="E896" s="14">
        <v>2.2734999999999998E-2</v>
      </c>
      <c r="F896" s="14">
        <v>4.7371299999999998E-2</v>
      </c>
      <c r="G896" s="14">
        <v>0.38613829999999999</v>
      </c>
      <c r="H896" s="14">
        <v>0.16866600000000001</v>
      </c>
      <c r="R896" s="11">
        <f t="shared" si="28"/>
        <v>2.736332063319245E-2</v>
      </c>
      <c r="Z896" s="11">
        <f t="shared" si="27"/>
        <v>3.5075081925445242E-2</v>
      </c>
    </row>
    <row r="897" spans="1:26" x14ac:dyDescent="0.2">
      <c r="A897" s="45">
        <v>172</v>
      </c>
      <c r="B897" s="45">
        <v>2000</v>
      </c>
      <c r="C897" s="17">
        <v>0</v>
      </c>
      <c r="D897" s="14">
        <v>-6.72204E-2</v>
      </c>
      <c r="E897" s="14">
        <v>4.7970400000000003E-2</v>
      </c>
      <c r="F897" s="14">
        <v>5.0112499999999997E-2</v>
      </c>
      <c r="G897" s="14">
        <v>0.3799206</v>
      </c>
      <c r="H897" s="14">
        <v>0.2239179</v>
      </c>
      <c r="R897" s="11">
        <f t="shared" si="28"/>
        <v>2.609631031943507E-2</v>
      </c>
      <c r="Z897" s="11">
        <f t="shared" si="27"/>
        <v>3.3568516049571243E-2</v>
      </c>
    </row>
    <row r="898" spans="1:26" x14ac:dyDescent="0.2">
      <c r="A898" s="45">
        <v>172</v>
      </c>
      <c r="B898" s="45">
        <v>2001</v>
      </c>
      <c r="C898" s="17">
        <v>0</v>
      </c>
      <c r="D898" s="14">
        <v>-0.1730141</v>
      </c>
      <c r="E898" s="14">
        <v>4.4334499999999999E-2</v>
      </c>
      <c r="F898" s="14">
        <v>3.3798000000000002E-2</v>
      </c>
      <c r="G898" s="14">
        <v>0.46642790000000001</v>
      </c>
      <c r="H898" s="14">
        <v>0.13702629999999999</v>
      </c>
      <c r="R898" s="11">
        <f t="shared" si="28"/>
        <v>2.6043747099804355E-2</v>
      </c>
      <c r="Z898" s="11">
        <f t="shared" ref="Z898:Z961" si="29">1/(1+EXP(-(U$2+$V$2*E898+$W$2*F898+$X$2*G898)))</f>
        <v>3.3006265602962409E-2</v>
      </c>
    </row>
    <row r="899" spans="1:26" x14ac:dyDescent="0.2">
      <c r="A899" s="45">
        <v>173</v>
      </c>
      <c r="B899" s="45">
        <v>1999</v>
      </c>
      <c r="C899" s="17">
        <v>0</v>
      </c>
      <c r="D899" s="14">
        <v>-0.13265350000000001</v>
      </c>
      <c r="E899" s="14">
        <v>0.2047514</v>
      </c>
      <c r="F899" s="14">
        <v>6.1405399999999999E-2</v>
      </c>
      <c r="G899" s="14">
        <v>0.70081039999999994</v>
      </c>
      <c r="H899" s="14">
        <v>0.26532470000000002</v>
      </c>
      <c r="R899" s="11">
        <f t="shared" si="28"/>
        <v>1.1553090024004051E-2</v>
      </c>
      <c r="Z899" s="11">
        <f t="shared" si="29"/>
        <v>1.5036543199234321E-2</v>
      </c>
    </row>
    <row r="900" spans="1:26" x14ac:dyDescent="0.2">
      <c r="A900" s="45">
        <v>173</v>
      </c>
      <c r="B900" s="45">
        <v>2000</v>
      </c>
      <c r="C900" s="17">
        <v>0</v>
      </c>
      <c r="D900" s="14">
        <v>-6.2918100000000005E-2</v>
      </c>
      <c r="E900" s="14">
        <v>0.2449144</v>
      </c>
      <c r="F900" s="14">
        <v>3.61953E-2</v>
      </c>
      <c r="G900" s="14">
        <v>0.40337260000000003</v>
      </c>
      <c r="H900" s="14">
        <v>0.2103652</v>
      </c>
      <c r="R900" s="11">
        <f t="shared" si="28"/>
        <v>2.1208272045839492E-2</v>
      </c>
      <c r="Z900" s="11">
        <f t="shared" si="29"/>
        <v>2.7182985685588166E-2</v>
      </c>
    </row>
    <row r="901" spans="1:26" x14ac:dyDescent="0.2">
      <c r="A901" s="45">
        <v>173</v>
      </c>
      <c r="B901" s="45">
        <v>2001</v>
      </c>
      <c r="C901" s="17">
        <v>0</v>
      </c>
      <c r="D901" s="14">
        <v>-8.8339799999999996E-2</v>
      </c>
      <c r="E901" s="14">
        <v>0.1512751</v>
      </c>
      <c r="F901" s="14">
        <v>-7.7275E-3</v>
      </c>
      <c r="G901" s="14">
        <v>0.21078849999999999</v>
      </c>
      <c r="H901" s="14">
        <v>0.14319670000000001</v>
      </c>
      <c r="R901" s="11">
        <f t="shared" si="28"/>
        <v>4.5758810272566376E-2</v>
      </c>
      <c r="Z901" s="11">
        <f t="shared" si="29"/>
        <v>5.6349558971272917E-2</v>
      </c>
    </row>
    <row r="902" spans="1:26" x14ac:dyDescent="0.2">
      <c r="A902" s="45">
        <v>173</v>
      </c>
      <c r="B902" s="45">
        <v>2002</v>
      </c>
      <c r="C902" s="17">
        <v>0</v>
      </c>
      <c r="D902" s="14">
        <v>-7.5547100000000006E-2</v>
      </c>
      <c r="E902" s="14">
        <v>3.4380500000000001E-2</v>
      </c>
      <c r="F902" s="14">
        <v>2.4798899999999999E-2</v>
      </c>
      <c r="G902" s="14">
        <v>8.9076299999999997E-2</v>
      </c>
      <c r="H902" s="14">
        <v>0.1616242</v>
      </c>
      <c r="R902" s="11">
        <f t="shared" si="28"/>
        <v>5.0508463487198459E-2</v>
      </c>
      <c r="Z902" s="11">
        <f t="shared" si="29"/>
        <v>6.3619637217652125E-2</v>
      </c>
    </row>
    <row r="903" spans="1:26" x14ac:dyDescent="0.2">
      <c r="A903" s="45">
        <v>173</v>
      </c>
      <c r="B903" s="45">
        <v>2003</v>
      </c>
      <c r="C903" s="17">
        <v>0</v>
      </c>
      <c r="D903" s="14">
        <v>-3.5513200000000002E-2</v>
      </c>
      <c r="E903" s="14">
        <v>-3.07218E-2</v>
      </c>
      <c r="F903" s="14">
        <v>2.8352700000000002E-2</v>
      </c>
      <c r="G903" s="14">
        <v>8.7766499999999997E-2</v>
      </c>
      <c r="H903" s="14">
        <v>0.17304849999999999</v>
      </c>
      <c r="R903" s="11">
        <f t="shared" si="28"/>
        <v>5.388737579437522E-2</v>
      </c>
      <c r="Z903" s="11">
        <f t="shared" si="29"/>
        <v>6.7857939356109787E-2</v>
      </c>
    </row>
    <row r="904" spans="1:26" x14ac:dyDescent="0.2">
      <c r="A904" s="45">
        <v>173</v>
      </c>
      <c r="B904" s="45">
        <v>2004</v>
      </c>
      <c r="C904" s="17">
        <v>0</v>
      </c>
      <c r="D904" s="14">
        <v>-8.7631700000000007E-2</v>
      </c>
      <c r="E904" s="14">
        <v>-0.27491910000000003</v>
      </c>
      <c r="F904" s="14">
        <v>-7.7210999999999998E-3</v>
      </c>
      <c r="G904" s="14">
        <v>7.4033100000000004E-2</v>
      </c>
      <c r="H904" s="14">
        <v>0.194442</v>
      </c>
      <c r="R904" s="11">
        <f t="shared" si="28"/>
        <v>9.9754483139310055E-2</v>
      </c>
      <c r="Z904" s="11">
        <f t="shared" si="29"/>
        <v>0.1200246906672493</v>
      </c>
    </row>
    <row r="905" spans="1:26" x14ac:dyDescent="0.2">
      <c r="A905" s="45">
        <v>174</v>
      </c>
      <c r="B905" s="45">
        <v>2000</v>
      </c>
      <c r="C905" s="17">
        <v>0</v>
      </c>
      <c r="D905" s="14">
        <v>-0.1263637</v>
      </c>
      <c r="E905" s="14">
        <v>0.23960909999999999</v>
      </c>
      <c r="F905" s="14">
        <v>0.14104449999999999</v>
      </c>
      <c r="G905" s="14">
        <v>4.7740390000000001</v>
      </c>
      <c r="H905" s="14">
        <v>0.50113509999999994</v>
      </c>
      <c r="R905" s="11">
        <f t="shared" si="28"/>
        <v>8.9131206663663922E-6</v>
      </c>
      <c r="Z905" s="11">
        <f t="shared" si="29"/>
        <v>1.1374339165417658E-5</v>
      </c>
    </row>
    <row r="906" spans="1:26" x14ac:dyDescent="0.2">
      <c r="A906" s="45">
        <v>174</v>
      </c>
      <c r="B906" s="45">
        <v>2001</v>
      </c>
      <c r="C906" s="17">
        <v>0</v>
      </c>
      <c r="D906" s="14">
        <v>-0.50118969999999996</v>
      </c>
      <c r="E906" s="14">
        <v>5.9219399999999998E-2</v>
      </c>
      <c r="F906" s="14">
        <v>0.19803509999999999</v>
      </c>
      <c r="G906" s="14">
        <v>6.0343540000000004</v>
      </c>
      <c r="H906" s="14">
        <v>0.62603799999999998</v>
      </c>
      <c r="R906" s="11">
        <f t="shared" si="28"/>
        <v>9.8562513368385771E-7</v>
      </c>
      <c r="Z906" s="11">
        <f t="shared" si="29"/>
        <v>1.2739682885001092E-6</v>
      </c>
    </row>
    <row r="907" spans="1:26" x14ac:dyDescent="0.2">
      <c r="A907" s="45">
        <v>174</v>
      </c>
      <c r="B907" s="45">
        <v>2002</v>
      </c>
      <c r="C907" s="17">
        <v>0</v>
      </c>
      <c r="D907" s="14">
        <v>1.9066199999999998E-2</v>
      </c>
      <c r="E907" s="14">
        <v>2.32763E-2</v>
      </c>
      <c r="F907" s="14">
        <v>0.1562376</v>
      </c>
      <c r="G907" s="14">
        <v>4.3358879999999997</v>
      </c>
      <c r="H907" s="14">
        <v>0.49460130000000002</v>
      </c>
      <c r="R907" s="11">
        <f t="shared" si="28"/>
        <v>2.1731620130438715E-5</v>
      </c>
      <c r="Z907" s="11">
        <f t="shared" si="29"/>
        <v>2.8142677184104665E-5</v>
      </c>
    </row>
    <row r="908" spans="1:26" x14ac:dyDescent="0.2">
      <c r="A908" s="45">
        <v>174</v>
      </c>
      <c r="B908" s="45">
        <v>2003</v>
      </c>
      <c r="C908" s="17">
        <v>0</v>
      </c>
      <c r="D908" s="14">
        <v>-0.53044100000000005</v>
      </c>
      <c r="E908" s="14">
        <v>-0.59003099999999997</v>
      </c>
      <c r="F908" s="14">
        <v>0.1677033</v>
      </c>
      <c r="G908" s="14">
        <v>2.4521310000000001</v>
      </c>
      <c r="H908" s="14">
        <v>0.55468499999999998</v>
      </c>
      <c r="R908" s="11">
        <f t="shared" si="28"/>
        <v>9.7243970869677137E-4</v>
      </c>
      <c r="Z908" s="11">
        <f t="shared" si="29"/>
        <v>1.2970758398286467E-3</v>
      </c>
    </row>
    <row r="909" spans="1:26" x14ac:dyDescent="0.2">
      <c r="A909" s="45">
        <v>174</v>
      </c>
      <c r="B909" s="45">
        <v>2004</v>
      </c>
      <c r="C909" s="17">
        <v>0</v>
      </c>
      <c r="D909" s="14">
        <v>-0.18204300000000001</v>
      </c>
      <c r="E909" s="14">
        <v>-0.14261689999999999</v>
      </c>
      <c r="F909" s="14">
        <v>9.1473299999999994E-2</v>
      </c>
      <c r="G909" s="14">
        <v>1.1478060000000001</v>
      </c>
      <c r="H909" s="14">
        <v>0.34354590000000002</v>
      </c>
      <c r="R909" s="11">
        <f t="shared" si="28"/>
        <v>7.4139832006595713E-3</v>
      </c>
      <c r="Z909" s="11">
        <f t="shared" si="29"/>
        <v>9.6893797610099804E-3</v>
      </c>
    </row>
    <row r="910" spans="1:26" x14ac:dyDescent="0.2">
      <c r="A910" s="45">
        <v>175</v>
      </c>
      <c r="B910" s="45">
        <v>2001</v>
      </c>
      <c r="C910" s="17">
        <v>0</v>
      </c>
      <c r="D910" s="14">
        <v>8.8301999999999999E-3</v>
      </c>
      <c r="E910" s="14">
        <v>0.12572320000000001</v>
      </c>
      <c r="F910" s="14">
        <v>4.9375000000000002E-2</v>
      </c>
      <c r="G910" s="14">
        <v>0.50068330000000005</v>
      </c>
      <c r="H910" s="14">
        <v>0.12873870000000001</v>
      </c>
      <c r="R910" s="11">
        <f t="shared" si="28"/>
        <v>1.9471877342869131E-2</v>
      </c>
      <c r="Z910" s="11">
        <f t="shared" si="29"/>
        <v>2.5081527893517117E-2</v>
      </c>
    </row>
    <row r="911" spans="1:26" x14ac:dyDescent="0.2">
      <c r="A911" s="45">
        <v>175</v>
      </c>
      <c r="B911" s="45">
        <v>2002</v>
      </c>
      <c r="C911" s="17">
        <v>0</v>
      </c>
      <c r="D911" s="14">
        <v>9.2511999999999994E-3</v>
      </c>
      <c r="E911" s="14">
        <v>0.1105164</v>
      </c>
      <c r="F911" s="14">
        <v>2.8973100000000002E-2</v>
      </c>
      <c r="G911" s="14">
        <v>0.5634557</v>
      </c>
      <c r="H911" s="14">
        <v>0.12414070000000001</v>
      </c>
      <c r="R911" s="11">
        <f t="shared" si="28"/>
        <v>2.1168468409232907E-2</v>
      </c>
      <c r="Z911" s="11">
        <f t="shared" si="29"/>
        <v>2.6763817482115971E-2</v>
      </c>
    </row>
    <row r="912" spans="1:26" x14ac:dyDescent="0.2">
      <c r="A912" s="45">
        <v>175</v>
      </c>
      <c r="B912" s="45">
        <v>2003</v>
      </c>
      <c r="C912" s="17">
        <v>0</v>
      </c>
      <c r="D912" s="14">
        <v>1.6532700000000001E-2</v>
      </c>
      <c r="E912" s="14">
        <v>0.13858470000000001</v>
      </c>
      <c r="F912" s="14">
        <v>3.2913900000000003E-2</v>
      </c>
      <c r="G912" s="14">
        <v>0.47226210000000002</v>
      </c>
      <c r="H912" s="14">
        <v>0.1095057</v>
      </c>
      <c r="R912" s="11">
        <f t="shared" si="28"/>
        <v>2.2734921517361905E-2</v>
      </c>
      <c r="Z912" s="11">
        <f t="shared" si="29"/>
        <v>2.8905711917816313E-2</v>
      </c>
    </row>
    <row r="913" spans="1:26" x14ac:dyDescent="0.2">
      <c r="A913" s="45">
        <v>175</v>
      </c>
      <c r="B913" s="45">
        <v>2004</v>
      </c>
      <c r="C913" s="17">
        <v>0</v>
      </c>
      <c r="D913" s="14">
        <v>2.84984E-2</v>
      </c>
      <c r="E913" s="14">
        <v>0.1327033</v>
      </c>
      <c r="F913" s="14">
        <v>3.9052999999999997E-2</v>
      </c>
      <c r="G913" s="14">
        <v>0.52029650000000005</v>
      </c>
      <c r="H913" s="14">
        <v>0.140565</v>
      </c>
      <c r="R913" s="11">
        <f t="shared" si="28"/>
        <v>2.0273506891893809E-2</v>
      </c>
      <c r="Z913" s="11">
        <f t="shared" si="29"/>
        <v>2.5888820750837347E-2</v>
      </c>
    </row>
    <row r="914" spans="1:26" x14ac:dyDescent="0.2">
      <c r="A914" s="45">
        <v>176</v>
      </c>
      <c r="B914" s="45">
        <v>1999</v>
      </c>
      <c r="C914" s="17">
        <v>0</v>
      </c>
      <c r="D914" s="14">
        <v>0.28350690000000001</v>
      </c>
      <c r="E914" s="14">
        <v>0.490454</v>
      </c>
      <c r="F914" s="14">
        <v>4.5102900000000001E-2</v>
      </c>
      <c r="G914" s="14">
        <v>1.5236099999999999</v>
      </c>
      <c r="H914" s="14">
        <v>0.27295360000000002</v>
      </c>
      <c r="R914" s="11">
        <f t="shared" si="28"/>
        <v>2.3631272941491473E-3</v>
      </c>
      <c r="Z914" s="11">
        <f t="shared" si="29"/>
        <v>3.0183199516002519E-3</v>
      </c>
    </row>
    <row r="915" spans="1:26" x14ac:dyDescent="0.2">
      <c r="A915" s="45">
        <v>177</v>
      </c>
      <c r="B915" s="45">
        <v>2001</v>
      </c>
      <c r="C915" s="17">
        <v>0</v>
      </c>
      <c r="D915" s="14">
        <v>0.30084179999999999</v>
      </c>
      <c r="E915" s="14">
        <v>0.13276109999999999</v>
      </c>
      <c r="F915" s="14">
        <v>5.3599599999999997E-2</v>
      </c>
      <c r="G915" s="14">
        <v>2.0077959999999999</v>
      </c>
      <c r="H915" s="14">
        <v>0.29185519999999998</v>
      </c>
      <c r="R915" s="11">
        <f t="shared" si="28"/>
        <v>1.7180046955799673E-3</v>
      </c>
      <c r="Z915" s="11">
        <f t="shared" si="29"/>
        <v>2.1600557860449007E-3</v>
      </c>
    </row>
    <row r="916" spans="1:26" x14ac:dyDescent="0.2">
      <c r="A916" s="45">
        <v>177</v>
      </c>
      <c r="B916" s="45">
        <v>2002</v>
      </c>
      <c r="C916" s="17">
        <v>0</v>
      </c>
      <c r="D916" s="14">
        <v>0.12753900000000001</v>
      </c>
      <c r="E916" s="14">
        <v>0.13589570000000001</v>
      </c>
      <c r="F916" s="14">
        <v>5.7036700000000003E-2</v>
      </c>
      <c r="G916" s="14">
        <v>1.07159</v>
      </c>
      <c r="H916" s="14">
        <v>0.24443309999999999</v>
      </c>
      <c r="R916" s="11">
        <f t="shared" si="28"/>
        <v>7.355011850785906E-3</v>
      </c>
      <c r="Z916" s="11">
        <f t="shared" si="29"/>
        <v>9.4519584726874984E-3</v>
      </c>
    </row>
    <row r="917" spans="1:26" x14ac:dyDescent="0.2">
      <c r="A917" s="45">
        <v>177</v>
      </c>
      <c r="B917" s="45">
        <v>2003</v>
      </c>
      <c r="C917" s="17">
        <v>0</v>
      </c>
      <c r="D917" s="14">
        <v>0.1035364</v>
      </c>
      <c r="E917" s="14">
        <v>0.1173647</v>
      </c>
      <c r="F917" s="14">
        <v>4.7213400000000003E-2</v>
      </c>
      <c r="G917" s="14">
        <v>0.78102590000000005</v>
      </c>
      <c r="H917" s="14">
        <v>0.24187929999999999</v>
      </c>
      <c r="R917" s="11">
        <f t="shared" si="28"/>
        <v>1.2914215923077576E-2</v>
      </c>
      <c r="Z917" s="11">
        <f t="shared" si="29"/>
        <v>1.6532406015728415E-2</v>
      </c>
    </row>
    <row r="918" spans="1:26" x14ac:dyDescent="0.2">
      <c r="A918" s="45">
        <v>177</v>
      </c>
      <c r="B918" s="45">
        <v>2004</v>
      </c>
      <c r="C918" s="17">
        <v>0</v>
      </c>
      <c r="D918" s="14">
        <v>0.22795889999999999</v>
      </c>
      <c r="E918" s="14">
        <v>0.12626270000000001</v>
      </c>
      <c r="F918" s="14">
        <v>5.47273E-2</v>
      </c>
      <c r="G918" s="14">
        <v>0.97267800000000004</v>
      </c>
      <c r="H918" s="14">
        <v>0.21778700000000001</v>
      </c>
      <c r="R918" s="11">
        <f t="shared" si="28"/>
        <v>8.8813038857005529E-3</v>
      </c>
      <c r="Z918" s="11">
        <f t="shared" si="29"/>
        <v>1.1407894212356662E-2</v>
      </c>
    </row>
    <row r="919" spans="1:26" x14ac:dyDescent="0.2">
      <c r="A919" s="45">
        <v>178</v>
      </c>
      <c r="B919" s="45">
        <v>1999</v>
      </c>
      <c r="C919" s="17">
        <v>0</v>
      </c>
      <c r="D919" s="14">
        <v>0.32727719999999999</v>
      </c>
      <c r="E919" s="14">
        <v>0.1812232</v>
      </c>
      <c r="F919" s="14">
        <v>4.75434E-2</v>
      </c>
      <c r="G919" s="14">
        <v>0.24694540000000001</v>
      </c>
      <c r="H919" s="14">
        <v>0.2631155</v>
      </c>
      <c r="R919" s="11">
        <f t="shared" ref="R919:R982" si="30">1/(1+EXP(-(K$2+$M$2*E919+$N$2*F919+$O$2*G919)))</f>
        <v>2.7098303777907951E-2</v>
      </c>
      <c r="Z919" s="11">
        <f t="shared" si="29"/>
        <v>3.5028876295182747E-2</v>
      </c>
    </row>
    <row r="920" spans="1:26" x14ac:dyDescent="0.2">
      <c r="A920" s="45">
        <v>178</v>
      </c>
      <c r="B920" s="45">
        <v>2000</v>
      </c>
      <c r="C920" s="17">
        <v>0</v>
      </c>
      <c r="D920" s="14">
        <v>0.3675969</v>
      </c>
      <c r="E920" s="14">
        <v>0.1986444</v>
      </c>
      <c r="F920" s="14">
        <v>5.5700100000000002E-2</v>
      </c>
      <c r="G920" s="14">
        <v>0.1377428</v>
      </c>
      <c r="H920" s="14">
        <v>0.30244650000000001</v>
      </c>
      <c r="R920" s="11">
        <f t="shared" si="30"/>
        <v>2.9387326256850567E-2</v>
      </c>
      <c r="Z920" s="11">
        <f t="shared" si="29"/>
        <v>3.8317061407176813E-2</v>
      </c>
    </row>
    <row r="921" spans="1:26" x14ac:dyDescent="0.2">
      <c r="A921" s="45">
        <v>178</v>
      </c>
      <c r="B921" s="45">
        <v>2001</v>
      </c>
      <c r="C921" s="17">
        <v>0</v>
      </c>
      <c r="D921" s="14">
        <v>0.18211930000000001</v>
      </c>
      <c r="E921" s="14">
        <v>0.1993209</v>
      </c>
      <c r="F921" s="14">
        <v>4.8308499999999997E-2</v>
      </c>
      <c r="G921" s="14">
        <v>0.60958009999999996</v>
      </c>
      <c r="H921" s="14">
        <v>0.27819949999999999</v>
      </c>
      <c r="R921" s="11">
        <f t="shared" si="30"/>
        <v>1.4903566691257322E-2</v>
      </c>
      <c r="Z921" s="11">
        <f t="shared" si="29"/>
        <v>1.9208807127592254E-2</v>
      </c>
    </row>
    <row r="922" spans="1:26" x14ac:dyDescent="0.2">
      <c r="A922" s="45">
        <v>178</v>
      </c>
      <c r="B922" s="45">
        <v>2002</v>
      </c>
      <c r="C922" s="17">
        <v>0</v>
      </c>
      <c r="D922" s="14">
        <v>0.37196639999999997</v>
      </c>
      <c r="E922" s="14">
        <v>0.2177336</v>
      </c>
      <c r="F922" s="14">
        <v>5.3595900000000002E-2</v>
      </c>
      <c r="G922" s="14">
        <v>0.40087919999999999</v>
      </c>
      <c r="H922" s="14">
        <v>0.28575899999999999</v>
      </c>
      <c r="R922" s="11">
        <f t="shared" si="30"/>
        <v>1.9310231090900503E-2</v>
      </c>
      <c r="Z922" s="11">
        <f t="shared" si="29"/>
        <v>2.5089120075683737E-2</v>
      </c>
    </row>
    <row r="923" spans="1:26" x14ac:dyDescent="0.2">
      <c r="A923" s="45">
        <v>178</v>
      </c>
      <c r="B923" s="45">
        <v>2003</v>
      </c>
      <c r="C923" s="17">
        <v>0</v>
      </c>
      <c r="D923" s="14">
        <v>0.35203980000000001</v>
      </c>
      <c r="E923" s="14">
        <v>0.24236920000000001</v>
      </c>
      <c r="F923" s="14">
        <v>5.8482399999999997E-2</v>
      </c>
      <c r="G923" s="14">
        <v>0.38477860000000003</v>
      </c>
      <c r="H923" s="14">
        <v>0.30488229999999999</v>
      </c>
      <c r="R923" s="11">
        <f t="shared" si="30"/>
        <v>1.8399311334950874E-2</v>
      </c>
      <c r="Z923" s="11">
        <f t="shared" si="29"/>
        <v>2.4034015500693458E-2</v>
      </c>
    </row>
    <row r="924" spans="1:26" x14ac:dyDescent="0.2">
      <c r="A924" s="45">
        <v>178</v>
      </c>
      <c r="B924" s="45">
        <v>2004</v>
      </c>
      <c r="C924" s="17">
        <v>0</v>
      </c>
      <c r="D924" s="14">
        <v>0.37300080000000002</v>
      </c>
      <c r="E924" s="14">
        <v>0.19659570000000001</v>
      </c>
      <c r="F924" s="14">
        <v>5.2963400000000001E-2</v>
      </c>
      <c r="G924" s="14">
        <v>0.31433270000000002</v>
      </c>
      <c r="H924" s="14">
        <v>0.25683610000000001</v>
      </c>
      <c r="R924" s="11">
        <f t="shared" si="30"/>
        <v>2.2889828780450049E-2</v>
      </c>
      <c r="Z924" s="11">
        <f t="shared" si="29"/>
        <v>2.9726631046460807E-2</v>
      </c>
    </row>
    <row r="925" spans="1:26" x14ac:dyDescent="0.2">
      <c r="A925" s="45">
        <v>179</v>
      </c>
      <c r="B925" s="45">
        <v>1999</v>
      </c>
      <c r="C925" s="17">
        <v>0</v>
      </c>
      <c r="D925" s="14">
        <v>0.24639849999999999</v>
      </c>
      <c r="E925" s="14">
        <v>0.22800960000000001</v>
      </c>
      <c r="F925" s="14">
        <v>3.4756700000000001E-2</v>
      </c>
      <c r="G925" s="14">
        <v>1.8340460000000001</v>
      </c>
      <c r="H925" s="14">
        <v>0.16016449999999999</v>
      </c>
      <c r="R925" s="11">
        <f t="shared" si="30"/>
        <v>2.2926467723117148E-3</v>
      </c>
      <c r="Z925" s="11">
        <f t="shared" si="29"/>
        <v>2.8582192269463484E-3</v>
      </c>
    </row>
    <row r="926" spans="1:26" x14ac:dyDescent="0.2">
      <c r="A926" s="45">
        <v>179</v>
      </c>
      <c r="B926" s="45">
        <v>2000</v>
      </c>
      <c r="C926" s="17">
        <v>0</v>
      </c>
      <c r="D926" s="14">
        <v>0.18663389999999999</v>
      </c>
      <c r="E926" s="14">
        <v>0.2171112</v>
      </c>
      <c r="F926" s="14">
        <v>4.3353700000000002E-2</v>
      </c>
      <c r="G926" s="14">
        <v>2.5374490000000001</v>
      </c>
      <c r="H926" s="14">
        <v>0.18637200000000001</v>
      </c>
      <c r="R926" s="11">
        <f t="shared" si="30"/>
        <v>7.0994460352262533E-4</v>
      </c>
      <c r="Z926" s="11">
        <f t="shared" si="29"/>
        <v>8.7766194887804066E-4</v>
      </c>
    </row>
    <row r="927" spans="1:26" x14ac:dyDescent="0.2">
      <c r="A927" s="45">
        <v>179</v>
      </c>
      <c r="B927" s="45">
        <v>2001</v>
      </c>
      <c r="C927" s="17">
        <v>0</v>
      </c>
      <c r="D927" s="14">
        <v>0.178846</v>
      </c>
      <c r="E927" s="14">
        <v>0.1871824</v>
      </c>
      <c r="F927" s="14">
        <v>3.2663499999999998E-2</v>
      </c>
      <c r="G927" s="14">
        <v>2.6388090000000002</v>
      </c>
      <c r="H927" s="14">
        <v>0.16384779999999999</v>
      </c>
      <c r="R927" s="11">
        <f t="shared" si="30"/>
        <v>6.8725924211309928E-4</v>
      </c>
      <c r="Z927" s="11">
        <f t="shared" si="29"/>
        <v>8.394785879945188E-4</v>
      </c>
    </row>
    <row r="928" spans="1:26" x14ac:dyDescent="0.2">
      <c r="A928" s="45">
        <v>179</v>
      </c>
      <c r="B928" s="45">
        <v>2002</v>
      </c>
      <c r="C928" s="17">
        <v>0</v>
      </c>
      <c r="D928" s="14">
        <v>0.12694420000000001</v>
      </c>
      <c r="E928" s="14">
        <v>0.1784403</v>
      </c>
      <c r="F928" s="14">
        <v>4.6304699999999997E-2</v>
      </c>
      <c r="G928" s="14">
        <v>1.587188</v>
      </c>
      <c r="H928" s="14">
        <v>0.17964079999999999</v>
      </c>
      <c r="R928" s="11">
        <f t="shared" si="30"/>
        <v>3.3259782102867193E-3</v>
      </c>
      <c r="Z928" s="11">
        <f t="shared" si="29"/>
        <v>4.2002669172893567E-3</v>
      </c>
    </row>
    <row r="929" spans="1:26" x14ac:dyDescent="0.2">
      <c r="A929" s="45">
        <v>179</v>
      </c>
      <c r="B929" s="45">
        <v>2003</v>
      </c>
      <c r="C929" s="17">
        <v>0</v>
      </c>
      <c r="D929" s="14">
        <v>0.20664080000000001</v>
      </c>
      <c r="E929" s="14">
        <v>0.1082095</v>
      </c>
      <c r="F929" s="14">
        <v>4.0226600000000001E-2</v>
      </c>
      <c r="G929" s="14">
        <v>1.12503</v>
      </c>
      <c r="H929" s="14">
        <v>0.17564179999999999</v>
      </c>
      <c r="R929" s="11">
        <f t="shared" si="30"/>
        <v>8.0385821228455452E-3</v>
      </c>
      <c r="Z929" s="11">
        <f t="shared" si="29"/>
        <v>1.0167073121903441E-2</v>
      </c>
    </row>
    <row r="930" spans="1:26" x14ac:dyDescent="0.2">
      <c r="A930" s="45">
        <v>179</v>
      </c>
      <c r="B930" s="45">
        <v>2004</v>
      </c>
      <c r="C930" s="17">
        <v>0</v>
      </c>
      <c r="D930" s="14">
        <v>0.27559800000000001</v>
      </c>
      <c r="E930" s="14">
        <v>0.11319700000000001</v>
      </c>
      <c r="F930" s="14">
        <v>8.04531E-2</v>
      </c>
      <c r="G930" s="14">
        <v>2.9678810000000002</v>
      </c>
      <c r="H930" s="14">
        <v>0.2136557</v>
      </c>
      <c r="R930" s="11">
        <f t="shared" si="30"/>
        <v>3.0919960387367987E-4</v>
      </c>
      <c r="Z930" s="11">
        <f t="shared" si="29"/>
        <v>3.889767172663376E-4</v>
      </c>
    </row>
    <row r="931" spans="1:26" x14ac:dyDescent="0.2">
      <c r="A931" s="45">
        <v>180</v>
      </c>
      <c r="B931" s="45">
        <v>1999</v>
      </c>
      <c r="C931" s="17">
        <v>0</v>
      </c>
      <c r="D931" s="14">
        <v>0.3495972</v>
      </c>
      <c r="E931" s="14">
        <v>0.35786079999999998</v>
      </c>
      <c r="F931" s="14">
        <v>4.8826799999999997E-2</v>
      </c>
      <c r="G931" s="14">
        <v>0.40988560000000002</v>
      </c>
      <c r="H931" s="14">
        <v>0.36706699999999998</v>
      </c>
      <c r="R931" s="11">
        <f t="shared" si="30"/>
        <v>1.6181494166640251E-2</v>
      </c>
      <c r="Z931" s="11">
        <f t="shared" si="29"/>
        <v>2.1058484352736224E-2</v>
      </c>
    </row>
    <row r="932" spans="1:26" x14ac:dyDescent="0.2">
      <c r="A932" s="45">
        <v>180</v>
      </c>
      <c r="B932" s="45">
        <v>2000</v>
      </c>
      <c r="C932" s="17">
        <v>0</v>
      </c>
      <c r="D932" s="14">
        <v>0.30052380000000001</v>
      </c>
      <c r="E932" s="14">
        <v>0.39022089999999998</v>
      </c>
      <c r="F932" s="14">
        <v>6.3519999999999993E-2</v>
      </c>
      <c r="G932" s="14">
        <v>0.29343380000000002</v>
      </c>
      <c r="H932" s="14">
        <v>0.39888410000000002</v>
      </c>
      <c r="R932" s="11">
        <f t="shared" si="30"/>
        <v>1.6519110215440443E-2</v>
      </c>
      <c r="Z932" s="11">
        <f t="shared" si="29"/>
        <v>2.1828727887425708E-2</v>
      </c>
    </row>
    <row r="933" spans="1:26" x14ac:dyDescent="0.2">
      <c r="A933" s="45">
        <v>180</v>
      </c>
      <c r="B933" s="45">
        <v>2001</v>
      </c>
      <c r="C933" s="17">
        <v>0</v>
      </c>
      <c r="D933" s="14">
        <v>0.30678070000000002</v>
      </c>
      <c r="E933" s="14">
        <v>0.4060858</v>
      </c>
      <c r="F933" s="14">
        <v>6.49338E-2</v>
      </c>
      <c r="G933" s="14">
        <v>0.28815109999999999</v>
      </c>
      <c r="H933" s="14">
        <v>0.3989895</v>
      </c>
      <c r="R933" s="11">
        <f t="shared" si="30"/>
        <v>1.6102633113746746E-2</v>
      </c>
      <c r="Z933" s="11">
        <f t="shared" si="29"/>
        <v>2.1319202342146338E-2</v>
      </c>
    </row>
    <row r="934" spans="1:26" x14ac:dyDescent="0.2">
      <c r="A934" s="45">
        <v>180</v>
      </c>
      <c r="B934" s="45">
        <v>2002</v>
      </c>
      <c r="C934" s="17">
        <v>0</v>
      </c>
      <c r="D934" s="14">
        <v>0.36592079999999999</v>
      </c>
      <c r="E934" s="14">
        <v>0.35496850000000002</v>
      </c>
      <c r="F934" s="14">
        <v>4.6835000000000002E-2</v>
      </c>
      <c r="G934" s="14">
        <v>0.30130699999999999</v>
      </c>
      <c r="H934" s="14">
        <v>0.40931020000000001</v>
      </c>
      <c r="R934" s="11">
        <f t="shared" si="30"/>
        <v>1.9562106247532515E-2</v>
      </c>
      <c r="Z934" s="11">
        <f t="shared" si="29"/>
        <v>2.5447995225425225E-2</v>
      </c>
    </row>
    <row r="935" spans="1:26" x14ac:dyDescent="0.2">
      <c r="A935" s="45">
        <v>180</v>
      </c>
      <c r="B935" s="45">
        <v>2003</v>
      </c>
      <c r="C935" s="17">
        <v>0</v>
      </c>
      <c r="D935" s="14">
        <v>0.29106530000000003</v>
      </c>
      <c r="E935" s="14">
        <v>0.3647282</v>
      </c>
      <c r="F935" s="14">
        <v>4.9539100000000003E-2</v>
      </c>
      <c r="G935" s="14">
        <v>0.35486299999999998</v>
      </c>
      <c r="H935" s="14">
        <v>0.39997840000000001</v>
      </c>
      <c r="R935" s="11">
        <f t="shared" si="30"/>
        <v>1.7368558038817695E-2</v>
      </c>
      <c r="Z935" s="11">
        <f t="shared" si="29"/>
        <v>2.2639999901775301E-2</v>
      </c>
    </row>
    <row r="936" spans="1:26" x14ac:dyDescent="0.2">
      <c r="A936" s="45">
        <v>180</v>
      </c>
      <c r="B936" s="45">
        <v>2004</v>
      </c>
      <c r="C936" s="17">
        <v>0</v>
      </c>
      <c r="D936" s="14">
        <v>0.24510390000000001</v>
      </c>
      <c r="E936" s="14">
        <v>0.43999490000000002</v>
      </c>
      <c r="F936" s="14">
        <v>4.0937899999999999E-2</v>
      </c>
      <c r="G936" s="14">
        <v>0.63899609999999996</v>
      </c>
      <c r="H936" s="14">
        <v>0.43954359999999998</v>
      </c>
      <c r="R936" s="11">
        <f t="shared" si="30"/>
        <v>1.0676215531110993E-2</v>
      </c>
      <c r="Z936" s="11">
        <f t="shared" si="29"/>
        <v>1.3798578805434362E-2</v>
      </c>
    </row>
    <row r="937" spans="1:26" x14ac:dyDescent="0.2">
      <c r="A937" s="45">
        <v>181</v>
      </c>
      <c r="B937" s="45">
        <v>1998</v>
      </c>
      <c r="C937" s="17">
        <v>0</v>
      </c>
      <c r="D937" s="14">
        <v>7.8111100000000003E-2</v>
      </c>
      <c r="E937" s="14">
        <v>0.29714309999999999</v>
      </c>
      <c r="F937" s="14">
        <v>5.7395300000000003E-2</v>
      </c>
      <c r="G937" s="14">
        <v>2.3920360000000001</v>
      </c>
      <c r="H937" s="14">
        <v>0.17160339999999999</v>
      </c>
      <c r="R937" s="11">
        <f t="shared" si="30"/>
        <v>7.1210577932884363E-4</v>
      </c>
      <c r="Z937" s="11">
        <f t="shared" si="29"/>
        <v>8.9582068832698425E-4</v>
      </c>
    </row>
    <row r="938" spans="1:26" x14ac:dyDescent="0.2">
      <c r="A938" s="45">
        <v>181</v>
      </c>
      <c r="B938" s="45">
        <v>1999</v>
      </c>
      <c r="C938" s="17">
        <v>0</v>
      </c>
      <c r="D938" s="14">
        <v>8.3175200000000005E-2</v>
      </c>
      <c r="E938" s="14">
        <v>0.31859799999999999</v>
      </c>
      <c r="F938" s="14">
        <v>3.4196499999999998E-2</v>
      </c>
      <c r="G938" s="14">
        <v>2.3900619999999999</v>
      </c>
      <c r="H938" s="14">
        <v>0.15448400000000001</v>
      </c>
      <c r="R938" s="11">
        <f t="shared" si="30"/>
        <v>8.334914596997931E-4</v>
      </c>
      <c r="Z938" s="11">
        <f t="shared" si="29"/>
        <v>1.0295609282877955E-3</v>
      </c>
    </row>
    <row r="939" spans="1:26" x14ac:dyDescent="0.2">
      <c r="A939" s="45">
        <v>181</v>
      </c>
      <c r="B939" s="45">
        <v>2000</v>
      </c>
      <c r="C939" s="17">
        <v>0</v>
      </c>
      <c r="D939" s="14">
        <v>6.9668499999999994E-2</v>
      </c>
      <c r="E939" s="14">
        <v>0.29867909999999998</v>
      </c>
      <c r="F939" s="14">
        <v>4.9718100000000001E-2</v>
      </c>
      <c r="G939" s="14">
        <v>3.8465699999999998</v>
      </c>
      <c r="H939" s="14">
        <v>0.18141930000000001</v>
      </c>
      <c r="R939" s="11">
        <f t="shared" si="30"/>
        <v>7.4448262387347245E-5</v>
      </c>
      <c r="Z939" s="11">
        <f t="shared" si="29"/>
        <v>9.0153635951285287E-5</v>
      </c>
    </row>
    <row r="940" spans="1:26" x14ac:dyDescent="0.2">
      <c r="A940" s="45">
        <v>181</v>
      </c>
      <c r="B940" s="45">
        <v>2001</v>
      </c>
      <c r="C940" s="17">
        <v>0</v>
      </c>
      <c r="D940" s="14">
        <v>4.6353800000000001E-2</v>
      </c>
      <c r="E940" s="14">
        <v>0.313031</v>
      </c>
      <c r="F940" s="14">
        <v>3.9049599999999997E-2</v>
      </c>
      <c r="G940" s="14">
        <v>1.8865160000000001</v>
      </c>
      <c r="H940" s="14">
        <v>0.15697349999999999</v>
      </c>
      <c r="R940" s="11">
        <f t="shared" si="30"/>
        <v>1.8015027459919123E-3</v>
      </c>
      <c r="Z940" s="11">
        <f t="shared" si="29"/>
        <v>2.2580468540946618E-3</v>
      </c>
    </row>
    <row r="941" spans="1:26" x14ac:dyDescent="0.2">
      <c r="A941" s="45">
        <v>181</v>
      </c>
      <c r="B941" s="45">
        <v>2002</v>
      </c>
      <c r="C941" s="17">
        <v>0</v>
      </c>
      <c r="D941" s="14">
        <v>3.04946E-2</v>
      </c>
      <c r="E941" s="14">
        <v>0.28627649999999999</v>
      </c>
      <c r="F941" s="14">
        <v>4.1528599999999999E-2</v>
      </c>
      <c r="G941" s="14">
        <v>1.182623</v>
      </c>
      <c r="H941" s="14">
        <v>0.16836570000000001</v>
      </c>
      <c r="R941" s="11">
        <f t="shared" si="30"/>
        <v>5.6158019945277251E-3</v>
      </c>
      <c r="Z941" s="11">
        <f t="shared" si="29"/>
        <v>7.1491492501678756E-3</v>
      </c>
    </row>
    <row r="942" spans="1:26" x14ac:dyDescent="0.2">
      <c r="A942" s="45">
        <v>181</v>
      </c>
      <c r="B942" s="45">
        <v>2003</v>
      </c>
      <c r="C942" s="17">
        <v>0</v>
      </c>
      <c r="D942" s="14">
        <v>1.76995E-2</v>
      </c>
      <c r="E942" s="14">
        <v>0.29011229999999999</v>
      </c>
      <c r="F942" s="14">
        <v>3.5906399999999998E-2</v>
      </c>
      <c r="G942" s="14">
        <v>1.598832</v>
      </c>
      <c r="H942" s="14">
        <v>0.15194460000000001</v>
      </c>
      <c r="R942" s="11">
        <f t="shared" si="30"/>
        <v>3.017175202271545E-3</v>
      </c>
      <c r="Z942" s="11">
        <f t="shared" si="29"/>
        <v>3.7918474736797483E-3</v>
      </c>
    </row>
    <row r="943" spans="1:26" x14ac:dyDescent="0.2">
      <c r="A943" s="45">
        <v>181</v>
      </c>
      <c r="B943" s="45">
        <v>2004</v>
      </c>
      <c r="C943" s="17">
        <v>0</v>
      </c>
      <c r="D943" s="14">
        <v>-1.05367E-2</v>
      </c>
      <c r="E943" s="14">
        <v>0.32351059999999998</v>
      </c>
      <c r="F943" s="14">
        <v>5.1129099999999997E-2</v>
      </c>
      <c r="G943" s="14">
        <v>1.690272</v>
      </c>
      <c r="H943" s="14">
        <v>0.16347700000000001</v>
      </c>
      <c r="R943" s="11">
        <f t="shared" si="30"/>
        <v>2.2013957447466416E-3</v>
      </c>
      <c r="Z943" s="11">
        <f t="shared" si="29"/>
        <v>2.7994161703137231E-3</v>
      </c>
    </row>
    <row r="944" spans="1:26" x14ac:dyDescent="0.2">
      <c r="A944" s="45">
        <v>182</v>
      </c>
      <c r="B944" s="45">
        <v>1999</v>
      </c>
      <c r="C944" s="17">
        <v>0</v>
      </c>
      <c r="D944" s="14">
        <v>0.17089070000000001</v>
      </c>
      <c r="E944" s="14">
        <v>2.2319700000000001E-2</v>
      </c>
      <c r="F944" s="14">
        <v>5.1394799999999997E-2</v>
      </c>
      <c r="G944" s="14">
        <v>0.31809399999999999</v>
      </c>
      <c r="H944" s="14">
        <v>0.39396219999999998</v>
      </c>
      <c r="R944" s="11">
        <f t="shared" si="30"/>
        <v>2.9484790648114569E-2</v>
      </c>
      <c r="Z944" s="11">
        <f t="shared" si="29"/>
        <v>3.7945417484247047E-2</v>
      </c>
    </row>
    <row r="945" spans="1:26" x14ac:dyDescent="0.2">
      <c r="A945" s="45">
        <v>182</v>
      </c>
      <c r="B945" s="45">
        <v>2000</v>
      </c>
      <c r="C945" s="17">
        <v>0</v>
      </c>
      <c r="D945" s="14">
        <v>0.17799519999999999</v>
      </c>
      <c r="E945" s="14">
        <v>-3.8885999999999999E-3</v>
      </c>
      <c r="F945" s="14">
        <v>1.8722800000000001E-2</v>
      </c>
      <c r="G945" s="14">
        <v>0.1049134</v>
      </c>
      <c r="H945" s="14">
        <v>0.34922170000000002</v>
      </c>
      <c r="R945" s="11">
        <f t="shared" si="30"/>
        <v>5.4434940226641235E-2</v>
      </c>
      <c r="Z945" s="11">
        <f t="shared" si="29"/>
        <v>6.8069348239979358E-2</v>
      </c>
    </row>
    <row r="946" spans="1:26" x14ac:dyDescent="0.2">
      <c r="A946" s="45">
        <v>182</v>
      </c>
      <c r="B946" s="45">
        <v>2001</v>
      </c>
      <c r="C946" s="17">
        <v>0</v>
      </c>
      <c r="D946" s="14">
        <v>0.1090745</v>
      </c>
      <c r="E946" s="14">
        <v>-2.02314E-2</v>
      </c>
      <c r="F946" s="14">
        <v>4.8581199999999998E-2</v>
      </c>
      <c r="G946" s="14">
        <v>0.21891279999999999</v>
      </c>
      <c r="H946" s="14">
        <v>0.35714240000000003</v>
      </c>
      <c r="R946" s="11">
        <f t="shared" si="30"/>
        <v>3.7272249369986972E-2</v>
      </c>
      <c r="Z946" s="11">
        <f t="shared" si="29"/>
        <v>4.7785311477148276E-2</v>
      </c>
    </row>
    <row r="947" spans="1:26" x14ac:dyDescent="0.2">
      <c r="A947" s="45">
        <v>182</v>
      </c>
      <c r="B947" s="45">
        <v>2002</v>
      </c>
      <c r="C947" s="17">
        <v>0</v>
      </c>
      <c r="D947" s="14">
        <v>0.18466199999999999</v>
      </c>
      <c r="E947" s="14">
        <v>1.31871E-2</v>
      </c>
      <c r="F947" s="14">
        <v>3.8701100000000002E-2</v>
      </c>
      <c r="G947" s="14">
        <v>0.1658173</v>
      </c>
      <c r="H947" s="14">
        <v>0.1650877</v>
      </c>
      <c r="R947" s="11">
        <f t="shared" si="30"/>
        <v>4.1627776448451378E-2</v>
      </c>
      <c r="Z947" s="11">
        <f t="shared" si="29"/>
        <v>5.3010237292677072E-2</v>
      </c>
    </row>
    <row r="948" spans="1:26" x14ac:dyDescent="0.2">
      <c r="A948" s="45">
        <v>182</v>
      </c>
      <c r="B948" s="45">
        <v>2003</v>
      </c>
      <c r="C948" s="17">
        <v>0</v>
      </c>
      <c r="D948" s="14">
        <v>0.2498669</v>
      </c>
      <c r="E948" s="14">
        <v>-7.92992E-2</v>
      </c>
      <c r="F948" s="14">
        <v>5.1992400000000001E-2</v>
      </c>
      <c r="G948" s="14">
        <v>0.62251299999999998</v>
      </c>
      <c r="H948" s="14">
        <v>0.28961550000000003</v>
      </c>
      <c r="R948" s="11">
        <f t="shared" si="30"/>
        <v>2.1121891183355401E-2</v>
      </c>
      <c r="Z948" s="11">
        <f t="shared" si="29"/>
        <v>2.6994304665702053E-2</v>
      </c>
    </row>
    <row r="949" spans="1:26" x14ac:dyDescent="0.2">
      <c r="A949" s="45">
        <v>182</v>
      </c>
      <c r="B949" s="45">
        <v>2004</v>
      </c>
      <c r="C949" s="17">
        <v>0</v>
      </c>
      <c r="D949" s="14">
        <v>0.26665830000000001</v>
      </c>
      <c r="E949" s="14">
        <v>-1.3768499999999999E-2</v>
      </c>
      <c r="F949" s="14">
        <v>7.3105299999999998E-2</v>
      </c>
      <c r="G949" s="14">
        <v>1.4375599999999999</v>
      </c>
      <c r="H949" s="14">
        <v>0.3612244</v>
      </c>
      <c r="R949" s="11">
        <f t="shared" si="30"/>
        <v>4.5002243682764542E-3</v>
      </c>
      <c r="Z949" s="11">
        <f t="shared" si="29"/>
        <v>5.7879025605407832E-3</v>
      </c>
    </row>
    <row r="950" spans="1:26" x14ac:dyDescent="0.2">
      <c r="A950" s="45">
        <v>183</v>
      </c>
      <c r="B950" s="45">
        <v>2000</v>
      </c>
      <c r="C950" s="17">
        <v>0</v>
      </c>
      <c r="D950" s="14">
        <v>0.29264689999999999</v>
      </c>
      <c r="E950" s="14">
        <v>0.2134847</v>
      </c>
      <c r="F950" s="14">
        <v>9.3031000000000003E-2</v>
      </c>
      <c r="G950" s="14">
        <v>4.5558779999999999</v>
      </c>
      <c r="H950" s="14">
        <v>0.67302660000000003</v>
      </c>
      <c r="R950" s="11">
        <f t="shared" si="30"/>
        <v>1.9244445195886128E-5</v>
      </c>
      <c r="Z950" s="11">
        <f t="shared" si="29"/>
        <v>2.3703152337396624E-5</v>
      </c>
    </row>
    <row r="951" spans="1:26" x14ac:dyDescent="0.2">
      <c r="A951" s="45">
        <v>183</v>
      </c>
      <c r="B951" s="45">
        <v>2001</v>
      </c>
      <c r="C951" s="17">
        <v>0</v>
      </c>
      <c r="D951" s="14">
        <v>0.19922329999999999</v>
      </c>
      <c r="E951" s="14">
        <v>0.2698257</v>
      </c>
      <c r="F951" s="14">
        <v>9.0940900000000005E-2</v>
      </c>
      <c r="G951" s="14">
        <v>3.514659</v>
      </c>
      <c r="H951" s="14">
        <v>0.64189110000000005</v>
      </c>
      <c r="R951" s="11">
        <f t="shared" si="30"/>
        <v>9.4748439601371345E-5</v>
      </c>
      <c r="Z951" s="11">
        <f t="shared" si="29"/>
        <v>1.1943086418781641E-4</v>
      </c>
    </row>
    <row r="952" spans="1:26" x14ac:dyDescent="0.2">
      <c r="A952" s="45">
        <v>183</v>
      </c>
      <c r="B952" s="45">
        <v>2002</v>
      </c>
      <c r="C952" s="17">
        <v>0</v>
      </c>
      <c r="D952" s="14">
        <v>0.3021761</v>
      </c>
      <c r="E952" s="14">
        <v>0.37813999999999998</v>
      </c>
      <c r="F952" s="14">
        <v>0.114907</v>
      </c>
      <c r="G952" s="14">
        <v>3.6211519999999999</v>
      </c>
      <c r="H952" s="14">
        <v>0.77426689999999998</v>
      </c>
      <c r="R952" s="11">
        <f t="shared" si="30"/>
        <v>5.6393822150042077E-5</v>
      </c>
      <c r="Z952" s="11">
        <f t="shared" si="29"/>
        <v>7.2594768523675705E-5</v>
      </c>
    </row>
    <row r="953" spans="1:26" x14ac:dyDescent="0.2">
      <c r="A953" s="45">
        <v>183</v>
      </c>
      <c r="B953" s="45">
        <v>2003</v>
      </c>
      <c r="C953" s="17">
        <v>0</v>
      </c>
      <c r="D953" s="14">
        <v>0.37238009999999999</v>
      </c>
      <c r="E953" s="14">
        <v>0.40581499999999998</v>
      </c>
      <c r="F953" s="14">
        <v>0.11001030000000001</v>
      </c>
      <c r="G953" s="14">
        <v>6.9991539999999999</v>
      </c>
      <c r="H953" s="14">
        <v>0.77446959999999998</v>
      </c>
      <c r="R953" s="11">
        <f t="shared" si="30"/>
        <v>2.5876895009278805E-7</v>
      </c>
      <c r="Z953" s="11">
        <f t="shared" si="29"/>
        <v>3.0828716462706728E-7</v>
      </c>
    </row>
    <row r="954" spans="1:26" x14ac:dyDescent="0.2">
      <c r="A954" s="45">
        <v>183</v>
      </c>
      <c r="B954" s="45">
        <v>2004</v>
      </c>
      <c r="C954" s="17">
        <v>0</v>
      </c>
      <c r="D954" s="14">
        <v>0.34244279999999999</v>
      </c>
      <c r="E954" s="14">
        <v>0.41325250000000002</v>
      </c>
      <c r="F954" s="14">
        <v>0.10945870000000001</v>
      </c>
      <c r="G954" s="14">
        <v>5.7659539999999998</v>
      </c>
      <c r="H954" s="14">
        <v>0.79892099999999999</v>
      </c>
      <c r="R954" s="11">
        <f t="shared" si="30"/>
        <v>1.8349130666645193E-6</v>
      </c>
      <c r="Z954" s="11">
        <f t="shared" si="29"/>
        <v>2.2457787390183647E-6</v>
      </c>
    </row>
    <row r="955" spans="1:26" x14ac:dyDescent="0.2">
      <c r="A955" s="45">
        <v>184</v>
      </c>
      <c r="B955" s="45">
        <v>1999</v>
      </c>
      <c r="C955" s="17">
        <v>0</v>
      </c>
      <c r="D955" s="14">
        <v>-1.35269E-2</v>
      </c>
      <c r="E955" s="14">
        <v>0.106572</v>
      </c>
      <c r="F955" s="14">
        <v>3.60329E-2</v>
      </c>
      <c r="G955" s="14">
        <v>0.63585570000000002</v>
      </c>
      <c r="H955" s="14">
        <v>0.10310329999999999</v>
      </c>
      <c r="R955" s="11">
        <f t="shared" si="30"/>
        <v>1.798692439465311E-2</v>
      </c>
      <c r="Z955" s="11">
        <f t="shared" si="29"/>
        <v>2.2851289923596398E-2</v>
      </c>
    </row>
    <row r="956" spans="1:26" x14ac:dyDescent="0.2">
      <c r="A956" s="45">
        <v>184</v>
      </c>
      <c r="B956" s="45">
        <v>2000</v>
      </c>
      <c r="C956" s="17">
        <v>0</v>
      </c>
      <c r="D956" s="14">
        <v>-1.73892E-2</v>
      </c>
      <c r="E956" s="14">
        <v>5.4227900000000002E-2</v>
      </c>
      <c r="F956" s="14">
        <v>3.19493E-2</v>
      </c>
      <c r="G956" s="14">
        <v>0.75273869999999998</v>
      </c>
      <c r="H956" s="14">
        <v>0.12157999999999999</v>
      </c>
      <c r="R956" s="11">
        <f t="shared" si="30"/>
        <v>1.6668111924182195E-2</v>
      </c>
      <c r="Z956" s="11">
        <f t="shared" si="29"/>
        <v>2.1024125365595541E-2</v>
      </c>
    </row>
    <row r="957" spans="1:26" x14ac:dyDescent="0.2">
      <c r="A957" s="45">
        <v>184</v>
      </c>
      <c r="B957" s="45">
        <v>2001</v>
      </c>
      <c r="C957" s="17">
        <v>0</v>
      </c>
      <c r="D957" s="14">
        <v>-4.2668600000000001E-2</v>
      </c>
      <c r="E957" s="14">
        <v>6.9839399999999996E-2</v>
      </c>
      <c r="F957" s="14">
        <v>2.3472E-2</v>
      </c>
      <c r="G957" s="14">
        <v>0.64941150000000003</v>
      </c>
      <c r="H957" s="14">
        <v>8.3253900000000006E-2</v>
      </c>
      <c r="R957" s="11">
        <f t="shared" si="30"/>
        <v>2.0478740320503602E-2</v>
      </c>
      <c r="Z957" s="11">
        <f t="shared" si="29"/>
        <v>2.5700655128180903E-2</v>
      </c>
    </row>
    <row r="958" spans="1:26" x14ac:dyDescent="0.2">
      <c r="A958" s="45">
        <v>184</v>
      </c>
      <c r="B958" s="45">
        <v>2002</v>
      </c>
      <c r="C958" s="17">
        <v>0</v>
      </c>
      <c r="D958" s="14">
        <v>-3.5157000000000001E-3</v>
      </c>
      <c r="E958" s="14">
        <v>6.0515399999999997E-2</v>
      </c>
      <c r="F958" s="14">
        <v>4.83344E-2</v>
      </c>
      <c r="G958" s="14">
        <v>0.63019420000000004</v>
      </c>
      <c r="H958" s="14">
        <v>0.11381819999999999</v>
      </c>
      <c r="R958" s="11">
        <f t="shared" si="30"/>
        <v>1.7595315891379783E-2</v>
      </c>
      <c r="Z958" s="11">
        <f t="shared" si="29"/>
        <v>2.2545576437741313E-2</v>
      </c>
    </row>
    <row r="959" spans="1:26" x14ac:dyDescent="0.2">
      <c r="A959" s="45">
        <v>184</v>
      </c>
      <c r="B959" s="45">
        <v>2003</v>
      </c>
      <c r="C959" s="17">
        <v>0</v>
      </c>
      <c r="D959" s="14">
        <v>-6.6148999999999999E-3</v>
      </c>
      <c r="E959" s="14">
        <v>4.0571599999999999E-2</v>
      </c>
      <c r="F959" s="14">
        <v>4.5836500000000002E-2</v>
      </c>
      <c r="G959" s="14">
        <v>0.66391520000000004</v>
      </c>
      <c r="H959" s="14">
        <v>0.1022306</v>
      </c>
      <c r="R959" s="11">
        <f t="shared" si="30"/>
        <v>1.7513258197797185E-2</v>
      </c>
      <c r="Z959" s="11">
        <f t="shared" si="29"/>
        <v>2.2364882357678924E-2</v>
      </c>
    </row>
    <row r="960" spans="1:26" x14ac:dyDescent="0.2">
      <c r="A960" s="45">
        <v>184</v>
      </c>
      <c r="B960" s="45">
        <v>2004</v>
      </c>
      <c r="C960" s="17">
        <v>0</v>
      </c>
      <c r="D960" s="14">
        <v>1.5547099999999999E-2</v>
      </c>
      <c r="E960" s="14">
        <v>3.1401100000000001E-2</v>
      </c>
      <c r="F960" s="14">
        <v>2.9863600000000001E-2</v>
      </c>
      <c r="G960" s="14">
        <v>0.69614989999999999</v>
      </c>
      <c r="H960" s="14">
        <v>0.11484800000000001</v>
      </c>
      <c r="R960" s="11">
        <f t="shared" si="30"/>
        <v>1.9125998940014464E-2</v>
      </c>
      <c r="Z960" s="11">
        <f t="shared" si="29"/>
        <v>2.4079308139094268E-2</v>
      </c>
    </row>
    <row r="961" spans="1:26" x14ac:dyDescent="0.2">
      <c r="A961" s="45">
        <v>185</v>
      </c>
      <c r="B961" s="45">
        <v>1999</v>
      </c>
      <c r="C961" s="17">
        <v>0</v>
      </c>
      <c r="D961" s="14">
        <v>0.1020259</v>
      </c>
      <c r="E961" s="14">
        <v>0.1574757</v>
      </c>
      <c r="F961" s="14">
        <v>6.2531799999999998E-2</v>
      </c>
      <c r="G961" s="14">
        <v>1.433516</v>
      </c>
      <c r="H961" s="14">
        <v>0.2352998</v>
      </c>
      <c r="R961" s="11">
        <f t="shared" si="30"/>
        <v>3.8451592233222547E-3</v>
      </c>
      <c r="Z961" s="11">
        <f t="shared" si="29"/>
        <v>4.9330181313277707E-3</v>
      </c>
    </row>
    <row r="962" spans="1:26" x14ac:dyDescent="0.2">
      <c r="A962" s="45">
        <v>185</v>
      </c>
      <c r="B962" s="45">
        <v>2000</v>
      </c>
      <c r="C962" s="17">
        <v>0</v>
      </c>
      <c r="D962" s="14">
        <v>0.12791259999999999</v>
      </c>
      <c r="E962" s="14">
        <v>0.1687815</v>
      </c>
      <c r="F962" s="14">
        <v>5.0957700000000002E-2</v>
      </c>
      <c r="G962" s="14">
        <v>1.0835159999999999</v>
      </c>
      <c r="H962" s="14">
        <v>0.23181160000000001</v>
      </c>
      <c r="R962" s="11">
        <f t="shared" si="30"/>
        <v>7.2233514735187921E-3</v>
      </c>
      <c r="Z962" s="11">
        <f t="shared" ref="Z962:Z1025" si="31">1/(1+EXP(-(U$2+$V$2*E962+$W$2*F962+$X$2*G962)))</f>
        <v>9.2453122247360166E-3</v>
      </c>
    </row>
    <row r="963" spans="1:26" x14ac:dyDescent="0.2">
      <c r="A963" s="45">
        <v>185</v>
      </c>
      <c r="B963" s="45">
        <v>2001</v>
      </c>
      <c r="C963" s="17">
        <v>0</v>
      </c>
      <c r="D963" s="14">
        <v>7.3769899999999999E-2</v>
      </c>
      <c r="E963" s="14">
        <v>0.12621979999999999</v>
      </c>
      <c r="F963" s="14">
        <v>5.2153100000000001E-2</v>
      </c>
      <c r="G963" s="14">
        <v>0.81532260000000001</v>
      </c>
      <c r="H963" s="14">
        <v>0.2136557</v>
      </c>
      <c r="R963" s="11">
        <f t="shared" si="30"/>
        <v>1.1618481524368429E-2</v>
      </c>
      <c r="Z963" s="11">
        <f t="shared" si="31"/>
        <v>1.4931937240310066E-2</v>
      </c>
    </row>
    <row r="964" spans="1:26" x14ac:dyDescent="0.2">
      <c r="A964" s="45">
        <v>185</v>
      </c>
      <c r="B964" s="45">
        <v>2002</v>
      </c>
      <c r="C964" s="17">
        <v>0</v>
      </c>
      <c r="D964" s="14">
        <v>9.2845999999999998E-2</v>
      </c>
      <c r="E964" s="14">
        <v>0.14695079999999999</v>
      </c>
      <c r="F964" s="14">
        <v>5.65113E-2</v>
      </c>
      <c r="G964" s="14">
        <v>0.84997730000000005</v>
      </c>
      <c r="H964" s="14">
        <v>0.2243608</v>
      </c>
      <c r="R964" s="11">
        <f t="shared" si="30"/>
        <v>1.0315873090049381E-2</v>
      </c>
      <c r="Z964" s="11">
        <f t="shared" si="31"/>
        <v>1.3308967958647449E-2</v>
      </c>
    </row>
    <row r="965" spans="1:26" x14ac:dyDescent="0.2">
      <c r="A965" s="45">
        <v>185</v>
      </c>
      <c r="B965" s="45">
        <v>2003</v>
      </c>
      <c r="C965" s="17">
        <v>0</v>
      </c>
      <c r="D965" s="14">
        <v>8.2750500000000005E-2</v>
      </c>
      <c r="E965" s="14">
        <v>9.2828599999999997E-2</v>
      </c>
      <c r="F965" s="14">
        <v>2.2955E-2</v>
      </c>
      <c r="G965" s="14">
        <v>1.0451950000000001</v>
      </c>
      <c r="H965" s="14">
        <v>0.27439069999999999</v>
      </c>
      <c r="R965" s="11">
        <f t="shared" si="30"/>
        <v>1.0690135398007779E-2</v>
      </c>
      <c r="Z965" s="11">
        <f t="shared" si="31"/>
        <v>1.3339938494646165E-2</v>
      </c>
    </row>
    <row r="966" spans="1:26" x14ac:dyDescent="0.2">
      <c r="A966" s="45">
        <v>185</v>
      </c>
      <c r="B966" s="45">
        <v>2004</v>
      </c>
      <c r="C966" s="17">
        <v>0</v>
      </c>
      <c r="D966" s="14">
        <v>0.1116168</v>
      </c>
      <c r="E966" s="14">
        <v>6.3383400000000006E-2</v>
      </c>
      <c r="F966" s="14">
        <v>2.7837600000000001E-2</v>
      </c>
      <c r="G966" s="14">
        <v>0.95001679999999999</v>
      </c>
      <c r="H966" s="14">
        <v>0.28801769999999999</v>
      </c>
      <c r="R966" s="11">
        <f t="shared" si="30"/>
        <v>1.2465420612241956E-2</v>
      </c>
      <c r="Z966" s="11">
        <f t="shared" si="31"/>
        <v>1.5626440935048714E-2</v>
      </c>
    </row>
    <row r="967" spans="1:26" x14ac:dyDescent="0.2">
      <c r="A967" s="45">
        <v>186</v>
      </c>
      <c r="B967" s="45">
        <v>1999</v>
      </c>
      <c r="C967" s="17">
        <v>0</v>
      </c>
      <c r="D967" s="14">
        <v>3.8406299999999997E-2</v>
      </c>
      <c r="E967" s="14">
        <v>0.41854789999999997</v>
      </c>
      <c r="F967" s="14">
        <v>8.27793E-2</v>
      </c>
      <c r="G967" s="14">
        <v>1.204631</v>
      </c>
      <c r="H967" s="14">
        <v>0.43239739999999999</v>
      </c>
      <c r="R967" s="11">
        <f t="shared" si="30"/>
        <v>3.2240001096780226E-3</v>
      </c>
      <c r="Z967" s="11">
        <f t="shared" si="31"/>
        <v>4.2647884548127433E-3</v>
      </c>
    </row>
    <row r="968" spans="1:26" x14ac:dyDescent="0.2">
      <c r="A968" s="45">
        <v>186</v>
      </c>
      <c r="B968" s="45">
        <v>2000</v>
      </c>
      <c r="C968" s="17">
        <v>0</v>
      </c>
      <c r="D968" s="14">
        <v>2.2495100000000001E-2</v>
      </c>
      <c r="E968" s="14">
        <v>0.43820969999999998</v>
      </c>
      <c r="F968" s="14">
        <v>6.1105100000000002E-2</v>
      </c>
      <c r="G968" s="14">
        <v>1.2696730000000001</v>
      </c>
      <c r="H968" s="14">
        <v>0.44208589999999998</v>
      </c>
      <c r="R968" s="11">
        <f t="shared" si="30"/>
        <v>3.3589266846896495E-3</v>
      </c>
      <c r="Z968" s="11">
        <f t="shared" si="31"/>
        <v>4.3618852901515254E-3</v>
      </c>
    </row>
    <row r="969" spans="1:26" x14ac:dyDescent="0.2">
      <c r="A969" s="45">
        <v>186</v>
      </c>
      <c r="B969" s="45">
        <v>2002</v>
      </c>
      <c r="C969" s="17">
        <v>0</v>
      </c>
      <c r="D969" s="14">
        <v>6.1120000000000002E-3</v>
      </c>
      <c r="E969" s="14">
        <v>0.50394490000000003</v>
      </c>
      <c r="F969" s="14">
        <v>6.66847E-2</v>
      </c>
      <c r="G969" s="14">
        <v>1.1310990000000001</v>
      </c>
      <c r="H969" s="14">
        <v>0.45446449999999999</v>
      </c>
      <c r="R969" s="11">
        <f t="shared" si="30"/>
        <v>3.6399077918541538E-3</v>
      </c>
      <c r="Z969" s="11">
        <f t="shared" si="31"/>
        <v>4.7730641035150425E-3</v>
      </c>
    </row>
    <row r="970" spans="1:26" x14ac:dyDescent="0.2">
      <c r="A970" s="45">
        <v>186</v>
      </c>
      <c r="B970" s="45">
        <v>2003</v>
      </c>
      <c r="C970" s="17">
        <v>0</v>
      </c>
      <c r="D970" s="14">
        <v>5.90585E-2</v>
      </c>
      <c r="E970" s="14">
        <v>0.51213739999999996</v>
      </c>
      <c r="F970" s="14">
        <v>6.3942600000000002E-2</v>
      </c>
      <c r="G970" s="14">
        <v>1.5856570000000001</v>
      </c>
      <c r="H970" s="14">
        <v>0.41171079999999999</v>
      </c>
      <c r="R970" s="11">
        <f t="shared" si="30"/>
        <v>1.7850731411072917E-3</v>
      </c>
      <c r="Z970" s="11">
        <f t="shared" si="31"/>
        <v>2.3143300607093064E-3</v>
      </c>
    </row>
    <row r="971" spans="1:26" x14ac:dyDescent="0.2">
      <c r="A971" s="45">
        <v>186</v>
      </c>
      <c r="B971" s="45">
        <v>2004</v>
      </c>
      <c r="C971" s="17">
        <v>0</v>
      </c>
      <c r="D971" s="14">
        <v>0.1626562</v>
      </c>
      <c r="E971" s="14">
        <v>0.20806269999999999</v>
      </c>
      <c r="F971" s="14">
        <v>6.2556200000000006E-2</v>
      </c>
      <c r="G971" s="14">
        <v>1.719592</v>
      </c>
      <c r="H971" s="14">
        <v>0.28654269999999998</v>
      </c>
      <c r="R971" s="11">
        <f t="shared" si="30"/>
        <v>2.2676828717158272E-3</v>
      </c>
      <c r="Z971" s="11">
        <f t="shared" si="31"/>
        <v>2.8973890870513594E-3</v>
      </c>
    </row>
    <row r="972" spans="1:26" x14ac:dyDescent="0.2">
      <c r="A972" s="45">
        <v>187</v>
      </c>
      <c r="B972" s="45">
        <v>1999</v>
      </c>
      <c r="C972" s="17">
        <v>0</v>
      </c>
      <c r="D972" s="14">
        <v>0.1022622</v>
      </c>
      <c r="E972" s="14">
        <v>0.70509120000000003</v>
      </c>
      <c r="F972" s="14">
        <v>7.9791299999999996E-2</v>
      </c>
      <c r="G972" s="14">
        <v>4.4266620000000003</v>
      </c>
      <c r="H972" s="14">
        <v>0.33783220000000003</v>
      </c>
      <c r="R972" s="11">
        <f t="shared" si="30"/>
        <v>1.2861596493346002E-5</v>
      </c>
      <c r="Z972" s="11">
        <f t="shared" si="31"/>
        <v>1.5982209046997019E-5</v>
      </c>
    </row>
    <row r="973" spans="1:26" x14ac:dyDescent="0.2">
      <c r="A973" s="45">
        <v>187</v>
      </c>
      <c r="B973" s="45">
        <v>2000</v>
      </c>
      <c r="C973" s="17">
        <v>0</v>
      </c>
      <c r="D973" s="14">
        <v>0.1128765</v>
      </c>
      <c r="E973" s="14">
        <v>0.65805729999999996</v>
      </c>
      <c r="F973" s="14">
        <v>6.9857299999999997E-2</v>
      </c>
      <c r="G973" s="14">
        <v>3.3711820000000001</v>
      </c>
      <c r="H973" s="14">
        <v>0.30175190000000002</v>
      </c>
      <c r="R973" s="11">
        <f t="shared" si="30"/>
        <v>8.0160933881949492E-5</v>
      </c>
      <c r="Z973" s="11">
        <f t="shared" si="31"/>
        <v>1.0096126674667032E-4</v>
      </c>
    </row>
    <row r="974" spans="1:26" x14ac:dyDescent="0.2">
      <c r="A974" s="45">
        <v>187</v>
      </c>
      <c r="B974" s="45">
        <v>2001</v>
      </c>
      <c r="C974" s="17">
        <v>0</v>
      </c>
      <c r="D974" s="14">
        <v>0.20145189999999999</v>
      </c>
      <c r="E974" s="14">
        <v>0.747776</v>
      </c>
      <c r="F974" s="14">
        <v>5.8700700000000001E-2</v>
      </c>
      <c r="G974" s="14">
        <v>3.628682</v>
      </c>
      <c r="H974" s="14">
        <v>0.23200680000000001</v>
      </c>
      <c r="R974" s="11">
        <f t="shared" si="30"/>
        <v>5.1034627422268863E-5</v>
      </c>
      <c r="Z974" s="11">
        <f t="shared" si="31"/>
        <v>6.3527508865172605E-5</v>
      </c>
    </row>
    <row r="975" spans="1:26" x14ac:dyDescent="0.2">
      <c r="A975" s="45">
        <v>187</v>
      </c>
      <c r="B975" s="45">
        <v>2002</v>
      </c>
      <c r="C975" s="17">
        <v>0</v>
      </c>
      <c r="D975" s="14">
        <v>0.25271589999999999</v>
      </c>
      <c r="E975" s="14">
        <v>0.7353324</v>
      </c>
      <c r="F975" s="14">
        <v>4.5027499999999998E-2</v>
      </c>
      <c r="G975" s="14">
        <v>2.9207429999999999</v>
      </c>
      <c r="H975" s="14">
        <v>0.27277790000000002</v>
      </c>
      <c r="R975" s="11">
        <f t="shared" si="30"/>
        <v>1.7911172299814448E-4</v>
      </c>
      <c r="Z975" s="11">
        <f t="shared" si="31"/>
        <v>2.238332827592901E-4</v>
      </c>
    </row>
    <row r="976" spans="1:26" x14ac:dyDescent="0.2">
      <c r="A976" s="45">
        <v>187</v>
      </c>
      <c r="B976" s="45">
        <v>2004</v>
      </c>
      <c r="C976" s="17">
        <v>0</v>
      </c>
      <c r="D976" s="14">
        <v>0.16419320000000001</v>
      </c>
      <c r="E976" s="14">
        <v>0.69330740000000002</v>
      </c>
      <c r="F976" s="14">
        <v>4.9814299999999999E-2</v>
      </c>
      <c r="G976" s="14">
        <v>3.2221099999999998</v>
      </c>
      <c r="H976" s="14">
        <v>0.28329280000000001</v>
      </c>
      <c r="R976" s="11">
        <f t="shared" si="30"/>
        <v>1.1336742921429132E-4</v>
      </c>
      <c r="Z976" s="11">
        <f t="shared" si="31"/>
        <v>1.4108882398533617E-4</v>
      </c>
    </row>
    <row r="977" spans="1:26" x14ac:dyDescent="0.2">
      <c r="A977" s="45">
        <v>188</v>
      </c>
      <c r="B977" s="45">
        <v>1999</v>
      </c>
      <c r="C977" s="17">
        <v>0</v>
      </c>
      <c r="D977" s="14">
        <v>0.1281659</v>
      </c>
      <c r="E977" s="14">
        <v>0.54797890000000005</v>
      </c>
      <c r="F977" s="14">
        <v>6.3050700000000001E-2</v>
      </c>
      <c r="G977" s="14">
        <v>1.7437320000000001</v>
      </c>
      <c r="H977" s="14">
        <v>0.23900689999999999</v>
      </c>
      <c r="R977" s="11">
        <f t="shared" si="30"/>
        <v>1.3271459127115195E-3</v>
      </c>
      <c r="Z977" s="11">
        <f t="shared" si="31"/>
        <v>1.7157479801116217E-3</v>
      </c>
    </row>
    <row r="978" spans="1:26" x14ac:dyDescent="0.2">
      <c r="A978" s="45">
        <v>188</v>
      </c>
      <c r="B978" s="45">
        <v>2000</v>
      </c>
      <c r="C978" s="17">
        <v>0</v>
      </c>
      <c r="D978" s="14">
        <v>9.2622300000000005E-2</v>
      </c>
      <c r="E978" s="14">
        <v>0.51042399999999999</v>
      </c>
      <c r="F978" s="14">
        <v>4.88834E-2</v>
      </c>
      <c r="G978" s="14">
        <v>1.3703780000000001</v>
      </c>
      <c r="H978" s="14">
        <v>0.29708190000000001</v>
      </c>
      <c r="R978" s="11">
        <f t="shared" si="30"/>
        <v>2.8417452576510963E-3</v>
      </c>
      <c r="Z978" s="11">
        <f t="shared" si="31"/>
        <v>3.6551296225692774E-3</v>
      </c>
    </row>
    <row r="979" spans="1:26" x14ac:dyDescent="0.2">
      <c r="A979" s="45">
        <v>188</v>
      </c>
      <c r="B979" s="45">
        <v>2001</v>
      </c>
      <c r="C979" s="17">
        <v>0</v>
      </c>
      <c r="D979" s="14">
        <v>8.7552599999999994E-2</v>
      </c>
      <c r="E979" s="14">
        <v>0.29907339999999999</v>
      </c>
      <c r="F979" s="14">
        <v>2.93561E-2</v>
      </c>
      <c r="G979" s="14">
        <v>1.2183949999999999</v>
      </c>
      <c r="H979" s="14">
        <v>0.19636290000000001</v>
      </c>
      <c r="R979" s="11">
        <f t="shared" si="30"/>
        <v>5.7386066991891617E-3</v>
      </c>
      <c r="Z979" s="11">
        <f t="shared" si="31"/>
        <v>7.2307288325857769E-3</v>
      </c>
    </row>
    <row r="980" spans="1:26" x14ac:dyDescent="0.2">
      <c r="A980" s="45">
        <v>188</v>
      </c>
      <c r="B980" s="45">
        <v>2002</v>
      </c>
      <c r="C980" s="17">
        <v>0</v>
      </c>
      <c r="D980" s="14">
        <v>9.6967499999999998E-2</v>
      </c>
      <c r="E980" s="14">
        <v>0.2233279</v>
      </c>
      <c r="F980" s="14">
        <v>3.5263299999999997E-2</v>
      </c>
      <c r="G980" s="14">
        <v>0.89639000000000002</v>
      </c>
      <c r="H980" s="14">
        <v>0.20559350000000001</v>
      </c>
      <c r="R980" s="11">
        <f t="shared" si="30"/>
        <v>1.0163318813097295E-2</v>
      </c>
      <c r="Z980" s="11">
        <f t="shared" si="31"/>
        <v>1.2909568979130891E-2</v>
      </c>
    </row>
    <row r="981" spans="1:26" x14ac:dyDescent="0.2">
      <c r="A981" s="45">
        <v>188</v>
      </c>
      <c r="B981" s="45">
        <v>2003</v>
      </c>
      <c r="C981" s="17">
        <v>0</v>
      </c>
      <c r="D981" s="14">
        <v>0.10749</v>
      </c>
      <c r="E981" s="14">
        <v>0.2295719</v>
      </c>
      <c r="F981" s="14">
        <v>2.8613599999999999E-2</v>
      </c>
      <c r="G981" s="14">
        <v>1.2046250000000001</v>
      </c>
      <c r="H981" s="14">
        <v>0.23916180000000001</v>
      </c>
      <c r="R981" s="11">
        <f t="shared" si="30"/>
        <v>6.5232108182975606E-3</v>
      </c>
      <c r="Z981" s="11">
        <f t="shared" si="31"/>
        <v>8.1957796908337186E-3</v>
      </c>
    </row>
    <row r="982" spans="1:26" x14ac:dyDescent="0.2">
      <c r="A982" s="45">
        <v>188</v>
      </c>
      <c r="B982" s="45">
        <v>2004</v>
      </c>
      <c r="C982" s="17">
        <v>0</v>
      </c>
      <c r="D982" s="14">
        <v>0.147761</v>
      </c>
      <c r="E982" s="14">
        <v>0.2675052</v>
      </c>
      <c r="F982" s="14">
        <v>4.7598300000000003E-2</v>
      </c>
      <c r="G982" s="14">
        <v>1.4182859999999999</v>
      </c>
      <c r="H982" s="14">
        <v>0.25455899999999998</v>
      </c>
      <c r="R982" s="11">
        <f t="shared" si="30"/>
        <v>3.783374225357614E-3</v>
      </c>
      <c r="Z982" s="11">
        <f t="shared" si="31"/>
        <v>4.8147057679264462E-3</v>
      </c>
    </row>
    <row r="983" spans="1:26" x14ac:dyDescent="0.2">
      <c r="A983" s="45">
        <v>189</v>
      </c>
      <c r="B983" s="45">
        <v>1999</v>
      </c>
      <c r="C983" s="17">
        <v>0</v>
      </c>
      <c r="D983" s="14">
        <v>-5.9730100000000001E-2</v>
      </c>
      <c r="E983" s="14">
        <v>0.56351490000000004</v>
      </c>
      <c r="F983" s="14">
        <v>0.1056634</v>
      </c>
      <c r="G983" s="14">
        <v>5.7554179999999997</v>
      </c>
      <c r="H983" s="14">
        <v>0.39389420000000003</v>
      </c>
      <c r="R983" s="11">
        <f t="shared" ref="R983:R1046" si="32">1/(1+EXP(-(K$2+$M$2*E983+$N$2*F983+$O$2*G983)))</f>
        <v>1.5459857003941957E-6</v>
      </c>
      <c r="Z983" s="11">
        <f t="shared" si="31"/>
        <v>1.8964589642757615E-6</v>
      </c>
    </row>
    <row r="984" spans="1:26" x14ac:dyDescent="0.2">
      <c r="A984" s="45">
        <v>189</v>
      </c>
      <c r="B984" s="45">
        <v>2000</v>
      </c>
      <c r="C984" s="17">
        <v>0</v>
      </c>
      <c r="D984" s="14">
        <v>-0.1337197</v>
      </c>
      <c r="E984" s="14">
        <v>0.46729860000000001</v>
      </c>
      <c r="F984" s="14">
        <v>0.1107079</v>
      </c>
      <c r="G984" s="14">
        <v>4.0463909999999998</v>
      </c>
      <c r="H984" s="14">
        <v>0.4437777</v>
      </c>
      <c r="R984" s="11">
        <f t="shared" si="32"/>
        <v>2.6015226291838459E-5</v>
      </c>
      <c r="Z984" s="11">
        <f t="shared" si="31"/>
        <v>3.3164299991696851E-5</v>
      </c>
    </row>
    <row r="985" spans="1:26" x14ac:dyDescent="0.2">
      <c r="A985" s="45">
        <v>189</v>
      </c>
      <c r="B985" s="45">
        <v>2001</v>
      </c>
      <c r="C985" s="17">
        <v>0</v>
      </c>
      <c r="D985" s="14">
        <v>-0.2342824</v>
      </c>
      <c r="E985" s="14">
        <v>0.49753160000000002</v>
      </c>
      <c r="F985" s="14">
        <v>6.4435599999999996E-2</v>
      </c>
      <c r="G985" s="14">
        <v>3.5305409999999999</v>
      </c>
      <c r="H985" s="14">
        <v>0.36208560000000001</v>
      </c>
      <c r="R985" s="11">
        <f t="shared" si="32"/>
        <v>8.2011299856876022E-5</v>
      </c>
      <c r="Z985" s="11">
        <f t="shared" si="31"/>
        <v>1.0191130952852981E-4</v>
      </c>
    </row>
    <row r="986" spans="1:26" x14ac:dyDescent="0.2">
      <c r="A986" s="45">
        <v>189</v>
      </c>
      <c r="B986" s="45">
        <v>2002</v>
      </c>
      <c r="C986" s="17">
        <v>0</v>
      </c>
      <c r="D986" s="14">
        <v>-0.28620309999999999</v>
      </c>
      <c r="E986" s="14">
        <v>0.63077669999999997</v>
      </c>
      <c r="F986" s="14">
        <v>6.8656400000000006E-2</v>
      </c>
      <c r="G986" s="14">
        <v>3.046662</v>
      </c>
      <c r="H986" s="14">
        <v>0.37168109999999999</v>
      </c>
      <c r="R986" s="11">
        <f t="shared" si="32"/>
        <v>1.4123159054904526E-4</v>
      </c>
      <c r="Z986" s="11">
        <f t="shared" si="31"/>
        <v>1.7880785820229814E-4</v>
      </c>
    </row>
    <row r="987" spans="1:26" x14ac:dyDescent="0.2">
      <c r="A987" s="45">
        <v>189</v>
      </c>
      <c r="B987" s="45">
        <v>2003</v>
      </c>
      <c r="C987" s="17">
        <v>0</v>
      </c>
      <c r="D987" s="14">
        <v>-0.2464636</v>
      </c>
      <c r="E987" s="14">
        <v>0.66426099999999999</v>
      </c>
      <c r="F987" s="14">
        <v>6.5220299999999995E-2</v>
      </c>
      <c r="G987" s="14">
        <v>3.456404</v>
      </c>
      <c r="H987" s="14">
        <v>0.3465298</v>
      </c>
      <c r="R987" s="11">
        <f t="shared" si="32"/>
        <v>7.1974113537708016E-5</v>
      </c>
      <c r="Z987" s="11">
        <f t="shared" si="31"/>
        <v>9.0156296639916958E-5</v>
      </c>
    </row>
    <row r="988" spans="1:26" x14ac:dyDescent="0.2">
      <c r="A988" s="45">
        <v>189</v>
      </c>
      <c r="B988" s="45">
        <v>2004</v>
      </c>
      <c r="C988" s="17">
        <v>0</v>
      </c>
      <c r="D988" s="14">
        <v>-0.30062660000000002</v>
      </c>
      <c r="E988" s="14">
        <v>0.63841429999999999</v>
      </c>
      <c r="F988" s="14">
        <v>8.3505899999999994E-2</v>
      </c>
      <c r="G988" s="14">
        <v>2.9262060000000001</v>
      </c>
      <c r="H988" s="14">
        <v>0.35628280000000001</v>
      </c>
      <c r="R988" s="11">
        <f t="shared" si="32"/>
        <v>1.5027436256813788E-4</v>
      </c>
      <c r="Z988" s="11">
        <f t="shared" si="31"/>
        <v>1.9314760596729052E-4</v>
      </c>
    </row>
    <row r="989" spans="1:26" x14ac:dyDescent="0.2">
      <c r="A989" s="45">
        <v>190</v>
      </c>
      <c r="B989" s="45">
        <v>1999</v>
      </c>
      <c r="C989" s="17">
        <v>0</v>
      </c>
      <c r="D989" s="14">
        <v>-0.1043024</v>
      </c>
      <c r="E989" s="14">
        <v>0.17109940000000001</v>
      </c>
      <c r="F989" s="14">
        <v>5.7044200000000003E-2</v>
      </c>
      <c r="G989" s="14">
        <v>2.4092859999999998</v>
      </c>
      <c r="H989" s="14">
        <v>0.19483120000000001</v>
      </c>
      <c r="R989" s="11">
        <f t="shared" si="32"/>
        <v>8.3438356503766744E-4</v>
      </c>
      <c r="Z989" s="11">
        <f t="shared" si="31"/>
        <v>1.0443946240546605E-3</v>
      </c>
    </row>
    <row r="990" spans="1:26" x14ac:dyDescent="0.2">
      <c r="A990" s="45">
        <v>190</v>
      </c>
      <c r="B990" s="45">
        <v>2000</v>
      </c>
      <c r="C990" s="17">
        <v>0</v>
      </c>
      <c r="D990" s="14">
        <v>-8.8357000000000005E-2</v>
      </c>
      <c r="E990" s="14">
        <v>0.12745899999999999</v>
      </c>
      <c r="F990" s="14">
        <v>5.7180599999999998E-2</v>
      </c>
      <c r="G990" s="14">
        <v>1.8115270000000001</v>
      </c>
      <c r="H990" s="14">
        <v>0.20810890000000001</v>
      </c>
      <c r="R990" s="11">
        <f t="shared" si="32"/>
        <v>2.2988738928658588E-3</v>
      </c>
      <c r="Z990" s="11">
        <f t="shared" si="31"/>
        <v>2.9104140662140582E-3</v>
      </c>
    </row>
    <row r="991" spans="1:26" x14ac:dyDescent="0.2">
      <c r="A991" s="45">
        <v>190</v>
      </c>
      <c r="B991" s="45">
        <v>2001</v>
      </c>
      <c r="C991" s="17">
        <v>0</v>
      </c>
      <c r="D991" s="14">
        <v>-9.92952E-2</v>
      </c>
      <c r="E991" s="14">
        <v>0.1461636</v>
      </c>
      <c r="F991" s="14">
        <v>5.8213899999999999E-2</v>
      </c>
      <c r="G991" s="14">
        <v>1.995171</v>
      </c>
      <c r="H991" s="14">
        <v>0.2232277</v>
      </c>
      <c r="R991" s="11">
        <f t="shared" si="32"/>
        <v>1.6568965809493062E-3</v>
      </c>
      <c r="Z991" s="11">
        <f t="shared" si="31"/>
        <v>2.0926744111797279E-3</v>
      </c>
    </row>
    <row r="992" spans="1:26" x14ac:dyDescent="0.2">
      <c r="A992" s="45">
        <v>190</v>
      </c>
      <c r="B992" s="45">
        <v>2002</v>
      </c>
      <c r="C992" s="17">
        <v>0</v>
      </c>
      <c r="D992" s="14">
        <v>-6.9098699999999999E-2</v>
      </c>
      <c r="E992" s="14">
        <v>0.20552860000000001</v>
      </c>
      <c r="F992" s="14">
        <v>6.1896199999999998E-2</v>
      </c>
      <c r="G992" s="14">
        <v>1.3498319999999999</v>
      </c>
      <c r="H992" s="14">
        <v>0.2095119</v>
      </c>
      <c r="R992" s="11">
        <f t="shared" si="32"/>
        <v>4.1169588913989872E-3</v>
      </c>
      <c r="Z992" s="11">
        <f t="shared" si="31"/>
        <v>5.2969265469356968E-3</v>
      </c>
    </row>
    <row r="993" spans="1:26" x14ac:dyDescent="0.2">
      <c r="A993" s="45">
        <v>190</v>
      </c>
      <c r="B993" s="45">
        <v>2003</v>
      </c>
      <c r="C993" s="17">
        <v>0</v>
      </c>
      <c r="D993" s="14">
        <v>1.7447000000000001E-3</v>
      </c>
      <c r="E993" s="14">
        <v>0.20293149999999999</v>
      </c>
      <c r="F993" s="14">
        <v>5.0698300000000002E-2</v>
      </c>
      <c r="G993" s="14">
        <v>1.5220119999999999</v>
      </c>
      <c r="H993" s="14">
        <v>0.2160155</v>
      </c>
      <c r="R993" s="11">
        <f t="shared" si="32"/>
        <v>3.4375554420270097E-3</v>
      </c>
      <c r="Z993" s="11">
        <f t="shared" si="31"/>
        <v>4.3665183824074284E-3</v>
      </c>
    </row>
    <row r="994" spans="1:26" x14ac:dyDescent="0.2">
      <c r="A994" s="45">
        <v>190</v>
      </c>
      <c r="B994" s="45">
        <v>2004</v>
      </c>
      <c r="C994" s="17">
        <v>0</v>
      </c>
      <c r="D994" s="14">
        <v>-1.1751899999999999E-2</v>
      </c>
      <c r="E994" s="14">
        <v>0.2389204</v>
      </c>
      <c r="F994" s="14">
        <v>6.1995300000000003E-2</v>
      </c>
      <c r="G994" s="14">
        <v>1.358741</v>
      </c>
      <c r="H994" s="14">
        <v>0.2028547</v>
      </c>
      <c r="R994" s="11">
        <f t="shared" si="32"/>
        <v>3.8644750401038547E-3</v>
      </c>
      <c r="Z994" s="11">
        <f t="shared" si="31"/>
        <v>4.9775359624531857E-3</v>
      </c>
    </row>
    <row r="995" spans="1:26" x14ac:dyDescent="0.2">
      <c r="A995" s="45">
        <v>191</v>
      </c>
      <c r="B995" s="45">
        <v>1999</v>
      </c>
      <c r="C995" s="17">
        <v>0</v>
      </c>
      <c r="D995" s="14">
        <v>6.3648200000000002E-2</v>
      </c>
      <c r="E995" s="14">
        <v>0.32272879999999998</v>
      </c>
      <c r="F995" s="14">
        <v>4.8533800000000002E-2</v>
      </c>
      <c r="G995" s="14">
        <v>2.4940869999999999</v>
      </c>
      <c r="H995" s="14">
        <v>0.2256406</v>
      </c>
      <c r="R995" s="11">
        <f t="shared" si="32"/>
        <v>6.260099510159206E-4</v>
      </c>
      <c r="Z995" s="11">
        <f t="shared" si="31"/>
        <v>7.8076561226783137E-4</v>
      </c>
    </row>
    <row r="996" spans="1:26" x14ac:dyDescent="0.2">
      <c r="A996" s="45">
        <v>191</v>
      </c>
      <c r="B996" s="45">
        <v>2000</v>
      </c>
      <c r="C996" s="17">
        <v>0</v>
      </c>
      <c r="D996" s="14">
        <v>9.3969800000000006E-2</v>
      </c>
      <c r="E996" s="14">
        <v>0.32881719999999998</v>
      </c>
      <c r="F996" s="14">
        <v>4.30643E-2</v>
      </c>
      <c r="G996" s="14">
        <v>1.952647</v>
      </c>
      <c r="H996" s="14">
        <v>0.18620690000000001</v>
      </c>
      <c r="R996" s="11">
        <f t="shared" si="32"/>
        <v>1.5348536072611733E-3</v>
      </c>
      <c r="Z996" s="11">
        <f t="shared" si="31"/>
        <v>1.9285198952681758E-3</v>
      </c>
    </row>
    <row r="997" spans="1:26" x14ac:dyDescent="0.2">
      <c r="A997" s="45">
        <v>191</v>
      </c>
      <c r="B997" s="45">
        <v>2001</v>
      </c>
      <c r="C997" s="17">
        <v>0</v>
      </c>
      <c r="D997" s="14">
        <v>0.19562889999999999</v>
      </c>
      <c r="E997" s="14">
        <v>0.359128</v>
      </c>
      <c r="F997" s="14">
        <v>2.21405E-2</v>
      </c>
      <c r="G997" s="14">
        <v>1.7382770000000001</v>
      </c>
      <c r="H997" s="14">
        <v>0.1572247</v>
      </c>
      <c r="R997" s="11">
        <f t="shared" si="32"/>
        <v>2.4410882626186743E-3</v>
      </c>
      <c r="Z997" s="11">
        <f t="shared" si="31"/>
        <v>3.0318474923982015E-3</v>
      </c>
    </row>
    <row r="998" spans="1:26" x14ac:dyDescent="0.2">
      <c r="A998" s="45">
        <v>191</v>
      </c>
      <c r="B998" s="45">
        <v>2002</v>
      </c>
      <c r="C998" s="17">
        <v>0</v>
      </c>
      <c r="D998" s="14">
        <v>0.20790220000000001</v>
      </c>
      <c r="E998" s="14">
        <v>0.2540906</v>
      </c>
      <c r="F998" s="14">
        <v>3.9297499999999999E-2</v>
      </c>
      <c r="G998" s="14">
        <v>1.6817839999999999</v>
      </c>
      <c r="H998" s="14">
        <v>0.201711</v>
      </c>
      <c r="R998" s="11">
        <f t="shared" si="32"/>
        <v>2.7119988375531243E-3</v>
      </c>
      <c r="Z998" s="11">
        <f t="shared" si="31"/>
        <v>3.4076268318015907E-3</v>
      </c>
    </row>
    <row r="999" spans="1:26" x14ac:dyDescent="0.2">
      <c r="A999" s="45">
        <v>191</v>
      </c>
      <c r="B999" s="45">
        <v>2003</v>
      </c>
      <c r="C999" s="17">
        <v>0</v>
      </c>
      <c r="D999" s="14">
        <v>0.18178520000000001</v>
      </c>
      <c r="E999" s="14">
        <v>0.26052950000000002</v>
      </c>
      <c r="F999" s="14">
        <v>3.32089E-2</v>
      </c>
      <c r="G999" s="14">
        <v>1.7046380000000001</v>
      </c>
      <c r="H999" s="14">
        <v>0.20918220000000001</v>
      </c>
      <c r="R999" s="11">
        <f t="shared" si="32"/>
        <v>2.719909986932275E-3</v>
      </c>
      <c r="Z999" s="11">
        <f t="shared" si="31"/>
        <v>3.3996466504399026E-3</v>
      </c>
    </row>
    <row r="1000" spans="1:26" x14ac:dyDescent="0.2">
      <c r="A1000" s="45">
        <v>191</v>
      </c>
      <c r="B1000" s="45">
        <v>2004</v>
      </c>
      <c r="C1000" s="17">
        <v>0</v>
      </c>
      <c r="D1000" s="14">
        <v>0.23076240000000001</v>
      </c>
      <c r="E1000" s="14">
        <v>0.291742</v>
      </c>
      <c r="F1000" s="14">
        <v>4.0890200000000002E-2</v>
      </c>
      <c r="G1000" s="14">
        <v>2.204361</v>
      </c>
      <c r="H1000" s="14">
        <v>0.19732649999999999</v>
      </c>
      <c r="R1000" s="11">
        <f t="shared" si="32"/>
        <v>1.1041051777780145E-3</v>
      </c>
      <c r="Z1000" s="11">
        <f t="shared" si="31"/>
        <v>1.3755856568707381E-3</v>
      </c>
    </row>
    <row r="1001" spans="1:26" x14ac:dyDescent="0.2">
      <c r="A1001" s="45">
        <v>192</v>
      </c>
      <c r="B1001" s="45">
        <v>1999</v>
      </c>
      <c r="C1001" s="17">
        <v>0</v>
      </c>
      <c r="D1001" s="14">
        <v>5.42283E-2</v>
      </c>
      <c r="E1001" s="14">
        <v>0.1518824</v>
      </c>
      <c r="F1001" s="14">
        <v>1.2866799999999999E-2</v>
      </c>
      <c r="G1001" s="14">
        <v>0.77990340000000002</v>
      </c>
      <c r="H1001" s="14">
        <v>0.2230181</v>
      </c>
      <c r="R1001" s="11">
        <f t="shared" si="32"/>
        <v>1.6141501787581034E-2</v>
      </c>
      <c r="Z1001" s="11">
        <f t="shared" si="31"/>
        <v>2.0107137730037587E-2</v>
      </c>
    </row>
    <row r="1002" spans="1:26" x14ac:dyDescent="0.2">
      <c r="A1002" s="45">
        <v>192</v>
      </c>
      <c r="B1002" s="45">
        <v>2000</v>
      </c>
      <c r="C1002" s="17">
        <v>0</v>
      </c>
      <c r="D1002" s="14">
        <v>1.2106499999999999E-2</v>
      </c>
      <c r="E1002" s="14">
        <v>0.144118</v>
      </c>
      <c r="F1002" s="14">
        <v>4.0976800000000001E-2</v>
      </c>
      <c r="G1002" s="14">
        <v>0.68277569999999999</v>
      </c>
      <c r="H1002" s="14">
        <v>0.28108820000000001</v>
      </c>
      <c r="R1002" s="11">
        <f t="shared" si="32"/>
        <v>1.5234061141659191E-2</v>
      </c>
      <c r="Z1002" s="11">
        <f t="shared" si="31"/>
        <v>1.9450588182095559E-2</v>
      </c>
    </row>
    <row r="1003" spans="1:26" x14ac:dyDescent="0.2">
      <c r="A1003" s="45">
        <v>192</v>
      </c>
      <c r="B1003" s="45">
        <v>2001</v>
      </c>
      <c r="C1003" s="17">
        <v>0</v>
      </c>
      <c r="D1003" s="14">
        <v>1.5284600000000001E-2</v>
      </c>
      <c r="E1003" s="14">
        <v>0.15624489999999999</v>
      </c>
      <c r="F1003" s="14">
        <v>4.6843200000000002E-2</v>
      </c>
      <c r="G1003" s="14">
        <v>0.88682119999999998</v>
      </c>
      <c r="H1003" s="14">
        <v>8.8466299999999998E-2</v>
      </c>
      <c r="R1003" s="11">
        <f t="shared" si="32"/>
        <v>1.036815024015144E-2</v>
      </c>
      <c r="Z1003" s="11">
        <f t="shared" si="31"/>
        <v>1.3265570937696453E-2</v>
      </c>
    </row>
    <row r="1004" spans="1:26" x14ac:dyDescent="0.2">
      <c r="A1004" s="45">
        <v>192</v>
      </c>
      <c r="B1004" s="45">
        <v>2002</v>
      </c>
      <c r="C1004" s="17">
        <v>0</v>
      </c>
      <c r="D1004" s="14">
        <v>2.68965E-2</v>
      </c>
      <c r="E1004" s="14">
        <v>0.13390469999999999</v>
      </c>
      <c r="F1004" s="14">
        <v>5.50695E-2</v>
      </c>
      <c r="G1004" s="14">
        <v>0.40880759999999999</v>
      </c>
      <c r="H1004" s="14">
        <v>0.12469719999999999</v>
      </c>
      <c r="R1004" s="11">
        <f t="shared" si="32"/>
        <v>2.1245115643442006E-2</v>
      </c>
      <c r="Z1004" s="11">
        <f t="shared" si="31"/>
        <v>2.7537443395281289E-2</v>
      </c>
    </row>
    <row r="1005" spans="1:26" x14ac:dyDescent="0.2">
      <c r="A1005" s="45">
        <v>192</v>
      </c>
      <c r="B1005" s="45">
        <v>2003</v>
      </c>
      <c r="C1005" s="17">
        <v>0</v>
      </c>
      <c r="D1005" s="14">
        <v>2.26676E-2</v>
      </c>
      <c r="E1005" s="14">
        <v>0.11704199999999999</v>
      </c>
      <c r="F1005" s="14">
        <v>4.3453100000000001E-2</v>
      </c>
      <c r="G1005" s="14">
        <v>0.47661179999999997</v>
      </c>
      <c r="H1005" s="14">
        <v>0.11104550000000001</v>
      </c>
      <c r="R1005" s="11">
        <f t="shared" si="32"/>
        <v>2.1441178170101764E-2</v>
      </c>
      <c r="Z1005" s="11">
        <f t="shared" si="31"/>
        <v>2.747841766558512E-2</v>
      </c>
    </row>
    <row r="1006" spans="1:26" x14ac:dyDescent="0.2">
      <c r="A1006" s="45">
        <v>192</v>
      </c>
      <c r="B1006" s="45">
        <v>2004</v>
      </c>
      <c r="C1006" s="17">
        <v>0</v>
      </c>
      <c r="D1006" s="14">
        <v>3.3993200000000001E-2</v>
      </c>
      <c r="E1006" s="14">
        <v>9.7680500000000003E-2</v>
      </c>
      <c r="F1006" s="14">
        <v>3.5232100000000002E-2</v>
      </c>
      <c r="G1006" s="14">
        <v>0.63532920000000004</v>
      </c>
      <c r="H1006" s="14">
        <v>0.12619759999999999</v>
      </c>
      <c r="R1006" s="11">
        <f t="shared" si="32"/>
        <v>1.8346736306013724E-2</v>
      </c>
      <c r="Z1006" s="11">
        <f t="shared" si="31"/>
        <v>2.3284493993972543E-2</v>
      </c>
    </row>
    <row r="1007" spans="1:26" x14ac:dyDescent="0.2">
      <c r="A1007" s="45">
        <v>193</v>
      </c>
      <c r="B1007" s="45">
        <v>2000</v>
      </c>
      <c r="C1007" s="17">
        <v>0</v>
      </c>
      <c r="D1007" s="14">
        <v>0.24997059999999999</v>
      </c>
      <c r="E1007" s="14">
        <v>0.1574285</v>
      </c>
      <c r="F1007" s="14">
        <v>5.2178099999999998E-2</v>
      </c>
      <c r="G1007" s="14">
        <v>0.47664129999999999</v>
      </c>
      <c r="H1007" s="14">
        <v>0.28902460000000002</v>
      </c>
      <c r="R1007" s="11">
        <f t="shared" si="32"/>
        <v>1.8903398199156405E-2</v>
      </c>
      <c r="Z1007" s="11">
        <f t="shared" si="31"/>
        <v>2.444651126350977E-2</v>
      </c>
    </row>
    <row r="1008" spans="1:26" x14ac:dyDescent="0.2">
      <c r="A1008" s="45">
        <v>193</v>
      </c>
      <c r="B1008" s="45">
        <v>2001</v>
      </c>
      <c r="C1008" s="17">
        <v>0</v>
      </c>
      <c r="D1008" s="14">
        <v>0.24323349999999999</v>
      </c>
      <c r="E1008" s="14">
        <v>0.1156626</v>
      </c>
      <c r="F1008" s="14">
        <v>6.83E-2</v>
      </c>
      <c r="G1008" s="14">
        <v>0.73758939999999995</v>
      </c>
      <c r="H1008" s="14">
        <v>0.29840060000000002</v>
      </c>
      <c r="R1008" s="11">
        <f t="shared" si="32"/>
        <v>1.1734639228625537E-2</v>
      </c>
      <c r="Z1008" s="11">
        <f t="shared" si="31"/>
        <v>1.5298898514214109E-2</v>
      </c>
    </row>
    <row r="1009" spans="1:26" x14ac:dyDescent="0.2">
      <c r="A1009" s="45">
        <v>193</v>
      </c>
      <c r="B1009" s="45">
        <v>2002</v>
      </c>
      <c r="C1009" s="17">
        <v>0</v>
      </c>
      <c r="D1009" s="14">
        <v>0.2369144</v>
      </c>
      <c r="E1009" s="14">
        <v>0.13782839999999999</v>
      </c>
      <c r="F1009" s="14">
        <v>4.0865899999999997E-2</v>
      </c>
      <c r="G1009" s="14">
        <v>0.45949119999999999</v>
      </c>
      <c r="H1009" s="14">
        <v>0.272422</v>
      </c>
      <c r="R1009" s="11">
        <f t="shared" si="32"/>
        <v>2.1816877820934978E-2</v>
      </c>
      <c r="Z1009" s="11">
        <f t="shared" si="31"/>
        <v>2.7928871401377172E-2</v>
      </c>
    </row>
    <row r="1010" spans="1:26" x14ac:dyDescent="0.2">
      <c r="A1010" s="45">
        <v>193</v>
      </c>
      <c r="B1010" s="45">
        <v>2003</v>
      </c>
      <c r="C1010" s="17">
        <v>0</v>
      </c>
      <c r="D1010" s="14">
        <v>0.1952216</v>
      </c>
      <c r="E1010" s="14">
        <v>0.15554309999999999</v>
      </c>
      <c r="F1010" s="14">
        <v>4.9039699999999999E-2</v>
      </c>
      <c r="G1010" s="14">
        <v>0.60639200000000004</v>
      </c>
      <c r="H1010" s="14">
        <v>0.26233050000000002</v>
      </c>
      <c r="R1010" s="11">
        <f t="shared" si="32"/>
        <v>1.5855543138280657E-2</v>
      </c>
      <c r="Z1010" s="11">
        <f t="shared" si="31"/>
        <v>2.0413457412834814E-2</v>
      </c>
    </row>
    <row r="1011" spans="1:26" x14ac:dyDescent="0.2">
      <c r="A1011" s="45">
        <v>194</v>
      </c>
      <c r="B1011" s="45">
        <v>1998</v>
      </c>
      <c r="C1011" s="17">
        <v>0</v>
      </c>
      <c r="D1011" s="14">
        <v>0.18791279999999999</v>
      </c>
      <c r="E1011" s="14">
        <v>-1.8031470000000001</v>
      </c>
      <c r="F1011" s="14">
        <v>0.1068938</v>
      </c>
      <c r="G1011" s="14">
        <v>0.65214680000000003</v>
      </c>
      <c r="H1011" s="14">
        <v>0.46679949999999998</v>
      </c>
      <c r="R1011" s="11">
        <f t="shared" si="32"/>
        <v>0.13991806616693225</v>
      </c>
      <c r="Z1011" s="11">
        <f t="shared" si="31"/>
        <v>0.170884070876722</v>
      </c>
    </row>
    <row r="1012" spans="1:26" x14ac:dyDescent="0.2">
      <c r="A1012" s="45">
        <v>195</v>
      </c>
      <c r="B1012" s="45">
        <v>1999</v>
      </c>
      <c r="C1012" s="17">
        <v>0</v>
      </c>
      <c r="D1012" s="14">
        <v>1.1391699999999999E-2</v>
      </c>
      <c r="E1012" s="14">
        <v>0.4714159</v>
      </c>
      <c r="F1012" s="14">
        <v>5.6887399999999998E-2</v>
      </c>
      <c r="G1012" s="14">
        <v>1.67452</v>
      </c>
      <c r="H1012" s="14">
        <v>0.2842615</v>
      </c>
      <c r="R1012" s="11">
        <f t="shared" si="32"/>
        <v>1.7393969120065272E-3</v>
      </c>
      <c r="Z1012" s="11">
        <f t="shared" si="31"/>
        <v>2.234678996942021E-3</v>
      </c>
    </row>
    <row r="1013" spans="1:26" x14ac:dyDescent="0.2">
      <c r="A1013" s="45">
        <v>195</v>
      </c>
      <c r="B1013" s="45">
        <v>2001</v>
      </c>
      <c r="C1013" s="17">
        <v>0</v>
      </c>
      <c r="D1013" s="14">
        <v>0.13664860000000001</v>
      </c>
      <c r="E1013" s="14">
        <v>0.30182759999999997</v>
      </c>
      <c r="F1013" s="14">
        <v>4.3020299999999997E-2</v>
      </c>
      <c r="G1013" s="14">
        <v>2.3300149999999999</v>
      </c>
      <c r="H1013" s="14">
        <v>0.17125969999999999</v>
      </c>
      <c r="R1013" s="11">
        <f t="shared" si="32"/>
        <v>8.757442753189132E-4</v>
      </c>
      <c r="Z1013" s="11">
        <f t="shared" si="31"/>
        <v>1.0904002454737629E-3</v>
      </c>
    </row>
    <row r="1014" spans="1:26" x14ac:dyDescent="0.2">
      <c r="A1014" s="45">
        <v>195</v>
      </c>
      <c r="B1014" s="45">
        <v>2002</v>
      </c>
      <c r="C1014" s="17">
        <v>0</v>
      </c>
      <c r="D1014" s="14">
        <v>0.12733240000000001</v>
      </c>
      <c r="E1014" s="14">
        <v>0.24256829999999999</v>
      </c>
      <c r="F1014" s="14">
        <v>3.03082E-2</v>
      </c>
      <c r="G1014" s="14">
        <v>0.70377049999999997</v>
      </c>
      <c r="H1014" s="14">
        <v>0.1703276</v>
      </c>
      <c r="R1014" s="11">
        <f t="shared" si="32"/>
        <v>1.3923753737790825E-2</v>
      </c>
      <c r="Z1014" s="11">
        <f t="shared" si="31"/>
        <v>1.7682558057532206E-2</v>
      </c>
    </row>
    <row r="1015" spans="1:26" x14ac:dyDescent="0.2">
      <c r="A1015" s="45">
        <v>195</v>
      </c>
      <c r="B1015" s="45">
        <v>2003</v>
      </c>
      <c r="C1015" s="17">
        <v>0</v>
      </c>
      <c r="D1015" s="14">
        <v>0.14841309999999999</v>
      </c>
      <c r="E1015" s="14">
        <v>0.2948691</v>
      </c>
      <c r="F1015" s="14">
        <v>4.1273400000000002E-2</v>
      </c>
      <c r="G1015" s="14">
        <v>1.7372460000000001</v>
      </c>
      <c r="H1015" s="14">
        <v>0.19689580000000001</v>
      </c>
      <c r="R1015" s="11">
        <f t="shared" si="32"/>
        <v>2.3039222561893865E-3</v>
      </c>
      <c r="Z1015" s="11">
        <f t="shared" si="31"/>
        <v>2.9003718473148226E-3</v>
      </c>
    </row>
    <row r="1016" spans="1:26" x14ac:dyDescent="0.2">
      <c r="A1016" s="45">
        <v>195</v>
      </c>
      <c r="B1016" s="45">
        <v>2004</v>
      </c>
      <c r="C1016" s="17">
        <v>0</v>
      </c>
      <c r="D1016" s="14">
        <v>0.15523049999999999</v>
      </c>
      <c r="E1016" s="14">
        <v>0.35156969999999998</v>
      </c>
      <c r="F1016" s="14">
        <v>5.69425E-2</v>
      </c>
      <c r="G1016" s="14">
        <v>2.6148250000000002</v>
      </c>
      <c r="H1016" s="14">
        <v>0.2034282</v>
      </c>
      <c r="R1016" s="11">
        <f t="shared" si="32"/>
        <v>4.6309163068103615E-4</v>
      </c>
      <c r="Z1016" s="11">
        <f t="shared" si="31"/>
        <v>5.8061813842779351E-4</v>
      </c>
    </row>
    <row r="1017" spans="1:26" x14ac:dyDescent="0.2">
      <c r="A1017" s="45">
        <v>196</v>
      </c>
      <c r="B1017" s="45">
        <v>1999</v>
      </c>
      <c r="C1017" s="17">
        <v>0</v>
      </c>
      <c r="D1017" s="14">
        <v>2.6587999999999998E-3</v>
      </c>
      <c r="E1017" s="14">
        <v>0.5042799</v>
      </c>
      <c r="F1017" s="14">
        <v>6.5640799999999999E-2</v>
      </c>
      <c r="G1017" s="14">
        <v>2.030627</v>
      </c>
      <c r="H1017" s="14">
        <v>0.28607769999999999</v>
      </c>
      <c r="R1017" s="11">
        <f t="shared" si="32"/>
        <v>8.7731226453896332E-4</v>
      </c>
      <c r="Z1017" s="11">
        <f t="shared" si="31"/>
        <v>1.1279162734587694E-3</v>
      </c>
    </row>
    <row r="1018" spans="1:26" x14ac:dyDescent="0.2">
      <c r="A1018" s="45">
        <v>196</v>
      </c>
      <c r="B1018" s="45">
        <v>2000</v>
      </c>
      <c r="C1018" s="17">
        <v>0</v>
      </c>
      <c r="D1018" s="14">
        <v>-1.67326E-2</v>
      </c>
      <c r="E1018" s="14">
        <v>0.54926739999999996</v>
      </c>
      <c r="F1018" s="14">
        <v>6.4228499999999994E-2</v>
      </c>
      <c r="G1018" s="14">
        <v>1.144801</v>
      </c>
      <c r="H1018" s="14">
        <v>0.27083990000000002</v>
      </c>
      <c r="R1018" s="11">
        <f t="shared" si="32"/>
        <v>3.4011376353156402E-3</v>
      </c>
      <c r="Z1018" s="11">
        <f t="shared" si="31"/>
        <v>4.4569135736928587E-3</v>
      </c>
    </row>
    <row r="1019" spans="1:26" x14ac:dyDescent="0.2">
      <c r="A1019" s="45">
        <v>196</v>
      </c>
      <c r="B1019" s="45">
        <v>2001</v>
      </c>
      <c r="C1019" s="17">
        <v>0</v>
      </c>
      <c r="D1019" s="14">
        <v>-1.8529E-2</v>
      </c>
      <c r="E1019" s="14">
        <v>0.54772069999999995</v>
      </c>
      <c r="F1019" s="14">
        <v>3.6887700000000002E-2</v>
      </c>
      <c r="G1019" s="14">
        <v>0.84790259999999995</v>
      </c>
      <c r="H1019" s="14">
        <v>0.2873501</v>
      </c>
      <c r="R1019" s="11">
        <f t="shared" si="32"/>
        <v>6.7855370032617905E-3</v>
      </c>
      <c r="Z1019" s="11">
        <f t="shared" si="31"/>
        <v>8.7434125871577034E-3</v>
      </c>
    </row>
    <row r="1020" spans="1:26" x14ac:dyDescent="0.2">
      <c r="A1020" s="45">
        <v>196</v>
      </c>
      <c r="B1020" s="45">
        <v>2002</v>
      </c>
      <c r="C1020" s="17">
        <v>0</v>
      </c>
      <c r="D1020" s="14">
        <v>-2.5924800000000001E-2</v>
      </c>
      <c r="E1020" s="14">
        <v>0.54483749999999997</v>
      </c>
      <c r="F1020" s="14">
        <v>5.23326E-2</v>
      </c>
      <c r="G1020" s="14">
        <v>1.0095890000000001</v>
      </c>
      <c r="H1020" s="14">
        <v>0.29509400000000002</v>
      </c>
      <c r="R1020" s="11">
        <f t="shared" si="32"/>
        <v>4.6641800647943456E-3</v>
      </c>
      <c r="Z1020" s="11">
        <f t="shared" si="31"/>
        <v>6.0677148646117269E-3</v>
      </c>
    </row>
    <row r="1021" spans="1:26" x14ac:dyDescent="0.2">
      <c r="A1021" s="45">
        <v>196</v>
      </c>
      <c r="B1021" s="45">
        <v>2003</v>
      </c>
      <c r="C1021" s="17">
        <v>0</v>
      </c>
      <c r="D1021" s="14">
        <v>4.3122000000000001E-2</v>
      </c>
      <c r="E1021" s="14">
        <v>0.5117505</v>
      </c>
      <c r="F1021" s="14">
        <v>4.6431899999999998E-2</v>
      </c>
      <c r="G1021" s="14">
        <v>0.66415670000000004</v>
      </c>
      <c r="H1021" s="14">
        <v>0.27456170000000002</v>
      </c>
      <c r="R1021" s="11">
        <f t="shared" si="32"/>
        <v>8.8593769188359279E-3</v>
      </c>
      <c r="Z1021" s="11">
        <f t="shared" si="31"/>
        <v>1.1529351207158381E-2</v>
      </c>
    </row>
    <row r="1022" spans="1:26" x14ac:dyDescent="0.2">
      <c r="A1022" s="45">
        <v>197</v>
      </c>
      <c r="B1022" s="45">
        <v>1999</v>
      </c>
      <c r="C1022" s="17">
        <v>0</v>
      </c>
      <c r="D1022" s="14">
        <v>4.2483699999999999E-2</v>
      </c>
      <c r="E1022" s="14">
        <v>0.2176632</v>
      </c>
      <c r="F1022" s="14">
        <v>5.4396600000000003E-2</v>
      </c>
      <c r="G1022" s="14">
        <v>0.9541636</v>
      </c>
      <c r="H1022" s="14">
        <v>0.29888619999999999</v>
      </c>
      <c r="R1022" s="11">
        <f t="shared" si="32"/>
        <v>8.0369643083353509E-3</v>
      </c>
      <c r="Z1022" s="11">
        <f t="shared" si="31"/>
        <v>1.0359321296190096E-2</v>
      </c>
    </row>
    <row r="1023" spans="1:26" x14ac:dyDescent="0.2">
      <c r="A1023" s="45">
        <v>197</v>
      </c>
      <c r="B1023" s="45">
        <v>2000</v>
      </c>
      <c r="C1023" s="17">
        <v>0</v>
      </c>
      <c r="D1023" s="14">
        <v>8.8281899999999996E-2</v>
      </c>
      <c r="E1023" s="14">
        <v>0.1723963</v>
      </c>
      <c r="F1023" s="14">
        <v>5.6317899999999997E-2</v>
      </c>
      <c r="G1023" s="14">
        <v>0.99207060000000002</v>
      </c>
      <c r="H1023" s="14">
        <v>0.26961059999999998</v>
      </c>
      <c r="R1023" s="11">
        <f t="shared" si="32"/>
        <v>7.9579634154279821E-3</v>
      </c>
      <c r="Z1023" s="11">
        <f t="shared" si="31"/>
        <v>1.0249493368268593E-2</v>
      </c>
    </row>
    <row r="1024" spans="1:26" x14ac:dyDescent="0.2">
      <c r="A1024" s="45">
        <v>197</v>
      </c>
      <c r="B1024" s="45">
        <v>2001</v>
      </c>
      <c r="C1024" s="17">
        <v>0</v>
      </c>
      <c r="D1024" s="14">
        <v>0.1135978</v>
      </c>
      <c r="E1024" s="14">
        <v>0.1791615</v>
      </c>
      <c r="F1024" s="14">
        <v>4.2792200000000002E-2</v>
      </c>
      <c r="G1024" s="14">
        <v>1.0238700000000001</v>
      </c>
      <c r="H1024" s="14">
        <v>0.25054680000000001</v>
      </c>
      <c r="R1024" s="11">
        <f t="shared" si="32"/>
        <v>8.3433545137620874E-3</v>
      </c>
      <c r="Z1024" s="11">
        <f t="shared" si="31"/>
        <v>1.0622524860601621E-2</v>
      </c>
    </row>
    <row r="1025" spans="1:26" x14ac:dyDescent="0.2">
      <c r="A1025" s="45">
        <v>197</v>
      </c>
      <c r="B1025" s="45">
        <v>2002</v>
      </c>
      <c r="C1025" s="17">
        <v>0</v>
      </c>
      <c r="D1025" s="14">
        <v>0.13651559999999999</v>
      </c>
      <c r="E1025" s="14">
        <v>0.16683539999999999</v>
      </c>
      <c r="F1025" s="14">
        <v>4.0169700000000003E-2</v>
      </c>
      <c r="G1025" s="14">
        <v>1.187486</v>
      </c>
      <c r="H1025" s="14">
        <v>0.29889349999999998</v>
      </c>
      <c r="R1025" s="11">
        <f t="shared" si="32"/>
        <v>6.6945188543017335E-3</v>
      </c>
      <c r="Z1025" s="11">
        <f t="shared" si="31"/>
        <v>8.4750970129245044E-3</v>
      </c>
    </row>
    <row r="1026" spans="1:26" x14ac:dyDescent="0.2">
      <c r="A1026" s="45">
        <v>197</v>
      </c>
      <c r="B1026" s="45">
        <v>2003</v>
      </c>
      <c r="C1026" s="17">
        <v>0</v>
      </c>
      <c r="D1026" s="14">
        <v>0.14436660000000001</v>
      </c>
      <c r="E1026" s="14">
        <v>0.18308079999999999</v>
      </c>
      <c r="F1026" s="14">
        <v>3.5280400000000003E-2</v>
      </c>
      <c r="G1026" s="14">
        <v>1.657138</v>
      </c>
      <c r="H1026" s="14">
        <v>0.27752250000000001</v>
      </c>
      <c r="R1026" s="11">
        <f t="shared" si="32"/>
        <v>3.227884533054302E-3</v>
      </c>
      <c r="Z1026" s="11">
        <f t="shared" ref="Z1026:Z1089" si="33">1/(1+EXP(-(U$2+$V$2*E1026+$W$2*F1026+$X$2*G1026)))</f>
        <v>4.0344154049872195E-3</v>
      </c>
    </row>
    <row r="1027" spans="1:26" x14ac:dyDescent="0.2">
      <c r="A1027" s="45">
        <v>197</v>
      </c>
      <c r="B1027" s="45">
        <v>2004</v>
      </c>
      <c r="C1027" s="17">
        <v>0</v>
      </c>
      <c r="D1027" s="14">
        <v>0.1267837</v>
      </c>
      <c r="E1027" s="14">
        <v>0.19568949999999999</v>
      </c>
      <c r="F1027" s="14">
        <v>5.95259E-2</v>
      </c>
      <c r="G1027" s="14">
        <v>2.0456249999999998</v>
      </c>
      <c r="H1027" s="14">
        <v>0.31638100000000002</v>
      </c>
      <c r="R1027" s="11">
        <f t="shared" si="32"/>
        <v>1.4081626776289878E-3</v>
      </c>
      <c r="Z1027" s="11">
        <f t="shared" si="33"/>
        <v>1.7815911200619232E-3</v>
      </c>
    </row>
    <row r="1028" spans="1:26" x14ac:dyDescent="0.2">
      <c r="A1028" s="45">
        <v>198</v>
      </c>
      <c r="B1028" s="45">
        <v>1999</v>
      </c>
      <c r="C1028" s="17">
        <v>0</v>
      </c>
      <c r="D1028" s="14">
        <v>4.0344699999999997E-2</v>
      </c>
      <c r="E1028" s="14">
        <v>-1.7620359999999999</v>
      </c>
      <c r="F1028" s="14">
        <v>1.9223299999999999E-2</v>
      </c>
      <c r="G1028" s="14">
        <v>0.72148500000000004</v>
      </c>
      <c r="H1028" s="14">
        <v>0.20384910000000001</v>
      </c>
      <c r="R1028" s="11">
        <f t="shared" si="32"/>
        <v>0.21670671445872214</v>
      </c>
      <c r="Z1028" s="11">
        <f t="shared" si="33"/>
        <v>0.24594684318919455</v>
      </c>
    </row>
    <row r="1029" spans="1:26" x14ac:dyDescent="0.2">
      <c r="A1029" s="45">
        <v>198</v>
      </c>
      <c r="B1029" s="45">
        <v>2000</v>
      </c>
      <c r="C1029" s="17">
        <v>0</v>
      </c>
      <c r="D1029" s="14">
        <v>5.1442799999999997E-2</v>
      </c>
      <c r="E1029" s="14">
        <v>-1.990381</v>
      </c>
      <c r="F1029" s="14">
        <v>3.6143599999999998E-2</v>
      </c>
      <c r="G1029" s="14">
        <v>0.30910290000000001</v>
      </c>
      <c r="H1029" s="14">
        <v>0.26111879999999998</v>
      </c>
      <c r="R1029" s="11">
        <f t="shared" si="32"/>
        <v>0.39385874730424697</v>
      </c>
      <c r="Z1029" s="11">
        <f t="shared" si="33"/>
        <v>0.4374833895792356</v>
      </c>
    </row>
    <row r="1030" spans="1:26" x14ac:dyDescent="0.2">
      <c r="A1030" s="45">
        <v>199</v>
      </c>
      <c r="B1030" s="45">
        <v>1999</v>
      </c>
      <c r="C1030" s="17">
        <v>0</v>
      </c>
      <c r="D1030" s="14">
        <v>0.1018352</v>
      </c>
      <c r="E1030" s="14">
        <v>0.46656769999999997</v>
      </c>
      <c r="F1030" s="14">
        <v>7.4830499999999994E-2</v>
      </c>
      <c r="G1030" s="14">
        <v>6.1785699999999997</v>
      </c>
      <c r="H1030" s="14">
        <v>0.36036289999999999</v>
      </c>
      <c r="R1030" s="11">
        <f t="shared" si="32"/>
        <v>1.1605881950566591E-6</v>
      </c>
      <c r="Z1030" s="11">
        <f t="shared" si="33"/>
        <v>1.370723613531545E-6</v>
      </c>
    </row>
    <row r="1031" spans="1:26" x14ac:dyDescent="0.2">
      <c r="A1031" s="45">
        <v>199</v>
      </c>
      <c r="B1031" s="45">
        <v>2000</v>
      </c>
      <c r="C1031" s="17">
        <v>0</v>
      </c>
      <c r="D1031" s="14">
        <v>6.9460400000000005E-2</v>
      </c>
      <c r="E1031" s="14">
        <v>0.5185459</v>
      </c>
      <c r="F1031" s="14">
        <v>7.3767899999999997E-2</v>
      </c>
      <c r="G1031" s="14">
        <v>5.7495839999999996</v>
      </c>
      <c r="H1031" s="14">
        <v>0.35107120000000003</v>
      </c>
      <c r="R1031" s="11">
        <f t="shared" si="32"/>
        <v>2.1500218002819172E-6</v>
      </c>
      <c r="Z1031" s="11">
        <f t="shared" si="33"/>
        <v>2.5657403294546482E-6</v>
      </c>
    </row>
    <row r="1032" spans="1:26" x14ac:dyDescent="0.2">
      <c r="A1032" s="45">
        <v>199</v>
      </c>
      <c r="B1032" s="45">
        <v>2001</v>
      </c>
      <c r="C1032" s="17">
        <v>0</v>
      </c>
      <c r="D1032" s="14">
        <v>7.1538000000000004E-2</v>
      </c>
      <c r="E1032" s="14">
        <v>0.40060810000000002</v>
      </c>
      <c r="F1032" s="14">
        <v>6.0689600000000003E-2</v>
      </c>
      <c r="G1032" s="14">
        <v>3.159923</v>
      </c>
      <c r="H1032" s="14">
        <v>0.25759179999999998</v>
      </c>
      <c r="R1032" s="11">
        <f t="shared" si="32"/>
        <v>1.756110093927925E-4</v>
      </c>
      <c r="Z1032" s="11">
        <f t="shared" si="33"/>
        <v>2.1860422065913054E-4</v>
      </c>
    </row>
    <row r="1033" spans="1:26" x14ac:dyDescent="0.2">
      <c r="A1033" s="45">
        <v>199</v>
      </c>
      <c r="B1033" s="45">
        <v>2002</v>
      </c>
      <c r="C1033" s="17">
        <v>0</v>
      </c>
      <c r="D1033" s="14">
        <v>8.5554199999999997E-2</v>
      </c>
      <c r="E1033" s="14">
        <v>0.41699370000000002</v>
      </c>
      <c r="F1033" s="14">
        <v>7.9755400000000004E-2</v>
      </c>
      <c r="G1033" s="14">
        <v>3.6383809999999999</v>
      </c>
      <c r="H1033" s="14">
        <v>0.35093340000000001</v>
      </c>
      <c r="R1033" s="11">
        <f t="shared" si="32"/>
        <v>6.8688167065951111E-5</v>
      </c>
      <c r="Z1033" s="11">
        <f t="shared" si="33"/>
        <v>8.5991437000621084E-5</v>
      </c>
    </row>
    <row r="1034" spans="1:26" x14ac:dyDescent="0.2">
      <c r="A1034" s="45">
        <v>199</v>
      </c>
      <c r="B1034" s="45">
        <v>2003</v>
      </c>
      <c r="C1034" s="17">
        <v>0</v>
      </c>
      <c r="D1034" s="14">
        <v>0.11590590000000001</v>
      </c>
      <c r="E1034" s="14">
        <v>0.43712479999999998</v>
      </c>
      <c r="F1034" s="14">
        <v>6.4466200000000001E-2</v>
      </c>
      <c r="G1034" s="14">
        <v>3.6785320000000001</v>
      </c>
      <c r="H1034" s="14">
        <v>0.33804260000000003</v>
      </c>
      <c r="R1034" s="11">
        <f t="shared" si="32"/>
        <v>7.071224140019547E-5</v>
      </c>
      <c r="Z1034" s="11">
        <f t="shared" si="33"/>
        <v>8.7405953295252139E-5</v>
      </c>
    </row>
    <row r="1035" spans="1:26" x14ac:dyDescent="0.2">
      <c r="A1035" s="45">
        <v>199</v>
      </c>
      <c r="B1035" s="45">
        <v>2004</v>
      </c>
      <c r="C1035" s="17">
        <v>0</v>
      </c>
      <c r="D1035" s="14">
        <v>0.1121243</v>
      </c>
      <c r="E1035" s="14">
        <v>0.47516609999999998</v>
      </c>
      <c r="F1035" s="14">
        <v>6.4943600000000004E-2</v>
      </c>
      <c r="G1035" s="14">
        <v>4.2396209999999996</v>
      </c>
      <c r="H1035" s="14">
        <v>0.31183660000000002</v>
      </c>
      <c r="R1035" s="11">
        <f t="shared" si="32"/>
        <v>2.7258963178228434E-5</v>
      </c>
      <c r="Z1035" s="11">
        <f t="shared" si="33"/>
        <v>3.3337304309767953E-5</v>
      </c>
    </row>
    <row r="1036" spans="1:26" x14ac:dyDescent="0.2">
      <c r="A1036" s="45">
        <v>200</v>
      </c>
      <c r="B1036" s="45">
        <v>1999</v>
      </c>
      <c r="C1036" s="17">
        <v>0</v>
      </c>
      <c r="D1036" s="14">
        <v>5.0340700000000002E-2</v>
      </c>
      <c r="E1036" s="14">
        <v>0.1259998</v>
      </c>
      <c r="F1036" s="14">
        <v>6.0463500000000003E-2</v>
      </c>
      <c r="G1036" s="14">
        <v>0.50497729999999996</v>
      </c>
      <c r="H1036" s="14">
        <v>0.1149665</v>
      </c>
      <c r="R1036" s="11">
        <f t="shared" si="32"/>
        <v>1.7722083932815345E-2</v>
      </c>
      <c r="Z1036" s="11">
        <f t="shared" si="33"/>
        <v>2.3041196666247942E-2</v>
      </c>
    </row>
    <row r="1037" spans="1:26" x14ac:dyDescent="0.2">
      <c r="A1037" s="45">
        <v>200</v>
      </c>
      <c r="B1037" s="45">
        <v>2000</v>
      </c>
      <c r="C1037" s="17">
        <v>0</v>
      </c>
      <c r="D1037" s="14">
        <v>1.26135E-2</v>
      </c>
      <c r="E1037" s="14">
        <v>0.16345660000000001</v>
      </c>
      <c r="F1037" s="14">
        <v>5.0415399999999999E-2</v>
      </c>
      <c r="G1037" s="14">
        <v>0.6305885</v>
      </c>
      <c r="H1037" s="14">
        <v>0.146979</v>
      </c>
      <c r="R1037" s="11">
        <f t="shared" si="32"/>
        <v>1.4930242142733674E-2</v>
      </c>
      <c r="Z1037" s="11">
        <f t="shared" si="33"/>
        <v>1.9243700236918654E-2</v>
      </c>
    </row>
    <row r="1038" spans="1:26" x14ac:dyDescent="0.2">
      <c r="A1038" s="45">
        <v>200</v>
      </c>
      <c r="B1038" s="45">
        <v>2001</v>
      </c>
      <c r="C1038" s="17">
        <v>0</v>
      </c>
      <c r="D1038" s="14">
        <v>4.95098E-2</v>
      </c>
      <c r="E1038" s="14">
        <v>0.2015527</v>
      </c>
      <c r="F1038" s="14">
        <v>4.0932999999999997E-2</v>
      </c>
      <c r="G1038" s="14">
        <v>0.63790259999999999</v>
      </c>
      <c r="H1038" s="14">
        <v>0.12715000000000001</v>
      </c>
      <c r="R1038" s="11">
        <f t="shared" si="32"/>
        <v>1.5060251165850976E-2</v>
      </c>
      <c r="Z1038" s="11">
        <f t="shared" si="33"/>
        <v>1.9284775282165684E-2</v>
      </c>
    </row>
    <row r="1039" spans="1:26" x14ac:dyDescent="0.2">
      <c r="A1039" s="45">
        <v>200</v>
      </c>
      <c r="B1039" s="45">
        <v>2002</v>
      </c>
      <c r="C1039" s="17">
        <v>0</v>
      </c>
      <c r="D1039" s="14">
        <v>5.3337500000000003E-2</v>
      </c>
      <c r="E1039" s="14">
        <v>0.19049930000000001</v>
      </c>
      <c r="F1039" s="14">
        <v>1.6305099999999999E-2</v>
      </c>
      <c r="G1039" s="14">
        <v>0.49160710000000002</v>
      </c>
      <c r="H1039" s="14">
        <v>0.1149929</v>
      </c>
      <c r="R1039" s="11">
        <f t="shared" si="32"/>
        <v>2.3332158820276654E-2</v>
      </c>
      <c r="Z1039" s="11">
        <f t="shared" si="33"/>
        <v>2.9309291044694284E-2</v>
      </c>
    </row>
    <row r="1040" spans="1:26" x14ac:dyDescent="0.2">
      <c r="A1040" s="45">
        <v>200</v>
      </c>
      <c r="B1040" s="45">
        <v>2003</v>
      </c>
      <c r="C1040" s="17">
        <v>0</v>
      </c>
      <c r="D1040" s="14">
        <v>8.8950799999999997E-2</v>
      </c>
      <c r="E1040" s="14">
        <v>0.25340639999999998</v>
      </c>
      <c r="F1040" s="14">
        <v>5.2772699999999999E-2</v>
      </c>
      <c r="G1040" s="14">
        <v>0.61691439999999997</v>
      </c>
      <c r="H1040" s="14">
        <v>0.12959270000000001</v>
      </c>
      <c r="R1040" s="11">
        <f t="shared" si="32"/>
        <v>1.3161925838068271E-2</v>
      </c>
      <c r="Z1040" s="11">
        <f t="shared" si="33"/>
        <v>1.7062242751258613E-2</v>
      </c>
    </row>
    <row r="1041" spans="1:26" x14ac:dyDescent="0.2">
      <c r="A1041" s="45">
        <v>200</v>
      </c>
      <c r="B1041" s="45">
        <v>2004</v>
      </c>
      <c r="C1041" s="17">
        <v>0</v>
      </c>
      <c r="D1041" s="14">
        <v>-4.9346599999999997E-2</v>
      </c>
      <c r="E1041" s="14">
        <v>0.27651710000000002</v>
      </c>
      <c r="F1041" s="14">
        <v>3.8873600000000001E-2</v>
      </c>
      <c r="G1041" s="14">
        <v>0.89511510000000005</v>
      </c>
      <c r="H1041" s="14">
        <v>0.14640520000000001</v>
      </c>
      <c r="R1041" s="11">
        <f t="shared" si="32"/>
        <v>9.1669589518447274E-3</v>
      </c>
      <c r="Z1041" s="11">
        <f t="shared" si="33"/>
        <v>1.1702655747944886E-2</v>
      </c>
    </row>
    <row r="1042" spans="1:26" x14ac:dyDescent="0.2">
      <c r="A1042" s="45">
        <v>201</v>
      </c>
      <c r="B1042" s="45">
        <v>1997</v>
      </c>
      <c r="C1042" s="17">
        <v>0</v>
      </c>
      <c r="D1042" s="14">
        <v>-6.5863400000000002E-2</v>
      </c>
      <c r="E1042" s="14">
        <v>5.2422499999999997E-2</v>
      </c>
      <c r="F1042" s="14">
        <v>4.2057799999999999E-2</v>
      </c>
      <c r="G1042" s="14">
        <v>0.58086349999999998</v>
      </c>
      <c r="H1042" s="14">
        <v>0.19584109999999999</v>
      </c>
      <c r="R1042" s="11">
        <f t="shared" si="32"/>
        <v>2.0197675007743582E-2</v>
      </c>
      <c r="Z1042" s="11">
        <f t="shared" si="33"/>
        <v>2.5751801354592874E-2</v>
      </c>
    </row>
    <row r="1043" spans="1:26" x14ac:dyDescent="0.2">
      <c r="A1043" s="45">
        <v>201</v>
      </c>
      <c r="B1043" s="45">
        <v>1998</v>
      </c>
      <c r="C1043" s="17">
        <v>0</v>
      </c>
      <c r="D1043" s="14">
        <v>-5.5973000000000002E-2</v>
      </c>
      <c r="E1043" s="14">
        <v>6.7023899999999997E-2</v>
      </c>
      <c r="F1043" s="14">
        <v>3.8719400000000001E-2</v>
      </c>
      <c r="G1043" s="14">
        <v>0.579098</v>
      </c>
      <c r="H1043" s="14">
        <v>0.155776</v>
      </c>
      <c r="R1043" s="11">
        <f t="shared" si="32"/>
        <v>2.0362322505047666E-2</v>
      </c>
      <c r="Z1043" s="11">
        <f t="shared" si="33"/>
        <v>2.5905025523772971E-2</v>
      </c>
    </row>
    <row r="1044" spans="1:26" x14ac:dyDescent="0.2">
      <c r="A1044" s="45">
        <v>201</v>
      </c>
      <c r="B1044" s="45">
        <v>1999</v>
      </c>
      <c r="C1044" s="17">
        <v>0</v>
      </c>
      <c r="D1044" s="14">
        <v>-1.5865600000000001E-2</v>
      </c>
      <c r="E1044" s="14">
        <v>8.7427400000000002E-2</v>
      </c>
      <c r="F1044" s="14">
        <v>1.5342400000000001E-2</v>
      </c>
      <c r="G1044" s="14">
        <v>0.67632139999999996</v>
      </c>
      <c r="H1044" s="14">
        <v>0.16871949999999999</v>
      </c>
      <c r="R1044" s="11">
        <f t="shared" si="32"/>
        <v>2.0410097301649308E-2</v>
      </c>
      <c r="Z1044" s="11">
        <f t="shared" si="33"/>
        <v>2.5449424335461553E-2</v>
      </c>
    </row>
    <row r="1045" spans="1:26" x14ac:dyDescent="0.2">
      <c r="A1045" s="45">
        <v>201</v>
      </c>
      <c r="B1045" s="45">
        <v>2000</v>
      </c>
      <c r="C1045" s="17">
        <v>0</v>
      </c>
      <c r="D1045" s="14">
        <v>2.24846E-2</v>
      </c>
      <c r="E1045" s="14">
        <v>7.6025800000000004E-2</v>
      </c>
      <c r="F1045" s="14">
        <v>5.2451400000000002E-2</v>
      </c>
      <c r="G1045" s="14">
        <v>0.7430599</v>
      </c>
      <c r="H1045" s="14">
        <v>0.63878100000000004</v>
      </c>
      <c r="R1045" s="11">
        <f t="shared" si="32"/>
        <v>1.3957020541670204E-2</v>
      </c>
      <c r="Z1045" s="11">
        <f t="shared" si="33"/>
        <v>1.7927336148170724E-2</v>
      </c>
    </row>
    <row r="1046" spans="1:26" x14ac:dyDescent="0.2">
      <c r="A1046" s="45">
        <v>201</v>
      </c>
      <c r="B1046" s="45">
        <v>2001</v>
      </c>
      <c r="C1046" s="17">
        <v>0</v>
      </c>
      <c r="D1046" s="14">
        <v>4.6252000000000003E-3</v>
      </c>
      <c r="E1046" s="14">
        <v>0.13704479999999999</v>
      </c>
      <c r="F1046" s="14">
        <v>3.5474100000000001E-2</v>
      </c>
      <c r="G1046" s="14">
        <v>0.6437254</v>
      </c>
      <c r="H1046" s="14">
        <v>8.8809299999999994E-2</v>
      </c>
      <c r="R1046" s="11">
        <f t="shared" si="32"/>
        <v>1.7084712745126285E-2</v>
      </c>
      <c r="Z1046" s="11">
        <f t="shared" si="33"/>
        <v>2.1719255894705268E-2</v>
      </c>
    </row>
    <row r="1047" spans="1:26" x14ac:dyDescent="0.2">
      <c r="A1047" s="45">
        <v>201</v>
      </c>
      <c r="B1047" s="45">
        <v>2002</v>
      </c>
      <c r="C1047" s="17">
        <v>0</v>
      </c>
      <c r="D1047" s="14">
        <v>5.1460199999999998E-2</v>
      </c>
      <c r="E1047" s="14">
        <v>8.6972900000000006E-2</v>
      </c>
      <c r="F1047" s="14">
        <v>-1.62005E-2</v>
      </c>
      <c r="G1047" s="14">
        <v>0.14664240000000001</v>
      </c>
      <c r="H1047" s="14">
        <v>3.5858300000000003E-2</v>
      </c>
      <c r="R1047" s="11">
        <f t="shared" ref="R1047:R1110" si="34">1/(1+EXP(-(K$2+$M$2*E1047+$N$2*F1047+$O$2*G1047)))</f>
        <v>5.8743426787728384E-2</v>
      </c>
      <c r="Z1047" s="11">
        <f t="shared" si="33"/>
        <v>7.1596347918758824E-2</v>
      </c>
    </row>
    <row r="1048" spans="1:26" x14ac:dyDescent="0.2">
      <c r="A1048" s="45">
        <v>201</v>
      </c>
      <c r="B1048" s="45">
        <v>2003</v>
      </c>
      <c r="C1048" s="17">
        <v>0</v>
      </c>
      <c r="D1048" s="14">
        <v>6.9845299999999999E-2</v>
      </c>
      <c r="E1048" s="14">
        <v>-9.3264000000000003E-3</v>
      </c>
      <c r="F1048" s="14">
        <v>3.4992299999999997E-2</v>
      </c>
      <c r="G1048" s="14">
        <v>0.19157199999999999</v>
      </c>
      <c r="H1048" s="14">
        <v>7.2883900000000001E-2</v>
      </c>
      <c r="R1048" s="11">
        <f t="shared" si="34"/>
        <v>4.2488302605548735E-2</v>
      </c>
      <c r="Z1048" s="11">
        <f t="shared" si="33"/>
        <v>5.386916144537305E-2</v>
      </c>
    </row>
    <row r="1049" spans="1:26" x14ac:dyDescent="0.2">
      <c r="A1049" s="45">
        <v>201</v>
      </c>
      <c r="B1049" s="45">
        <v>2004</v>
      </c>
      <c r="C1049" s="17">
        <v>0</v>
      </c>
      <c r="D1049" s="14">
        <v>5.5765500000000003E-2</v>
      </c>
      <c r="E1049" s="14">
        <v>-7.0347900000000005E-2</v>
      </c>
      <c r="F1049" s="14">
        <v>3.1214700000000001E-2</v>
      </c>
      <c r="G1049" s="14">
        <v>0.27053539999999998</v>
      </c>
      <c r="H1049" s="14">
        <v>7.1913400000000002E-2</v>
      </c>
      <c r="R1049" s="11">
        <f t="shared" si="34"/>
        <v>4.2208803595502192E-2</v>
      </c>
      <c r="Z1049" s="11">
        <f t="shared" si="33"/>
        <v>5.3169180855745839E-2</v>
      </c>
    </row>
    <row r="1050" spans="1:26" x14ac:dyDescent="0.2">
      <c r="A1050" s="45">
        <v>202</v>
      </c>
      <c r="B1050" s="45">
        <v>1999</v>
      </c>
      <c r="C1050" s="17">
        <v>0</v>
      </c>
      <c r="D1050" s="14">
        <v>6.8308400000000005E-2</v>
      </c>
      <c r="E1050" s="14">
        <v>0.56987860000000001</v>
      </c>
      <c r="F1050" s="14">
        <v>7.5943399999999994E-2</v>
      </c>
      <c r="G1050" s="14">
        <v>3.715125</v>
      </c>
      <c r="H1050" s="14">
        <v>0.3046913</v>
      </c>
      <c r="R1050" s="11">
        <f t="shared" si="34"/>
        <v>5.0173714716344053E-5</v>
      </c>
      <c r="Z1050" s="11">
        <f t="shared" si="33"/>
        <v>6.2840032095758846E-5</v>
      </c>
    </row>
    <row r="1051" spans="1:26" x14ac:dyDescent="0.2">
      <c r="A1051" s="45">
        <v>202</v>
      </c>
      <c r="B1051" s="45">
        <v>2000</v>
      </c>
      <c r="C1051" s="17">
        <v>0</v>
      </c>
      <c r="D1051" s="14">
        <v>4.8404799999999998E-2</v>
      </c>
      <c r="E1051" s="14">
        <v>0.56603230000000004</v>
      </c>
      <c r="F1051" s="14">
        <v>8.5879899999999995E-2</v>
      </c>
      <c r="G1051" s="14">
        <v>3.3091400000000002</v>
      </c>
      <c r="H1051" s="14">
        <v>0.31679390000000002</v>
      </c>
      <c r="R1051" s="11">
        <f t="shared" si="34"/>
        <v>8.8991223115829715E-5</v>
      </c>
      <c r="Z1051" s="11">
        <f t="shared" si="33"/>
        <v>1.1336135080929845E-4</v>
      </c>
    </row>
    <row r="1052" spans="1:26" x14ac:dyDescent="0.2">
      <c r="A1052" s="45">
        <v>202</v>
      </c>
      <c r="B1052" s="45">
        <v>2001</v>
      </c>
      <c r="C1052" s="17">
        <v>0</v>
      </c>
      <c r="D1052" s="14">
        <v>3.7685299999999998E-2</v>
      </c>
      <c r="E1052" s="14">
        <v>0.56939289999999998</v>
      </c>
      <c r="F1052" s="14">
        <v>6.7569599999999994E-2</v>
      </c>
      <c r="G1052" s="14">
        <v>2.2878050000000001</v>
      </c>
      <c r="H1052" s="14">
        <v>0.2680903</v>
      </c>
      <c r="R1052" s="11">
        <f t="shared" si="34"/>
        <v>5.2179623107508186E-4</v>
      </c>
      <c r="Z1052" s="11">
        <f t="shared" si="33"/>
        <v>6.6967580370671815E-4</v>
      </c>
    </row>
    <row r="1053" spans="1:26" x14ac:dyDescent="0.2">
      <c r="A1053" s="45">
        <v>202</v>
      </c>
      <c r="B1053" s="45">
        <v>2002</v>
      </c>
      <c r="C1053" s="17">
        <v>0</v>
      </c>
      <c r="D1053" s="14">
        <v>8.5465200000000005E-2</v>
      </c>
      <c r="E1053" s="14">
        <v>0.57497600000000004</v>
      </c>
      <c r="F1053" s="14">
        <v>6.1185099999999999E-2</v>
      </c>
      <c r="G1053" s="14">
        <v>2.133264</v>
      </c>
      <c r="H1053" s="14">
        <v>0.25945570000000001</v>
      </c>
      <c r="R1053" s="11">
        <f t="shared" si="34"/>
        <v>6.9668254792943913E-4</v>
      </c>
      <c r="Z1053" s="11">
        <f t="shared" si="33"/>
        <v>8.9261869513012086E-4</v>
      </c>
    </row>
    <row r="1054" spans="1:26" x14ac:dyDescent="0.2">
      <c r="A1054" s="45">
        <v>202</v>
      </c>
      <c r="B1054" s="45">
        <v>2003</v>
      </c>
      <c r="C1054" s="17">
        <v>0</v>
      </c>
      <c r="D1054" s="14">
        <v>0.1660693</v>
      </c>
      <c r="E1054" s="14">
        <v>0.58616029999999997</v>
      </c>
      <c r="F1054" s="14">
        <v>7.13337E-2</v>
      </c>
      <c r="G1054" s="14">
        <v>2.5836480000000002</v>
      </c>
      <c r="H1054" s="14">
        <v>0.27262439999999999</v>
      </c>
      <c r="R1054" s="11">
        <f t="shared" si="34"/>
        <v>3.0844621701002636E-4</v>
      </c>
      <c r="Z1054" s="11">
        <f t="shared" si="33"/>
        <v>3.9475723744248877E-4</v>
      </c>
    </row>
    <row r="1055" spans="1:26" x14ac:dyDescent="0.2">
      <c r="A1055" s="45">
        <v>202</v>
      </c>
      <c r="B1055" s="45">
        <v>2004</v>
      </c>
      <c r="C1055" s="17">
        <v>0</v>
      </c>
      <c r="D1055" s="14">
        <v>0.1500679</v>
      </c>
      <c r="E1055" s="14">
        <v>0.61105330000000002</v>
      </c>
      <c r="F1055" s="14">
        <v>7.0125400000000004E-2</v>
      </c>
      <c r="G1055" s="14">
        <v>2.8750740000000001</v>
      </c>
      <c r="H1055" s="14">
        <v>0.27001979999999998</v>
      </c>
      <c r="R1055" s="11">
        <f t="shared" si="34"/>
        <v>1.8880650395801442E-4</v>
      </c>
      <c r="Z1055" s="11">
        <f t="shared" si="33"/>
        <v>2.4006902336813079E-4</v>
      </c>
    </row>
    <row r="1056" spans="1:26" x14ac:dyDescent="0.2">
      <c r="A1056" s="45">
        <v>203</v>
      </c>
      <c r="B1056" s="45">
        <v>1999</v>
      </c>
      <c r="C1056" s="17">
        <v>0</v>
      </c>
      <c r="D1056" s="14">
        <v>7.8260300000000005E-2</v>
      </c>
      <c r="E1056" s="14">
        <v>9.3273999999999996E-2</v>
      </c>
      <c r="F1056" s="14">
        <v>3.8852600000000001E-2</v>
      </c>
      <c r="G1056" s="14">
        <v>0.80952970000000002</v>
      </c>
      <c r="H1056" s="14">
        <v>0.103505</v>
      </c>
      <c r="R1056" s="11">
        <f t="shared" si="34"/>
        <v>1.3654402316721288E-2</v>
      </c>
      <c r="Z1056" s="11">
        <f t="shared" si="33"/>
        <v>1.7334235365310795E-2</v>
      </c>
    </row>
    <row r="1057" spans="1:26" x14ac:dyDescent="0.2">
      <c r="A1057" s="45">
        <v>203</v>
      </c>
      <c r="B1057" s="45">
        <v>2000</v>
      </c>
      <c r="C1057" s="17">
        <v>0</v>
      </c>
      <c r="D1057" s="14">
        <v>-7.3536000000000004E-2</v>
      </c>
      <c r="E1057" s="14">
        <v>0.1029548</v>
      </c>
      <c r="F1057" s="14">
        <v>4.6163700000000002E-2</v>
      </c>
      <c r="G1057" s="14">
        <v>0.82499750000000005</v>
      </c>
      <c r="H1057" s="14">
        <v>0.10317900000000001</v>
      </c>
      <c r="R1057" s="11">
        <f t="shared" si="34"/>
        <v>1.2405255558965005E-2</v>
      </c>
      <c r="Z1057" s="11">
        <f t="shared" si="33"/>
        <v>1.5846879643442047E-2</v>
      </c>
    </row>
    <row r="1058" spans="1:26" x14ac:dyDescent="0.2">
      <c r="A1058" s="45">
        <v>203</v>
      </c>
      <c r="B1058" s="45">
        <v>2001</v>
      </c>
      <c r="C1058" s="17">
        <v>0</v>
      </c>
      <c r="D1058" s="14">
        <v>-5.3948999999999997E-2</v>
      </c>
      <c r="E1058" s="14">
        <v>7.2012099999999996E-2</v>
      </c>
      <c r="F1058" s="14">
        <v>4.0275400000000003E-2</v>
      </c>
      <c r="G1058" s="14">
        <v>0.69156960000000001</v>
      </c>
      <c r="H1058" s="14">
        <v>9.9577200000000005E-2</v>
      </c>
      <c r="R1058" s="11">
        <f t="shared" si="34"/>
        <v>1.6750577278132488E-2</v>
      </c>
      <c r="Z1058" s="11">
        <f t="shared" si="33"/>
        <v>2.1310057479524486E-2</v>
      </c>
    </row>
    <row r="1059" spans="1:26" x14ac:dyDescent="0.2">
      <c r="A1059" s="45">
        <v>203</v>
      </c>
      <c r="B1059" s="45">
        <v>2002</v>
      </c>
      <c r="C1059" s="17">
        <v>0</v>
      </c>
      <c r="D1059" s="14">
        <v>3.05963E-2</v>
      </c>
      <c r="E1059" s="14">
        <v>8.5508299999999995E-2</v>
      </c>
      <c r="F1059" s="14">
        <v>4.6567900000000002E-2</v>
      </c>
      <c r="G1059" s="14">
        <v>0.67861039999999995</v>
      </c>
      <c r="H1059" s="14">
        <v>9.1830200000000001E-2</v>
      </c>
      <c r="R1059" s="11">
        <f t="shared" si="34"/>
        <v>1.5957561518094462E-2</v>
      </c>
      <c r="Z1059" s="11">
        <f t="shared" si="33"/>
        <v>2.0423463964467994E-2</v>
      </c>
    </row>
    <row r="1060" spans="1:26" x14ac:dyDescent="0.2">
      <c r="A1060" s="45">
        <v>203</v>
      </c>
      <c r="B1060" s="45">
        <v>2003</v>
      </c>
      <c r="C1060" s="17">
        <v>0</v>
      </c>
      <c r="D1060" s="14">
        <v>7.1943300000000002E-2</v>
      </c>
      <c r="E1060" s="14">
        <v>7.6339400000000002E-2</v>
      </c>
      <c r="F1060" s="14">
        <v>3.3698199999999998E-2</v>
      </c>
      <c r="G1060" s="14">
        <v>0.8338392</v>
      </c>
      <c r="H1060" s="14">
        <v>0.108872</v>
      </c>
      <c r="R1060" s="11">
        <f t="shared" si="34"/>
        <v>1.4024431191675334E-2</v>
      </c>
      <c r="Z1060" s="11">
        <f t="shared" si="33"/>
        <v>1.7709040542477676E-2</v>
      </c>
    </row>
    <row r="1061" spans="1:26" x14ac:dyDescent="0.2">
      <c r="A1061" s="45">
        <v>203</v>
      </c>
      <c r="B1061" s="45">
        <v>2004</v>
      </c>
      <c r="C1061" s="17">
        <v>0</v>
      </c>
      <c r="D1061" s="14">
        <v>6.9376599999999997E-2</v>
      </c>
      <c r="E1061" s="14">
        <v>5.2491000000000003E-2</v>
      </c>
      <c r="F1061" s="14">
        <v>3.4548099999999998E-2</v>
      </c>
      <c r="G1061" s="14">
        <v>0.9365253</v>
      </c>
      <c r="H1061" s="14">
        <v>9.0876700000000005E-2</v>
      </c>
      <c r="R1061" s="11">
        <f t="shared" si="34"/>
        <v>1.2265869543510227E-2</v>
      </c>
      <c r="Z1061" s="11">
        <f t="shared" si="33"/>
        <v>1.5459419122473134E-2</v>
      </c>
    </row>
    <row r="1062" spans="1:26" x14ac:dyDescent="0.2">
      <c r="A1062" s="45">
        <v>204</v>
      </c>
      <c r="B1062" s="45">
        <v>1999</v>
      </c>
      <c r="C1062" s="17">
        <v>0</v>
      </c>
      <c r="D1062" s="14">
        <v>-0.1094929</v>
      </c>
      <c r="E1062" s="14">
        <v>0.17213439999999999</v>
      </c>
      <c r="F1062" s="14">
        <v>1.7431499999999999E-2</v>
      </c>
      <c r="G1062" s="14">
        <v>0.75814389999999998</v>
      </c>
      <c r="H1062" s="14">
        <v>0.1103779</v>
      </c>
      <c r="R1062" s="11">
        <f t="shared" si="34"/>
        <v>1.5652124656419734E-2</v>
      </c>
      <c r="Z1062" s="11">
        <f t="shared" si="33"/>
        <v>1.9594109320159099E-2</v>
      </c>
    </row>
    <row r="1063" spans="1:26" x14ac:dyDescent="0.2">
      <c r="A1063" s="45">
        <v>204</v>
      </c>
      <c r="B1063" s="45">
        <v>2000</v>
      </c>
      <c r="C1063" s="17">
        <v>0</v>
      </c>
      <c r="D1063" s="14">
        <v>-0.10903060000000001</v>
      </c>
      <c r="E1063" s="14">
        <v>0.18514439999999999</v>
      </c>
      <c r="F1063" s="14">
        <v>3.8938100000000003E-2</v>
      </c>
      <c r="G1063" s="14">
        <v>1.159162</v>
      </c>
      <c r="H1063" s="14">
        <v>0.1222324</v>
      </c>
      <c r="R1063" s="11">
        <f t="shared" si="34"/>
        <v>6.8858146422744963E-3</v>
      </c>
      <c r="Z1063" s="11">
        <f t="shared" si="33"/>
        <v>8.7189155151310843E-3</v>
      </c>
    </row>
    <row r="1064" spans="1:26" x14ac:dyDescent="0.2">
      <c r="A1064" s="45">
        <v>204</v>
      </c>
      <c r="B1064" s="45">
        <v>2001</v>
      </c>
      <c r="C1064" s="17">
        <v>0</v>
      </c>
      <c r="D1064" s="14">
        <v>3.9556000000000001E-2</v>
      </c>
      <c r="E1064" s="14">
        <v>0.22764570000000001</v>
      </c>
      <c r="F1064" s="14">
        <v>2.3852100000000001E-2</v>
      </c>
      <c r="G1064" s="14">
        <v>0.96614889999999998</v>
      </c>
      <c r="H1064" s="14">
        <v>0.129968</v>
      </c>
      <c r="R1064" s="11">
        <f t="shared" si="34"/>
        <v>9.9034272822834113E-3</v>
      </c>
      <c r="Z1064" s="11">
        <f t="shared" si="33"/>
        <v>1.2447603369434805E-2</v>
      </c>
    </row>
    <row r="1065" spans="1:26" x14ac:dyDescent="0.2">
      <c r="A1065" s="45">
        <v>204</v>
      </c>
      <c r="B1065" s="45">
        <v>2002</v>
      </c>
      <c r="C1065" s="17">
        <v>0</v>
      </c>
      <c r="D1065" s="14">
        <v>-7.4648599999999996E-2</v>
      </c>
      <c r="E1065" s="14">
        <v>0.20738809999999999</v>
      </c>
      <c r="F1065" s="14">
        <v>5.89265E-2</v>
      </c>
      <c r="G1065" s="14">
        <v>1.095391</v>
      </c>
      <c r="H1065" s="14">
        <v>0.13453300000000001</v>
      </c>
      <c r="R1065" s="11">
        <f t="shared" si="34"/>
        <v>6.29310121430469E-3</v>
      </c>
      <c r="Z1065" s="11">
        <f t="shared" si="33"/>
        <v>8.1176954353134271E-3</v>
      </c>
    </row>
    <row r="1066" spans="1:26" x14ac:dyDescent="0.2">
      <c r="A1066" s="45">
        <v>204</v>
      </c>
      <c r="B1066" s="45">
        <v>2003</v>
      </c>
      <c r="C1066" s="17">
        <v>0</v>
      </c>
      <c r="D1066" s="14">
        <v>1.2558E-2</v>
      </c>
      <c r="E1066" s="14">
        <v>0.20882909999999999</v>
      </c>
      <c r="F1066" s="14">
        <v>5.4982700000000002E-2</v>
      </c>
      <c r="G1066" s="14">
        <v>1.3980159999999999</v>
      </c>
      <c r="H1066" s="14">
        <v>0.14652019999999999</v>
      </c>
      <c r="R1066" s="11">
        <f t="shared" si="34"/>
        <v>4.0105898287487278E-3</v>
      </c>
      <c r="Z1066" s="11">
        <f t="shared" si="33"/>
        <v>5.1263813510973198E-3</v>
      </c>
    </row>
    <row r="1067" spans="1:26" x14ac:dyDescent="0.2">
      <c r="A1067" s="45">
        <v>204</v>
      </c>
      <c r="B1067" s="45">
        <v>2004</v>
      </c>
      <c r="C1067" s="17">
        <v>0</v>
      </c>
      <c r="D1067" s="14">
        <v>-4.59853E-2</v>
      </c>
      <c r="E1067" s="14">
        <v>0.21812010000000001</v>
      </c>
      <c r="F1067" s="14">
        <v>6.0867999999999998E-2</v>
      </c>
      <c r="G1067" s="14">
        <v>1.590201</v>
      </c>
      <c r="H1067" s="14">
        <v>0.14504980000000001</v>
      </c>
      <c r="R1067" s="11">
        <f t="shared" si="34"/>
        <v>2.7824159746822081E-3</v>
      </c>
      <c r="Z1067" s="11">
        <f t="shared" si="33"/>
        <v>3.5609652976641309E-3</v>
      </c>
    </row>
    <row r="1068" spans="1:26" x14ac:dyDescent="0.2">
      <c r="A1068" s="45">
        <v>205</v>
      </c>
      <c r="B1068" s="45">
        <v>1999</v>
      </c>
      <c r="C1068" s="17">
        <v>0</v>
      </c>
      <c r="D1068" s="14">
        <v>1.50993E-2</v>
      </c>
      <c r="E1068" s="14">
        <v>0.35538320000000001</v>
      </c>
      <c r="F1068" s="14">
        <v>5.8243799999999998E-2</v>
      </c>
      <c r="G1068" s="14">
        <v>1.144002</v>
      </c>
      <c r="H1068" s="14">
        <v>0.40637790000000001</v>
      </c>
      <c r="R1068" s="11">
        <f t="shared" si="34"/>
        <v>4.7295639440979569E-3</v>
      </c>
      <c r="Z1068" s="11">
        <f t="shared" si="33"/>
        <v>6.1245372823764714E-3</v>
      </c>
    </row>
    <row r="1069" spans="1:26" x14ac:dyDescent="0.2">
      <c r="A1069" s="45">
        <v>205</v>
      </c>
      <c r="B1069" s="45">
        <v>2000</v>
      </c>
      <c r="C1069" s="17">
        <v>0</v>
      </c>
      <c r="D1069" s="14">
        <v>1.2524999999999999E-3</v>
      </c>
      <c r="E1069" s="14">
        <v>0.37719340000000001</v>
      </c>
      <c r="F1069" s="14">
        <v>4.1415199999999999E-2</v>
      </c>
      <c r="G1069" s="14">
        <v>1.1708419999999999</v>
      </c>
      <c r="H1069" s="14">
        <v>0.50726760000000004</v>
      </c>
      <c r="R1069" s="11">
        <f t="shared" si="34"/>
        <v>5.0211970910224992E-3</v>
      </c>
      <c r="Z1069" s="11">
        <f t="shared" si="33"/>
        <v>6.4141235085787137E-3</v>
      </c>
    </row>
    <row r="1070" spans="1:26" x14ac:dyDescent="0.2">
      <c r="A1070" s="45">
        <v>205</v>
      </c>
      <c r="B1070" s="45">
        <v>2001</v>
      </c>
      <c r="C1070" s="17">
        <v>0</v>
      </c>
      <c r="D1070" s="14">
        <v>2.2070200000000002E-2</v>
      </c>
      <c r="E1070" s="14">
        <v>0.43967079999999997</v>
      </c>
      <c r="F1070" s="14">
        <v>7.0268200000000003E-2</v>
      </c>
      <c r="G1070" s="14">
        <v>1.810163</v>
      </c>
      <c r="H1070" s="14">
        <v>0.32066220000000001</v>
      </c>
      <c r="R1070" s="11">
        <f t="shared" si="34"/>
        <v>1.3190657781518489E-3</v>
      </c>
      <c r="Z1070" s="11">
        <f t="shared" si="33"/>
        <v>1.7065676736090489E-3</v>
      </c>
    </row>
    <row r="1071" spans="1:26" x14ac:dyDescent="0.2">
      <c r="A1071" s="45">
        <v>205</v>
      </c>
      <c r="B1071" s="45">
        <v>2002</v>
      </c>
      <c r="C1071" s="17">
        <v>0</v>
      </c>
      <c r="D1071" s="14">
        <v>8.0137700000000006E-2</v>
      </c>
      <c r="E1071" s="14">
        <v>0.47514129999999999</v>
      </c>
      <c r="F1071" s="14">
        <v>5.0696499999999999E-2</v>
      </c>
      <c r="G1071" s="14">
        <v>1.492256</v>
      </c>
      <c r="H1071" s="14">
        <v>0.32497239999999999</v>
      </c>
      <c r="R1071" s="11">
        <f t="shared" si="34"/>
        <v>2.4288235592500565E-3</v>
      </c>
      <c r="Z1071" s="11">
        <f t="shared" si="33"/>
        <v>3.1169006949256081E-3</v>
      </c>
    </row>
    <row r="1072" spans="1:26" x14ac:dyDescent="0.2">
      <c r="A1072" s="45">
        <v>205</v>
      </c>
      <c r="B1072" s="45">
        <v>2003</v>
      </c>
      <c r="C1072" s="17">
        <v>0</v>
      </c>
      <c r="D1072" s="14">
        <v>0.1763045</v>
      </c>
      <c r="E1072" s="14">
        <v>0.58082160000000005</v>
      </c>
      <c r="F1072" s="14">
        <v>4.9362999999999997E-2</v>
      </c>
      <c r="G1072" s="14">
        <v>2.2968060000000001</v>
      </c>
      <c r="H1072" s="14">
        <v>0.37754179999999998</v>
      </c>
      <c r="R1072" s="11">
        <f t="shared" si="34"/>
        <v>5.8516152400341494E-4</v>
      </c>
      <c r="Z1072" s="11">
        <f t="shared" si="33"/>
        <v>7.4001251426155496E-4</v>
      </c>
    </row>
    <row r="1073" spans="1:26" x14ac:dyDescent="0.2">
      <c r="A1073" s="45">
        <v>205</v>
      </c>
      <c r="B1073" s="45">
        <v>2004</v>
      </c>
      <c r="C1073" s="17">
        <v>0</v>
      </c>
      <c r="D1073" s="14">
        <v>0.25201050000000003</v>
      </c>
      <c r="E1073" s="14">
        <v>0.58411089999999999</v>
      </c>
      <c r="F1073" s="14">
        <v>4.8565400000000002E-2</v>
      </c>
      <c r="G1073" s="14">
        <v>2.1564000000000001</v>
      </c>
      <c r="H1073" s="14">
        <v>0.3595682</v>
      </c>
      <c r="R1073" s="11">
        <f t="shared" si="34"/>
        <v>7.3295737844480242E-4</v>
      </c>
      <c r="Z1073" s="11">
        <f t="shared" si="33"/>
        <v>9.2924842088121706E-4</v>
      </c>
    </row>
    <row r="1074" spans="1:26" x14ac:dyDescent="0.2">
      <c r="A1074" s="45">
        <v>206</v>
      </c>
      <c r="B1074" s="45">
        <v>1997</v>
      </c>
      <c r="C1074" s="17">
        <v>0</v>
      </c>
      <c r="D1074" s="14">
        <v>-0.1277316</v>
      </c>
      <c r="E1074" s="14">
        <v>9.1410400000000003E-2</v>
      </c>
      <c r="F1074" s="14">
        <v>-9.3332999999999992E-3</v>
      </c>
      <c r="G1074" s="14">
        <v>0.99900009999999995</v>
      </c>
      <c r="H1074" s="14">
        <v>0.12677140000000001</v>
      </c>
      <c r="R1074" s="11">
        <f t="shared" si="34"/>
        <v>1.4865542981886963E-2</v>
      </c>
      <c r="Z1074" s="11">
        <f t="shared" si="33"/>
        <v>1.8072835975176754E-2</v>
      </c>
    </row>
    <row r="1075" spans="1:26" x14ac:dyDescent="0.2">
      <c r="A1075" s="45">
        <v>206</v>
      </c>
      <c r="B1075" s="45">
        <v>1998</v>
      </c>
      <c r="C1075" s="17">
        <v>0</v>
      </c>
      <c r="D1075" s="14">
        <v>-6.2754599999999994E-2</v>
      </c>
      <c r="E1075" s="14">
        <v>0.1189688</v>
      </c>
      <c r="F1075" s="14">
        <v>2.59876E-2</v>
      </c>
      <c r="G1075" s="14">
        <v>1.1486940000000001</v>
      </c>
      <c r="H1075" s="14">
        <v>0.13879820000000001</v>
      </c>
      <c r="R1075" s="11">
        <f t="shared" si="34"/>
        <v>8.5360184196779255E-3</v>
      </c>
      <c r="Z1075" s="11">
        <f t="shared" si="33"/>
        <v>1.0669257124635725E-2</v>
      </c>
    </row>
    <row r="1076" spans="1:26" x14ac:dyDescent="0.2">
      <c r="A1076" s="45">
        <v>206</v>
      </c>
      <c r="B1076" s="45">
        <v>1999</v>
      </c>
      <c r="C1076" s="17">
        <v>0</v>
      </c>
      <c r="D1076" s="14">
        <v>-9.3834000000000001E-2</v>
      </c>
      <c r="E1076" s="14">
        <v>0.1026637</v>
      </c>
      <c r="F1076" s="14">
        <v>4.6211999999999998E-3</v>
      </c>
      <c r="G1076" s="14">
        <v>0.88951550000000001</v>
      </c>
      <c r="H1076" s="14">
        <v>0.12217020000000001</v>
      </c>
      <c r="R1076" s="11">
        <f t="shared" si="34"/>
        <v>1.556192861010015E-2</v>
      </c>
      <c r="Z1076" s="11">
        <f t="shared" si="33"/>
        <v>1.9182588870307854E-2</v>
      </c>
    </row>
    <row r="1077" spans="1:26" x14ac:dyDescent="0.2">
      <c r="A1077" s="45">
        <v>206</v>
      </c>
      <c r="B1077" s="45">
        <v>2000</v>
      </c>
      <c r="C1077" s="17">
        <v>0</v>
      </c>
      <c r="D1077" s="14">
        <v>-0.1060157</v>
      </c>
      <c r="E1077" s="14">
        <v>9.4770099999999996E-2</v>
      </c>
      <c r="F1077" s="14">
        <v>4.6242600000000002E-2</v>
      </c>
      <c r="G1077" s="14">
        <v>0.72067550000000002</v>
      </c>
      <c r="H1077" s="14">
        <v>0.13242999999999999</v>
      </c>
      <c r="R1077" s="11">
        <f t="shared" si="34"/>
        <v>1.4779335503993666E-2</v>
      </c>
      <c r="Z1077" s="11">
        <f t="shared" si="33"/>
        <v>1.8905592577668748E-2</v>
      </c>
    </row>
    <row r="1078" spans="1:26" x14ac:dyDescent="0.2">
      <c r="A1078" s="45">
        <v>206</v>
      </c>
      <c r="B1078" s="45">
        <v>2001</v>
      </c>
      <c r="C1078" s="17">
        <v>0</v>
      </c>
      <c r="D1078" s="14">
        <v>-1.29798E-2</v>
      </c>
      <c r="E1078" s="14">
        <v>8.8586300000000007E-2</v>
      </c>
      <c r="F1078" s="14">
        <v>3.0504900000000001E-2</v>
      </c>
      <c r="G1078" s="14">
        <v>0.63649080000000002</v>
      </c>
      <c r="H1078" s="14">
        <v>0.11313139999999999</v>
      </c>
      <c r="R1078" s="11">
        <f t="shared" si="34"/>
        <v>1.9253875586759395E-2</v>
      </c>
      <c r="Z1078" s="11">
        <f t="shared" si="33"/>
        <v>2.4329513363013304E-2</v>
      </c>
    </row>
    <row r="1079" spans="1:26" x14ac:dyDescent="0.2">
      <c r="A1079" s="45">
        <v>206</v>
      </c>
      <c r="B1079" s="45">
        <v>2002</v>
      </c>
      <c r="C1079" s="17">
        <v>0</v>
      </c>
      <c r="D1079" s="14">
        <v>-3.1082499999999999E-2</v>
      </c>
      <c r="E1079" s="14">
        <v>5.4965699999999999E-2</v>
      </c>
      <c r="F1079" s="14">
        <v>2.3554599999999998E-2</v>
      </c>
      <c r="G1079" s="14">
        <v>0.67017090000000001</v>
      </c>
      <c r="H1079" s="14">
        <v>8.6688399999999999E-2</v>
      </c>
      <c r="R1079" s="11">
        <f t="shared" si="34"/>
        <v>2.0237105627448952E-2</v>
      </c>
      <c r="Z1079" s="11">
        <f t="shared" si="33"/>
        <v>2.5376752576630569E-2</v>
      </c>
    </row>
    <row r="1080" spans="1:26" x14ac:dyDescent="0.2">
      <c r="A1080" s="45">
        <v>206</v>
      </c>
      <c r="B1080" s="45">
        <v>2003</v>
      </c>
      <c r="C1080" s="17">
        <v>0</v>
      </c>
      <c r="D1080" s="14">
        <v>5.1236400000000001E-2</v>
      </c>
      <c r="E1080" s="14">
        <v>9.1510099999999997E-2</v>
      </c>
      <c r="F1080" s="14">
        <v>4.7467799999999997E-2</v>
      </c>
      <c r="G1080" s="14">
        <v>0.77762869999999995</v>
      </c>
      <c r="H1080" s="14">
        <v>0.2002554</v>
      </c>
      <c r="R1080" s="11">
        <f t="shared" si="34"/>
        <v>1.3447062361974451E-2</v>
      </c>
      <c r="Z1080" s="11">
        <f t="shared" si="33"/>
        <v>1.7201742693158602E-2</v>
      </c>
    </row>
    <row r="1081" spans="1:26" x14ac:dyDescent="0.2">
      <c r="A1081" s="45">
        <v>206</v>
      </c>
      <c r="B1081" s="45">
        <v>2004</v>
      </c>
      <c r="C1081" s="17">
        <v>0</v>
      </c>
      <c r="D1081" s="14">
        <v>0.1280731</v>
      </c>
      <c r="E1081" s="14">
        <v>7.4249200000000001E-2</v>
      </c>
      <c r="F1081" s="14">
        <v>2.6865400000000001E-2</v>
      </c>
      <c r="G1081" s="14">
        <v>0.9430075</v>
      </c>
      <c r="H1081" s="14">
        <v>0.1927142</v>
      </c>
      <c r="R1081" s="11">
        <f t="shared" si="34"/>
        <v>1.250422679824071E-2</v>
      </c>
      <c r="Z1081" s="11">
        <f t="shared" si="33"/>
        <v>1.5670764353262437E-2</v>
      </c>
    </row>
    <row r="1082" spans="1:26" x14ac:dyDescent="0.2">
      <c r="A1082" s="45">
        <v>207</v>
      </c>
      <c r="B1082" s="45">
        <v>1999</v>
      </c>
      <c r="C1082" s="17">
        <v>0</v>
      </c>
      <c r="D1082" s="14">
        <v>9.7715099999999999E-2</v>
      </c>
      <c r="E1082" s="14">
        <v>-0.43240499999999998</v>
      </c>
      <c r="F1082" s="14">
        <v>4.1917799999999998E-2</v>
      </c>
      <c r="G1082" s="14">
        <v>0.10406360000000001</v>
      </c>
      <c r="H1082" s="14">
        <v>0.15233559999999999</v>
      </c>
      <c r="R1082" s="11">
        <f t="shared" si="34"/>
        <v>8.1969098868196436E-2</v>
      </c>
      <c r="Z1082" s="11">
        <f t="shared" si="33"/>
        <v>0.10215556962206257</v>
      </c>
    </row>
    <row r="1083" spans="1:26" x14ac:dyDescent="0.2">
      <c r="A1083" s="45">
        <v>207</v>
      </c>
      <c r="B1083" s="45">
        <v>2000</v>
      </c>
      <c r="C1083" s="17">
        <v>0</v>
      </c>
      <c r="D1083" s="14">
        <v>-0.30722860000000002</v>
      </c>
      <c r="E1083" s="14">
        <v>-0.73215850000000005</v>
      </c>
      <c r="F1083" s="14">
        <v>1.8441099999999998E-2</v>
      </c>
      <c r="G1083" s="14">
        <v>6.4637E-2</v>
      </c>
      <c r="H1083" s="14">
        <v>0.1782166</v>
      </c>
      <c r="R1083" s="11">
        <f t="shared" si="34"/>
        <v>0.15066185761716877</v>
      </c>
      <c r="Z1083" s="11">
        <f t="shared" si="33"/>
        <v>0.18009843949918031</v>
      </c>
    </row>
    <row r="1084" spans="1:26" x14ac:dyDescent="0.2">
      <c r="A1084" s="45">
        <v>207</v>
      </c>
      <c r="B1084" s="45">
        <v>2001</v>
      </c>
      <c r="C1084" s="17">
        <v>0</v>
      </c>
      <c r="D1084" s="14">
        <v>-0.72657289999999997</v>
      </c>
      <c r="E1084" s="14">
        <v>-1.1440699999999999</v>
      </c>
      <c r="F1084" s="14">
        <v>4.646E-3</v>
      </c>
      <c r="G1084" s="14">
        <v>2.8029700000000001E-2</v>
      </c>
      <c r="H1084" s="14">
        <v>0.23160430000000001</v>
      </c>
      <c r="R1084" s="11">
        <f t="shared" si="34"/>
        <v>0.27651663248456654</v>
      </c>
      <c r="Z1084" s="11">
        <f t="shared" si="33"/>
        <v>0.31589785124541025</v>
      </c>
    </row>
    <row r="1085" spans="1:26" x14ac:dyDescent="0.2">
      <c r="A1085" s="45">
        <v>208</v>
      </c>
      <c r="B1085" s="45">
        <v>1995</v>
      </c>
      <c r="C1085" s="17">
        <v>0</v>
      </c>
      <c r="D1085" s="14">
        <v>0.1310318</v>
      </c>
      <c r="E1085" s="14">
        <v>0.26141920000000002</v>
      </c>
      <c r="F1085" s="14">
        <v>0.11221639999999999</v>
      </c>
      <c r="G1085" s="14">
        <v>4.508489</v>
      </c>
      <c r="H1085" s="14">
        <v>0.42804940000000002</v>
      </c>
      <c r="R1085" s="11">
        <f t="shared" si="34"/>
        <v>1.6602960562837558E-5</v>
      </c>
      <c r="Z1085" s="11">
        <f t="shared" si="33"/>
        <v>2.0829696417916482E-5</v>
      </c>
    </row>
    <row r="1086" spans="1:26" x14ac:dyDescent="0.2">
      <c r="A1086" s="45">
        <v>208</v>
      </c>
      <c r="B1086" s="45">
        <v>1996</v>
      </c>
      <c r="C1086" s="17">
        <v>0</v>
      </c>
      <c r="D1086" s="14">
        <v>7.61598E-2</v>
      </c>
      <c r="E1086" s="14">
        <v>0.32097609999999999</v>
      </c>
      <c r="F1086" s="14">
        <v>9.0880299999999997E-2</v>
      </c>
      <c r="G1086" s="14">
        <v>5.0775189999999997</v>
      </c>
      <c r="H1086" s="14">
        <v>0.2819642</v>
      </c>
      <c r="R1086" s="11">
        <f t="shared" si="34"/>
        <v>7.2925931412642928E-6</v>
      </c>
      <c r="Z1086" s="11">
        <f t="shared" si="33"/>
        <v>8.8967131428598108E-6</v>
      </c>
    </row>
    <row r="1087" spans="1:26" x14ac:dyDescent="0.2">
      <c r="A1087" s="45">
        <v>208</v>
      </c>
      <c r="B1087" s="45">
        <v>1997</v>
      </c>
      <c r="C1087" s="17">
        <v>0</v>
      </c>
      <c r="D1087" s="14">
        <v>8.7042999999999995E-2</v>
      </c>
      <c r="E1087" s="14">
        <v>0.38800259999999998</v>
      </c>
      <c r="F1087" s="14">
        <v>0.1148351</v>
      </c>
      <c r="G1087" s="14">
        <v>6.1529049999999996</v>
      </c>
      <c r="H1087" s="14">
        <v>0.3389972</v>
      </c>
      <c r="R1087" s="11">
        <f t="shared" si="34"/>
        <v>9.8418914068187976E-7</v>
      </c>
      <c r="Z1087" s="11">
        <f t="shared" si="33"/>
        <v>1.1985813267034446E-6</v>
      </c>
    </row>
    <row r="1088" spans="1:26" x14ac:dyDescent="0.2">
      <c r="A1088" s="45">
        <v>208</v>
      </c>
      <c r="B1088" s="45">
        <v>1998</v>
      </c>
      <c r="C1088" s="17">
        <v>0</v>
      </c>
      <c r="D1088" s="14">
        <v>8.1175899999999995E-2</v>
      </c>
      <c r="E1088" s="14">
        <v>0.31394450000000002</v>
      </c>
      <c r="F1088" s="14">
        <v>7.1012199999999998E-2</v>
      </c>
      <c r="G1088" s="14">
        <v>3.4674960000000001</v>
      </c>
      <c r="H1088" s="14">
        <v>0.2831864</v>
      </c>
      <c r="R1088" s="11">
        <f t="shared" si="34"/>
        <v>1.1235097368173968E-4</v>
      </c>
      <c r="Z1088" s="11">
        <f t="shared" si="33"/>
        <v>1.3967979097373806E-4</v>
      </c>
    </row>
    <row r="1089" spans="1:26" x14ac:dyDescent="0.2">
      <c r="A1089" s="45">
        <v>208</v>
      </c>
      <c r="B1089" s="45">
        <v>1999</v>
      </c>
      <c r="C1089" s="17">
        <v>0</v>
      </c>
      <c r="D1089" s="14">
        <v>7.4694399999999994E-2</v>
      </c>
      <c r="E1089" s="14">
        <v>0.33734740000000002</v>
      </c>
      <c r="F1089" s="14">
        <v>9.6538499999999999E-2</v>
      </c>
      <c r="G1089" s="14">
        <v>2.0857969999999999</v>
      </c>
      <c r="H1089" s="14">
        <v>0.28319830000000001</v>
      </c>
      <c r="R1089" s="11">
        <f t="shared" si="34"/>
        <v>7.9998465864655202E-4</v>
      </c>
      <c r="Z1089" s="11">
        <f t="shared" si="33"/>
        <v>1.0475923875092929E-3</v>
      </c>
    </row>
    <row r="1090" spans="1:26" x14ac:dyDescent="0.2">
      <c r="A1090" s="45">
        <v>208</v>
      </c>
      <c r="B1090" s="45">
        <v>2000</v>
      </c>
      <c r="C1090" s="17">
        <v>0</v>
      </c>
      <c r="D1090" s="14">
        <v>0.12706039999999999</v>
      </c>
      <c r="E1090" s="14">
        <v>0.37156129999999998</v>
      </c>
      <c r="F1090" s="14">
        <v>7.4874700000000002E-2</v>
      </c>
      <c r="G1090" s="14">
        <v>2.4268070000000002</v>
      </c>
      <c r="H1090" s="14">
        <v>0.16450600000000001</v>
      </c>
      <c r="R1090" s="11">
        <f t="shared" si="34"/>
        <v>5.2582982510945083E-4</v>
      </c>
      <c r="Z1090" s="11">
        <f t="shared" ref="Z1090:Z1153" si="35">1/(1+EXP(-(U$2+$V$2*E1090+$W$2*F1090+$X$2*G1090)))</f>
        <v>6.7225766615864799E-4</v>
      </c>
    </row>
    <row r="1091" spans="1:26" x14ac:dyDescent="0.2">
      <c r="A1091" s="45">
        <v>208</v>
      </c>
      <c r="B1091" s="45">
        <v>2001</v>
      </c>
      <c r="C1091" s="17">
        <v>0</v>
      </c>
      <c r="D1091" s="14">
        <v>8.8083499999999995E-2</v>
      </c>
      <c r="E1091" s="14">
        <v>0.42439739999999998</v>
      </c>
      <c r="F1091" s="14">
        <v>9.1077599999999995E-2</v>
      </c>
      <c r="G1091" s="14">
        <v>3.0017399999999999</v>
      </c>
      <c r="H1091" s="14">
        <v>0.23051830000000001</v>
      </c>
      <c r="R1091" s="11">
        <f t="shared" si="34"/>
        <v>1.7117557274508855E-4</v>
      </c>
      <c r="Z1091" s="11">
        <f t="shared" si="35"/>
        <v>2.1939721601757454E-4</v>
      </c>
    </row>
    <row r="1092" spans="1:26" x14ac:dyDescent="0.2">
      <c r="A1092" s="45">
        <v>208</v>
      </c>
      <c r="B1092" s="45">
        <v>2002</v>
      </c>
      <c r="C1092" s="17">
        <v>0</v>
      </c>
      <c r="D1092" s="14">
        <v>-6.8159999999999998E-2</v>
      </c>
      <c r="E1092" s="14">
        <v>0.40982449999999998</v>
      </c>
      <c r="F1092" s="14">
        <v>8.6818599999999996E-2</v>
      </c>
      <c r="G1092" s="14">
        <v>2.5910880000000001</v>
      </c>
      <c r="H1092" s="14">
        <v>0.22014139999999999</v>
      </c>
      <c r="R1092" s="11">
        <f t="shared" si="34"/>
        <v>3.4799316839912911E-4</v>
      </c>
      <c r="Z1092" s="11">
        <f t="shared" si="35"/>
        <v>4.4826176347824393E-4</v>
      </c>
    </row>
    <row r="1093" spans="1:26" x14ac:dyDescent="0.2">
      <c r="A1093" s="45">
        <v>208</v>
      </c>
      <c r="B1093" s="45">
        <v>2003</v>
      </c>
      <c r="C1093" s="17">
        <v>0</v>
      </c>
      <c r="D1093" s="14">
        <v>-4.7550000000000001E-4</v>
      </c>
      <c r="E1093" s="14">
        <v>0.53889869999999995</v>
      </c>
      <c r="F1093" s="14">
        <v>7.0834499999999995E-2</v>
      </c>
      <c r="G1093" s="14">
        <v>2.905478</v>
      </c>
      <c r="H1093" s="14">
        <v>0.21630959999999999</v>
      </c>
      <c r="R1093" s="11">
        <f t="shared" si="34"/>
        <v>1.9864183357559901E-4</v>
      </c>
      <c r="Z1093" s="11">
        <f t="shared" si="35"/>
        <v>2.5192807883570078E-4</v>
      </c>
    </row>
    <row r="1094" spans="1:26" x14ac:dyDescent="0.2">
      <c r="A1094" s="45">
        <v>208</v>
      </c>
      <c r="B1094" s="45">
        <v>2004</v>
      </c>
      <c r="C1094" s="17">
        <v>0</v>
      </c>
      <c r="D1094" s="14">
        <v>-7.1552299999999999E-2</v>
      </c>
      <c r="E1094" s="14">
        <v>0.69229980000000002</v>
      </c>
      <c r="F1094" s="14">
        <v>8.9241899999999999E-2</v>
      </c>
      <c r="G1094" s="14">
        <v>3.7044250000000001</v>
      </c>
      <c r="H1094" s="14">
        <v>0.23490340000000001</v>
      </c>
      <c r="R1094" s="11">
        <f t="shared" si="34"/>
        <v>3.8404554550585418E-5</v>
      </c>
      <c r="Z1094" s="11">
        <f t="shared" si="35"/>
        <v>4.8843038872744934E-5</v>
      </c>
    </row>
    <row r="1095" spans="1:26" x14ac:dyDescent="0.2">
      <c r="A1095" s="45">
        <v>209</v>
      </c>
      <c r="B1095" s="45">
        <v>1999</v>
      </c>
      <c r="C1095" s="17">
        <v>0</v>
      </c>
      <c r="D1095" s="14">
        <v>-2.92328E-2</v>
      </c>
      <c r="E1095" s="14">
        <v>0.30968109999999999</v>
      </c>
      <c r="F1095" s="14">
        <v>6.2290499999999999E-2</v>
      </c>
      <c r="G1095" s="14">
        <v>0.9906684</v>
      </c>
      <c r="H1095" s="14">
        <v>0.1582933</v>
      </c>
      <c r="R1095" s="11">
        <f t="shared" si="34"/>
        <v>6.2385590396186515E-3</v>
      </c>
      <c r="Z1095" s="11">
        <f t="shared" si="35"/>
        <v>8.11616716697839E-3</v>
      </c>
    </row>
    <row r="1096" spans="1:26" x14ac:dyDescent="0.2">
      <c r="A1096" s="45">
        <v>209</v>
      </c>
      <c r="B1096" s="45">
        <v>2000</v>
      </c>
      <c r="C1096" s="17">
        <v>0</v>
      </c>
      <c r="D1096" s="14">
        <v>-7.6471899999999995E-2</v>
      </c>
      <c r="E1096" s="14">
        <v>0.27916410000000003</v>
      </c>
      <c r="F1096" s="14">
        <v>5.6999500000000002E-2</v>
      </c>
      <c r="G1096" s="14">
        <v>1.2765249999999999</v>
      </c>
      <c r="H1096" s="14">
        <v>0.28502230000000001</v>
      </c>
      <c r="R1096" s="11">
        <f t="shared" si="34"/>
        <v>4.3224891313954827E-3</v>
      </c>
      <c r="Z1096" s="11">
        <f t="shared" si="35"/>
        <v>5.561723432735673E-3</v>
      </c>
    </row>
    <row r="1097" spans="1:26" x14ac:dyDescent="0.2">
      <c r="A1097" s="45">
        <v>209</v>
      </c>
      <c r="B1097" s="45">
        <v>2001</v>
      </c>
      <c r="C1097" s="17">
        <v>0</v>
      </c>
      <c r="D1097" s="14">
        <v>2.4837399999999999E-2</v>
      </c>
      <c r="E1097" s="14">
        <v>0.32085409999999998</v>
      </c>
      <c r="F1097" s="14">
        <v>4.9952000000000003E-2</v>
      </c>
      <c r="G1097" s="14">
        <v>1.3341959999999999</v>
      </c>
      <c r="H1097" s="14">
        <v>0.16979130000000001</v>
      </c>
      <c r="R1097" s="11">
        <f t="shared" si="34"/>
        <v>3.9277974751973782E-3</v>
      </c>
      <c r="Z1097" s="11">
        <f t="shared" si="35"/>
        <v>5.0262770753427641E-3</v>
      </c>
    </row>
    <row r="1098" spans="1:26" x14ac:dyDescent="0.2">
      <c r="A1098" s="45">
        <v>209</v>
      </c>
      <c r="B1098" s="45">
        <v>2002</v>
      </c>
      <c r="C1098" s="17">
        <v>0</v>
      </c>
      <c r="D1098" s="14">
        <v>-2.656E-2</v>
      </c>
      <c r="E1098" s="14">
        <v>0.34183269999999999</v>
      </c>
      <c r="F1098" s="14">
        <v>6.4602400000000004E-2</v>
      </c>
      <c r="G1098" s="14">
        <v>1.348214</v>
      </c>
      <c r="H1098" s="14">
        <v>0.1608839</v>
      </c>
      <c r="R1098" s="11">
        <f t="shared" si="34"/>
        <v>3.3156757013701578E-3</v>
      </c>
      <c r="Z1098" s="11">
        <f t="shared" si="35"/>
        <v>4.2964981485512244E-3</v>
      </c>
    </row>
    <row r="1099" spans="1:26" x14ac:dyDescent="0.2">
      <c r="A1099" s="45">
        <v>209</v>
      </c>
      <c r="B1099" s="45">
        <v>2003</v>
      </c>
      <c r="C1099" s="17">
        <v>0</v>
      </c>
      <c r="D1099" s="14">
        <v>-2.72044E-2</v>
      </c>
      <c r="E1099" s="14">
        <v>0.3476783</v>
      </c>
      <c r="F1099" s="14">
        <v>5.4914699999999997E-2</v>
      </c>
      <c r="G1099" s="14">
        <v>1.3709290000000001</v>
      </c>
      <c r="H1099" s="14">
        <v>0.1333252</v>
      </c>
      <c r="R1099" s="11">
        <f t="shared" si="34"/>
        <v>3.4258351292848518E-3</v>
      </c>
      <c r="Z1099" s="11">
        <f t="shared" si="35"/>
        <v>4.4028279142525684E-3</v>
      </c>
    </row>
    <row r="1100" spans="1:26" x14ac:dyDescent="0.2">
      <c r="A1100" s="45">
        <v>209</v>
      </c>
      <c r="B1100" s="45">
        <v>2004</v>
      </c>
      <c r="C1100" s="17">
        <v>0</v>
      </c>
      <c r="D1100" s="14">
        <v>-7.9670199999999997E-2</v>
      </c>
      <c r="E1100" s="14">
        <v>0.31443779999999999</v>
      </c>
      <c r="F1100" s="14">
        <v>4.95139E-2</v>
      </c>
      <c r="G1100" s="14">
        <v>1.6392629999999999</v>
      </c>
      <c r="H1100" s="14">
        <v>0.13259409999999999</v>
      </c>
      <c r="R1100" s="11">
        <f t="shared" si="34"/>
        <v>2.4503767631565945E-3</v>
      </c>
      <c r="Z1100" s="11">
        <f t="shared" si="35"/>
        <v>3.1142340341926062E-3</v>
      </c>
    </row>
    <row r="1101" spans="1:26" x14ac:dyDescent="0.2">
      <c r="A1101" s="45">
        <v>210</v>
      </c>
      <c r="B1101" s="45">
        <v>1995</v>
      </c>
      <c r="C1101" s="17">
        <v>0</v>
      </c>
      <c r="D1101" s="14">
        <v>0.3069964</v>
      </c>
      <c r="E1101" s="14">
        <v>0.389629</v>
      </c>
      <c r="F1101" s="14">
        <v>7.1087399999999995E-2</v>
      </c>
      <c r="G1101" s="14">
        <v>2.2300110000000002</v>
      </c>
      <c r="H1101" s="14">
        <v>0.4279963</v>
      </c>
      <c r="R1101" s="11">
        <f t="shared" si="34"/>
        <v>7.2228373934963425E-4</v>
      </c>
      <c r="Z1101" s="11">
        <f t="shared" si="35"/>
        <v>9.2507445942972854E-4</v>
      </c>
    </row>
    <row r="1102" spans="1:26" x14ac:dyDescent="0.2">
      <c r="A1102" s="45">
        <v>210</v>
      </c>
      <c r="B1102" s="45">
        <v>1996</v>
      </c>
      <c r="C1102" s="17">
        <v>0</v>
      </c>
      <c r="D1102" s="14">
        <v>0.287549</v>
      </c>
      <c r="E1102" s="14">
        <v>0.36948370000000003</v>
      </c>
      <c r="F1102" s="14">
        <v>6.9328500000000001E-2</v>
      </c>
      <c r="G1102" s="14">
        <v>2.7892269999999999</v>
      </c>
      <c r="H1102" s="14">
        <v>0.41600579999999998</v>
      </c>
      <c r="R1102" s="11">
        <f t="shared" si="34"/>
        <v>3.0952190838809965E-4</v>
      </c>
      <c r="Z1102" s="11">
        <f t="shared" si="35"/>
        <v>3.9078587409909567E-4</v>
      </c>
    </row>
    <row r="1103" spans="1:26" x14ac:dyDescent="0.2">
      <c r="A1103" s="45">
        <v>210</v>
      </c>
      <c r="B1103" s="45">
        <v>1997</v>
      </c>
      <c r="C1103" s="17">
        <v>0</v>
      </c>
      <c r="D1103" s="14">
        <v>0.43265900000000002</v>
      </c>
      <c r="E1103" s="14">
        <v>0.36798560000000002</v>
      </c>
      <c r="F1103" s="14">
        <v>6.5580399999999997E-2</v>
      </c>
      <c r="G1103" s="14">
        <v>3.0875370000000002</v>
      </c>
      <c r="H1103" s="14">
        <v>0.3700445</v>
      </c>
      <c r="R1103" s="11">
        <f t="shared" si="34"/>
        <v>1.9872344951820775E-4</v>
      </c>
      <c r="Z1103" s="11">
        <f t="shared" si="35"/>
        <v>2.4848531105338103E-4</v>
      </c>
    </row>
    <row r="1104" spans="1:26" x14ac:dyDescent="0.2">
      <c r="A1104" s="45">
        <v>210</v>
      </c>
      <c r="B1104" s="45">
        <v>1998</v>
      </c>
      <c r="C1104" s="17">
        <v>0</v>
      </c>
      <c r="D1104" s="14">
        <v>0.37411509999999998</v>
      </c>
      <c r="E1104" s="14">
        <v>0.37341679999999999</v>
      </c>
      <c r="F1104" s="14">
        <v>5.8859700000000001E-2</v>
      </c>
      <c r="G1104" s="14">
        <v>3.4428550000000002</v>
      </c>
      <c r="H1104" s="14">
        <v>0.36740709999999999</v>
      </c>
      <c r="R1104" s="11">
        <f t="shared" si="34"/>
        <v>1.1811093116582588E-4</v>
      </c>
      <c r="Z1104" s="11">
        <f t="shared" si="35"/>
        <v>1.4576104680817285E-4</v>
      </c>
    </row>
    <row r="1105" spans="1:26" x14ac:dyDescent="0.2">
      <c r="A1105" s="45">
        <v>210</v>
      </c>
      <c r="B1105" s="45">
        <v>1999</v>
      </c>
      <c r="C1105" s="17">
        <v>0</v>
      </c>
      <c r="D1105" s="14">
        <v>0.36453049999999998</v>
      </c>
      <c r="E1105" s="14">
        <v>0.35280810000000001</v>
      </c>
      <c r="F1105" s="14">
        <v>5.3288700000000001E-2</v>
      </c>
      <c r="G1105" s="14">
        <v>7.7609019999999997</v>
      </c>
      <c r="H1105" s="14">
        <v>0.3624983</v>
      </c>
      <c r="R1105" s="11">
        <f t="shared" si="34"/>
        <v>1.3068777548473844E-7</v>
      </c>
      <c r="Z1105" s="11">
        <f t="shared" si="35"/>
        <v>1.4588535157190679E-7</v>
      </c>
    </row>
    <row r="1106" spans="1:26" x14ac:dyDescent="0.2">
      <c r="A1106" s="45">
        <v>210</v>
      </c>
      <c r="B1106" s="45">
        <v>2000</v>
      </c>
      <c r="C1106" s="17">
        <v>0</v>
      </c>
      <c r="D1106" s="14">
        <v>0.41087370000000001</v>
      </c>
      <c r="E1106" s="14">
        <v>0.35663640000000002</v>
      </c>
      <c r="F1106" s="14">
        <v>-1.3296000000000001E-2</v>
      </c>
      <c r="G1106" s="14">
        <v>4.8091660000000003</v>
      </c>
      <c r="H1106" s="14">
        <v>0.32941019999999999</v>
      </c>
      <c r="R1106" s="11">
        <f t="shared" si="34"/>
        <v>2.4433360909632503E-5</v>
      </c>
      <c r="Z1106" s="11">
        <f t="shared" si="35"/>
        <v>2.7563963337931205E-5</v>
      </c>
    </row>
    <row r="1107" spans="1:26" x14ac:dyDescent="0.2">
      <c r="A1107" s="45">
        <v>210</v>
      </c>
      <c r="B1107" s="45">
        <v>2001</v>
      </c>
      <c r="C1107" s="17">
        <v>0</v>
      </c>
      <c r="D1107" s="14">
        <v>0.4348168</v>
      </c>
      <c r="E1107" s="14">
        <v>0.28176639999999997</v>
      </c>
      <c r="F1107" s="14">
        <v>1.0789200000000001E-2</v>
      </c>
      <c r="G1107" s="14">
        <v>2.2665690000000001</v>
      </c>
      <c r="H1107" s="14">
        <v>0.27713850000000001</v>
      </c>
      <c r="R1107" s="11">
        <f t="shared" si="34"/>
        <v>1.2904600004028427E-3</v>
      </c>
      <c r="Z1107" s="11">
        <f t="shared" si="35"/>
        <v>1.5658886987884879E-3</v>
      </c>
    </row>
    <row r="1108" spans="1:26" x14ac:dyDescent="0.2">
      <c r="A1108" s="45">
        <v>210</v>
      </c>
      <c r="B1108" s="45">
        <v>2002</v>
      </c>
      <c r="C1108" s="17">
        <v>0</v>
      </c>
      <c r="D1108" s="14">
        <v>0.40706160000000002</v>
      </c>
      <c r="E1108" s="14">
        <v>0.31488890000000003</v>
      </c>
      <c r="F1108" s="14">
        <v>-5.2534000000000001E-3</v>
      </c>
      <c r="G1108" s="14">
        <v>0.69601610000000003</v>
      </c>
      <c r="H1108" s="14">
        <v>0.24778030000000001</v>
      </c>
      <c r="R1108" s="11">
        <f t="shared" si="34"/>
        <v>1.6815820593531879E-2</v>
      </c>
      <c r="Z1108" s="11">
        <f t="shared" si="35"/>
        <v>2.0792018807428873E-2</v>
      </c>
    </row>
    <row r="1109" spans="1:26" x14ac:dyDescent="0.2">
      <c r="A1109" s="45">
        <v>210</v>
      </c>
      <c r="B1109" s="45">
        <v>2003</v>
      </c>
      <c r="C1109" s="17">
        <v>0</v>
      </c>
      <c r="D1109" s="14">
        <v>0.45450819999999997</v>
      </c>
      <c r="E1109" s="14">
        <v>0.26502599999999998</v>
      </c>
      <c r="F1109" s="14">
        <v>3.81769E-2</v>
      </c>
      <c r="G1109" s="14">
        <v>1.6606430000000001</v>
      </c>
      <c r="H1109" s="14">
        <v>0.2516987</v>
      </c>
      <c r="R1109" s="11">
        <f t="shared" si="34"/>
        <v>2.7853290936915936E-3</v>
      </c>
      <c r="Z1109" s="11">
        <f t="shared" si="35"/>
        <v>3.4994276735798996E-3</v>
      </c>
    </row>
    <row r="1110" spans="1:26" x14ac:dyDescent="0.2">
      <c r="A1110" s="45">
        <v>210</v>
      </c>
      <c r="B1110" s="45">
        <v>2004</v>
      </c>
      <c r="C1110" s="17">
        <v>0</v>
      </c>
      <c r="D1110" s="14">
        <v>0.51685930000000002</v>
      </c>
      <c r="E1110" s="14">
        <v>0.34834809999999999</v>
      </c>
      <c r="F1110" s="14">
        <v>7.2101200000000004E-2</v>
      </c>
      <c r="G1110" s="14">
        <v>2.965767</v>
      </c>
      <c r="H1110" s="14">
        <v>0.29556450000000001</v>
      </c>
      <c r="R1110" s="11">
        <f t="shared" si="34"/>
        <v>2.3564401588548894E-4</v>
      </c>
      <c r="Z1110" s="11">
        <f t="shared" si="35"/>
        <v>2.9682238795306347E-4</v>
      </c>
    </row>
    <row r="1111" spans="1:26" x14ac:dyDescent="0.2">
      <c r="A1111" s="45">
        <v>211</v>
      </c>
      <c r="B1111" s="45">
        <v>1999</v>
      </c>
      <c r="C1111" s="17">
        <v>0</v>
      </c>
      <c r="D1111" s="14">
        <v>0.47267759999999998</v>
      </c>
      <c r="E1111" s="14">
        <v>0.47707270000000002</v>
      </c>
      <c r="F1111" s="14">
        <v>3.7905999999999999E-3</v>
      </c>
      <c r="G1111" s="14">
        <v>1.1362620000000001</v>
      </c>
      <c r="H1111" s="14">
        <v>0.2546853</v>
      </c>
      <c r="R1111" s="11">
        <f t="shared" ref="R1111:R1174" si="36">1/(1+EXP(-(K$2+$M$2*E1111+$N$2*F1111+$O$2*G1111)))</f>
        <v>6.1924564067777259E-3</v>
      </c>
      <c r="Z1111" s="11">
        <f t="shared" si="35"/>
        <v>7.701318162402394E-3</v>
      </c>
    </row>
    <row r="1112" spans="1:26" x14ac:dyDescent="0.2">
      <c r="A1112" s="45">
        <v>211</v>
      </c>
      <c r="B1112" s="45">
        <v>2000</v>
      </c>
      <c r="C1112" s="17">
        <v>0</v>
      </c>
      <c r="D1112" s="14">
        <v>0.31499050000000001</v>
      </c>
      <c r="E1112" s="14">
        <v>0.23591809999999999</v>
      </c>
      <c r="F1112" s="14">
        <v>1.03429E-2</v>
      </c>
      <c r="G1112" s="14">
        <v>0.61670959999999997</v>
      </c>
      <c r="H1112" s="14">
        <v>0.2426614</v>
      </c>
      <c r="R1112" s="11">
        <f t="shared" si="36"/>
        <v>1.8853476183866066E-2</v>
      </c>
      <c r="Z1112" s="11">
        <f t="shared" si="35"/>
        <v>2.3570671606989925E-2</v>
      </c>
    </row>
    <row r="1113" spans="1:26" x14ac:dyDescent="0.2">
      <c r="A1113" s="45">
        <v>211</v>
      </c>
      <c r="B1113" s="45">
        <v>2001</v>
      </c>
      <c r="C1113" s="17">
        <v>0</v>
      </c>
      <c r="D1113" s="14">
        <v>0.34531580000000001</v>
      </c>
      <c r="E1113" s="14">
        <v>0.141486</v>
      </c>
      <c r="F1113" s="14">
        <v>-3.2251599999999998E-2</v>
      </c>
      <c r="G1113" s="14">
        <v>0.63897939999999998</v>
      </c>
      <c r="H1113" s="14">
        <v>0.1851246</v>
      </c>
      <c r="R1113" s="11">
        <f t="shared" si="36"/>
        <v>2.9043375924755362E-2</v>
      </c>
      <c r="Z1113" s="11">
        <f t="shared" si="35"/>
        <v>3.4891143471791924E-2</v>
      </c>
    </row>
    <row r="1114" spans="1:26" x14ac:dyDescent="0.2">
      <c r="A1114" s="45">
        <v>211</v>
      </c>
      <c r="B1114" s="45">
        <v>2002</v>
      </c>
      <c r="C1114" s="17">
        <v>0</v>
      </c>
      <c r="D1114" s="14">
        <v>0.46900730000000002</v>
      </c>
      <c r="E1114" s="14">
        <v>7.7773900000000007E-2</v>
      </c>
      <c r="F1114" s="14">
        <v>1.7723999999999999E-3</v>
      </c>
      <c r="G1114" s="14">
        <v>0.89935799999999999</v>
      </c>
      <c r="H1114" s="14">
        <v>0.26617990000000002</v>
      </c>
      <c r="R1114" s="11">
        <f t="shared" si="36"/>
        <v>1.6239267476204952E-2</v>
      </c>
      <c r="Z1114" s="11">
        <f t="shared" si="35"/>
        <v>1.9947638044263576E-2</v>
      </c>
    </row>
    <row r="1115" spans="1:26" x14ac:dyDescent="0.2">
      <c r="A1115" s="45">
        <v>211</v>
      </c>
      <c r="B1115" s="45">
        <v>2003</v>
      </c>
      <c r="C1115" s="17">
        <v>0</v>
      </c>
      <c r="D1115" s="14">
        <v>0.27002379999999998</v>
      </c>
      <c r="E1115" s="14">
        <v>-0.31947490000000001</v>
      </c>
      <c r="F1115" s="14">
        <v>3.1440000000000003E-2</v>
      </c>
      <c r="G1115" s="14">
        <v>0.65210029999999997</v>
      </c>
      <c r="H1115" s="14">
        <v>0.2969157</v>
      </c>
      <c r="R1115" s="11">
        <f t="shared" si="36"/>
        <v>3.3258300103691033E-2</v>
      </c>
      <c r="Z1115" s="11">
        <f t="shared" si="35"/>
        <v>4.1327374786211901E-2</v>
      </c>
    </row>
    <row r="1116" spans="1:26" x14ac:dyDescent="0.2">
      <c r="A1116" s="45">
        <v>211</v>
      </c>
      <c r="B1116" s="45">
        <v>2004</v>
      </c>
      <c r="C1116" s="17">
        <v>0</v>
      </c>
      <c r="D1116" s="14">
        <v>0.26688820000000002</v>
      </c>
      <c r="E1116" s="14">
        <v>-0.55961499999999997</v>
      </c>
      <c r="F1116" s="14">
        <v>-2.2365000000000002E-3</v>
      </c>
      <c r="G1116" s="14">
        <v>1.0720590000000001</v>
      </c>
      <c r="H1116" s="14">
        <v>0.28317900000000001</v>
      </c>
      <c r="R1116" s="11">
        <f t="shared" si="36"/>
        <v>3.1666361091981711E-2</v>
      </c>
      <c r="Z1116" s="11">
        <f t="shared" si="35"/>
        <v>3.7695034670335269E-2</v>
      </c>
    </row>
    <row r="1117" spans="1:26" x14ac:dyDescent="0.2">
      <c r="A1117" s="45">
        <v>212</v>
      </c>
      <c r="B1117" s="45">
        <v>1999</v>
      </c>
      <c r="C1117" s="17">
        <v>0</v>
      </c>
      <c r="D1117" s="14">
        <v>-2.1128999999999998E-2</v>
      </c>
      <c r="E1117" s="14">
        <v>0.53046289999999996</v>
      </c>
      <c r="F1117" s="14">
        <v>5.1511099999999997E-2</v>
      </c>
      <c r="G1117" s="14">
        <v>3.474056</v>
      </c>
      <c r="H1117" s="14">
        <v>0.3641933</v>
      </c>
      <c r="R1117" s="11">
        <f t="shared" si="36"/>
        <v>9.4855949343476781E-5</v>
      </c>
      <c r="Z1117" s="11">
        <f t="shared" si="35"/>
        <v>1.1690733206970585E-4</v>
      </c>
    </row>
    <row r="1118" spans="1:26" x14ac:dyDescent="0.2">
      <c r="A1118" s="45">
        <v>212</v>
      </c>
      <c r="B1118" s="45">
        <v>2000</v>
      </c>
      <c r="C1118" s="17">
        <v>0</v>
      </c>
      <c r="D1118" s="14">
        <v>4.8742000000000001E-2</v>
      </c>
      <c r="E1118" s="14">
        <v>0.58568750000000003</v>
      </c>
      <c r="F1118" s="14">
        <v>8.2552E-2</v>
      </c>
      <c r="G1118" s="14">
        <v>3.8969809999999998</v>
      </c>
      <c r="H1118" s="14">
        <v>0.40637329999999999</v>
      </c>
      <c r="R1118" s="11">
        <f t="shared" si="36"/>
        <v>3.4808197675127307E-5</v>
      </c>
      <c r="Z1118" s="11">
        <f t="shared" si="35"/>
        <v>4.3680945894419969E-5</v>
      </c>
    </row>
    <row r="1119" spans="1:26" x14ac:dyDescent="0.2">
      <c r="A1119" s="45">
        <v>212</v>
      </c>
      <c r="B1119" s="45">
        <v>2001</v>
      </c>
      <c r="C1119" s="17">
        <v>0</v>
      </c>
      <c r="D1119" s="14">
        <v>7.2849499999999998E-2</v>
      </c>
      <c r="E1119" s="14">
        <v>0.66270119999999999</v>
      </c>
      <c r="F1119" s="14">
        <v>5.0458900000000001E-2</v>
      </c>
      <c r="G1119" s="14">
        <v>3.8554590000000002</v>
      </c>
      <c r="H1119" s="14">
        <v>0.32061790000000001</v>
      </c>
      <c r="R1119" s="11">
        <f t="shared" si="36"/>
        <v>4.2980609679233882E-5</v>
      </c>
      <c r="Z1119" s="11">
        <f t="shared" si="35"/>
        <v>5.2723153795541586E-5</v>
      </c>
    </row>
    <row r="1120" spans="1:26" x14ac:dyDescent="0.2">
      <c r="A1120" s="45">
        <v>212</v>
      </c>
      <c r="B1120" s="45">
        <v>2002</v>
      </c>
      <c r="C1120" s="17">
        <v>0</v>
      </c>
      <c r="D1120" s="14">
        <v>4.96715E-2</v>
      </c>
      <c r="E1120" s="14">
        <v>0.63856760000000001</v>
      </c>
      <c r="F1120" s="14">
        <v>5.95317E-2</v>
      </c>
      <c r="G1120" s="14">
        <v>3.0463520000000002</v>
      </c>
      <c r="H1120" s="14">
        <v>0.34611069999999999</v>
      </c>
      <c r="R1120" s="11">
        <f t="shared" si="36"/>
        <v>1.5028701140295641E-4</v>
      </c>
      <c r="Z1120" s="11">
        <f t="shared" si="35"/>
        <v>1.8890627252336455E-4</v>
      </c>
    </row>
    <row r="1121" spans="1:26" x14ac:dyDescent="0.2">
      <c r="A1121" s="45">
        <v>212</v>
      </c>
      <c r="B1121" s="45">
        <v>2003</v>
      </c>
      <c r="C1121" s="17">
        <v>0</v>
      </c>
      <c r="D1121" s="14">
        <v>7.2668099999999999E-2</v>
      </c>
      <c r="E1121" s="14">
        <v>0.69072160000000005</v>
      </c>
      <c r="F1121" s="14">
        <v>6.2953499999999996E-2</v>
      </c>
      <c r="G1121" s="14">
        <v>3.2278549999999999</v>
      </c>
      <c r="H1121" s="14">
        <v>0.353995</v>
      </c>
      <c r="R1121" s="11">
        <f t="shared" si="36"/>
        <v>1.0150919186995843E-4</v>
      </c>
      <c r="Z1121" s="11">
        <f t="shared" si="35"/>
        <v>1.276716168663399E-4</v>
      </c>
    </row>
    <row r="1122" spans="1:26" x14ac:dyDescent="0.2">
      <c r="A1122" s="45">
        <v>212</v>
      </c>
      <c r="B1122" s="45">
        <v>2004</v>
      </c>
      <c r="C1122" s="17">
        <v>0</v>
      </c>
      <c r="D1122" s="14">
        <v>0.1129006</v>
      </c>
      <c r="E1122" s="14">
        <v>0.73237810000000003</v>
      </c>
      <c r="F1122" s="14">
        <v>9.3502500000000002E-2</v>
      </c>
      <c r="G1122" s="14">
        <v>3.565836</v>
      </c>
      <c r="H1122" s="14">
        <v>0.4102732</v>
      </c>
      <c r="R1122" s="11">
        <f t="shared" si="36"/>
        <v>4.3670374965332296E-5</v>
      </c>
      <c r="Z1122" s="11">
        <f t="shared" si="35"/>
        <v>5.5981537222212149E-5</v>
      </c>
    </row>
    <row r="1123" spans="1:26" x14ac:dyDescent="0.2">
      <c r="A1123" s="45">
        <v>213</v>
      </c>
      <c r="B1123" s="45">
        <v>1995</v>
      </c>
      <c r="C1123" s="17">
        <v>0</v>
      </c>
      <c r="D1123" s="14">
        <v>5.0689100000000001E-2</v>
      </c>
      <c r="E1123" s="14">
        <v>0.1936147</v>
      </c>
      <c r="F1123" s="14">
        <v>5.4582199999999997E-2</v>
      </c>
      <c r="G1123" s="14">
        <v>1.7679510000000001</v>
      </c>
      <c r="H1123" s="14">
        <v>0.2088026</v>
      </c>
      <c r="R1123" s="11">
        <f t="shared" si="36"/>
        <v>2.2852342276846582E-3</v>
      </c>
      <c r="Z1123" s="11">
        <f t="shared" si="35"/>
        <v>2.8963236446292516E-3</v>
      </c>
    </row>
    <row r="1124" spans="1:26" x14ac:dyDescent="0.2">
      <c r="A1124" s="45">
        <v>213</v>
      </c>
      <c r="B1124" s="45">
        <v>1996</v>
      </c>
      <c r="C1124" s="17">
        <v>0</v>
      </c>
      <c r="D1124" s="14">
        <v>2.7242999999999998E-3</v>
      </c>
      <c r="E1124" s="14">
        <v>0.16370219999999999</v>
      </c>
      <c r="F1124" s="14">
        <v>3.3888000000000001E-2</v>
      </c>
      <c r="G1124" s="14">
        <v>1.035833</v>
      </c>
      <c r="H1124" s="14">
        <v>0.1349426</v>
      </c>
      <c r="R1124" s="11">
        <f t="shared" si="36"/>
        <v>8.9841165712629817E-3</v>
      </c>
      <c r="Z1124" s="11">
        <f t="shared" si="35"/>
        <v>1.1345182005938325E-2</v>
      </c>
    </row>
    <row r="1125" spans="1:26" x14ac:dyDescent="0.2">
      <c r="A1125" s="45">
        <v>213</v>
      </c>
      <c r="B1125" s="45">
        <v>1997</v>
      </c>
      <c r="C1125" s="17">
        <v>0</v>
      </c>
      <c r="D1125" s="14">
        <v>6.2042300000000002E-2</v>
      </c>
      <c r="E1125" s="14">
        <v>0.18906100000000001</v>
      </c>
      <c r="F1125" s="14">
        <v>6.6331000000000001E-2</v>
      </c>
      <c r="G1125" s="14">
        <v>1.6533880000000001</v>
      </c>
      <c r="H1125" s="14">
        <v>0.2407861</v>
      </c>
      <c r="R1125" s="11">
        <f t="shared" si="36"/>
        <v>2.5129290888434249E-3</v>
      </c>
      <c r="Z1125" s="11">
        <f t="shared" si="35"/>
        <v>3.2230254407324167E-3</v>
      </c>
    </row>
    <row r="1126" spans="1:26" x14ac:dyDescent="0.2">
      <c r="A1126" s="45">
        <v>214</v>
      </c>
      <c r="B1126" s="45">
        <v>1999</v>
      </c>
      <c r="C1126" s="17">
        <v>0</v>
      </c>
      <c r="D1126" s="14">
        <v>-6.9780000000000005E-4</v>
      </c>
      <c r="E1126" s="14">
        <v>0.29669269999999998</v>
      </c>
      <c r="F1126" s="14">
        <v>5.0847900000000001E-2</v>
      </c>
      <c r="G1126" s="14">
        <v>0.57109200000000004</v>
      </c>
      <c r="H1126" s="14">
        <v>0.28500789999999998</v>
      </c>
      <c r="R1126" s="11">
        <f t="shared" si="36"/>
        <v>1.3497012555882818E-2</v>
      </c>
      <c r="Z1126" s="11">
        <f t="shared" si="35"/>
        <v>1.7510601271927318E-2</v>
      </c>
    </row>
    <row r="1127" spans="1:26" x14ac:dyDescent="0.2">
      <c r="A1127" s="45">
        <v>214</v>
      </c>
      <c r="B1127" s="45">
        <v>2000</v>
      </c>
      <c r="C1127" s="17">
        <v>0</v>
      </c>
      <c r="D1127" s="14">
        <v>9.2432E-3</v>
      </c>
      <c r="E1127" s="14">
        <v>0.32154939999999999</v>
      </c>
      <c r="F1127" s="14">
        <v>4.3856300000000001E-2</v>
      </c>
      <c r="G1127" s="14">
        <v>0.77130900000000002</v>
      </c>
      <c r="H1127" s="14">
        <v>0.31457600000000002</v>
      </c>
      <c r="R1127" s="11">
        <f t="shared" si="36"/>
        <v>1.0041082003525926E-2</v>
      </c>
      <c r="Z1127" s="11">
        <f t="shared" si="35"/>
        <v>1.2921567293677081E-2</v>
      </c>
    </row>
    <row r="1128" spans="1:26" x14ac:dyDescent="0.2">
      <c r="A1128" s="45">
        <v>214</v>
      </c>
      <c r="B1128" s="45">
        <v>2001</v>
      </c>
      <c r="C1128" s="17">
        <v>0</v>
      </c>
      <c r="D1128" s="14">
        <v>-7.4192999999999995E-2</v>
      </c>
      <c r="E1128" s="14">
        <v>0.23268040000000001</v>
      </c>
      <c r="F1128" s="14">
        <v>4.8561300000000002E-2</v>
      </c>
      <c r="G1128" s="14">
        <v>0.87557189999999996</v>
      </c>
      <c r="H1128" s="14">
        <v>0.2244563</v>
      </c>
      <c r="R1128" s="11">
        <f t="shared" si="36"/>
        <v>9.3262751997002184E-3</v>
      </c>
      <c r="Z1128" s="11">
        <f t="shared" si="35"/>
        <v>1.1986585876441719E-2</v>
      </c>
    </row>
    <row r="1129" spans="1:26" x14ac:dyDescent="0.2">
      <c r="A1129" s="45">
        <v>214</v>
      </c>
      <c r="B1129" s="45">
        <v>2002</v>
      </c>
      <c r="C1129" s="17">
        <v>0</v>
      </c>
      <c r="D1129" s="14">
        <v>0.124681</v>
      </c>
      <c r="E1129" s="14">
        <v>0.22147130000000001</v>
      </c>
      <c r="F1129" s="14">
        <v>5.4342500000000002E-2</v>
      </c>
      <c r="G1129" s="14">
        <v>0.41836659999999998</v>
      </c>
      <c r="H1129" s="14">
        <v>0.18841350000000001</v>
      </c>
      <c r="R1129" s="11">
        <f t="shared" si="36"/>
        <v>1.8580347427318875E-2</v>
      </c>
      <c r="Z1129" s="11">
        <f t="shared" si="35"/>
        <v>2.4154551849289604E-2</v>
      </c>
    </row>
    <row r="1130" spans="1:26" x14ac:dyDescent="0.2">
      <c r="A1130" s="45">
        <v>214</v>
      </c>
      <c r="B1130" s="45">
        <v>2003</v>
      </c>
      <c r="C1130" s="17">
        <v>0</v>
      </c>
      <c r="D1130" s="14">
        <v>0.1127121</v>
      </c>
      <c r="E1130" s="14">
        <v>0.28908430000000002</v>
      </c>
      <c r="F1130" s="14">
        <v>5.0192300000000002E-2</v>
      </c>
      <c r="G1130" s="14">
        <v>0.57747839999999995</v>
      </c>
      <c r="H1130" s="14">
        <v>0.2144084</v>
      </c>
      <c r="R1130" s="11">
        <f t="shared" si="36"/>
        <v>1.3578871392456244E-2</v>
      </c>
      <c r="Z1130" s="11">
        <f t="shared" si="35"/>
        <v>1.7600127797621469E-2</v>
      </c>
    </row>
    <row r="1131" spans="1:26" x14ac:dyDescent="0.2">
      <c r="A1131" s="45">
        <v>214</v>
      </c>
      <c r="B1131" s="45">
        <v>2004</v>
      </c>
      <c r="C1131" s="17">
        <v>0</v>
      </c>
      <c r="D1131" s="14">
        <v>0.11651400000000001</v>
      </c>
      <c r="E1131" s="14">
        <v>0.36830659999999998</v>
      </c>
      <c r="F1131" s="14">
        <v>5.6988400000000002E-2</v>
      </c>
      <c r="G1131" s="14">
        <v>0.87577190000000005</v>
      </c>
      <c r="H1131" s="14">
        <v>0.21382789999999999</v>
      </c>
      <c r="R1131" s="11">
        <f t="shared" si="36"/>
        <v>7.1712342760890928E-3</v>
      </c>
      <c r="Z1131" s="11">
        <f t="shared" si="35"/>
        <v>9.3287016802922167E-3</v>
      </c>
    </row>
    <row r="1132" spans="1:26" x14ac:dyDescent="0.2">
      <c r="A1132" s="45">
        <v>215</v>
      </c>
      <c r="B1132" s="45">
        <v>1999</v>
      </c>
      <c r="C1132" s="17">
        <v>0</v>
      </c>
      <c r="D1132" s="14">
        <v>-9.3694E-3</v>
      </c>
      <c r="E1132" s="14">
        <v>0.20673150000000001</v>
      </c>
      <c r="F1132" s="14">
        <v>3.3096599999999997E-2</v>
      </c>
      <c r="G1132" s="14">
        <v>1.0194989999999999</v>
      </c>
      <c r="H1132" s="14">
        <v>0.1426432</v>
      </c>
      <c r="R1132" s="11">
        <f t="shared" si="36"/>
        <v>8.7191370552668155E-3</v>
      </c>
      <c r="Z1132" s="11">
        <f t="shared" si="35"/>
        <v>1.1024260193997997E-2</v>
      </c>
    </row>
    <row r="1133" spans="1:26" x14ac:dyDescent="0.2">
      <c r="A1133" s="45">
        <v>215</v>
      </c>
      <c r="B1133" s="45">
        <v>2000</v>
      </c>
      <c r="C1133" s="17">
        <v>0</v>
      </c>
      <c r="D1133" s="14">
        <v>-3.2631800000000002E-2</v>
      </c>
      <c r="E1133" s="14">
        <v>0.21238670000000001</v>
      </c>
      <c r="F1133" s="14">
        <v>4.32214E-2</v>
      </c>
      <c r="G1133" s="14">
        <v>1.368382</v>
      </c>
      <c r="H1133" s="14">
        <v>0.1557743</v>
      </c>
      <c r="R1133" s="11">
        <f t="shared" si="36"/>
        <v>4.5927763180069418E-3</v>
      </c>
      <c r="Z1133" s="11">
        <f t="shared" si="35"/>
        <v>5.818074737592399E-3</v>
      </c>
    </row>
    <row r="1134" spans="1:26" x14ac:dyDescent="0.2">
      <c r="A1134" s="45">
        <v>215</v>
      </c>
      <c r="B1134" s="45">
        <v>2001</v>
      </c>
      <c r="C1134" s="17">
        <v>0</v>
      </c>
      <c r="D1134" s="14">
        <v>-8.2932500000000006E-2</v>
      </c>
      <c r="E1134" s="14">
        <v>0.2115264</v>
      </c>
      <c r="F1134" s="14">
        <v>3.8190399999999999E-2</v>
      </c>
      <c r="G1134" s="14">
        <v>0.89559169999999999</v>
      </c>
      <c r="H1134" s="14">
        <v>0.1239401</v>
      </c>
      <c r="R1134" s="11">
        <f t="shared" si="36"/>
        <v>1.0113319315540624E-2</v>
      </c>
      <c r="Z1134" s="11">
        <f t="shared" si="35"/>
        <v>1.2871779160507316E-2</v>
      </c>
    </row>
    <row r="1135" spans="1:26" x14ac:dyDescent="0.2">
      <c r="A1135" s="45">
        <v>215</v>
      </c>
      <c r="B1135" s="45">
        <v>2002</v>
      </c>
      <c r="C1135" s="17">
        <v>0</v>
      </c>
      <c r="D1135" s="14">
        <v>-7.3416400000000007E-2</v>
      </c>
      <c r="E1135" s="14">
        <v>0.2097743</v>
      </c>
      <c r="F1135" s="14">
        <v>4.4507900000000003E-2</v>
      </c>
      <c r="G1135" s="14">
        <v>0.85373160000000003</v>
      </c>
      <c r="H1135" s="14">
        <v>0.1246134</v>
      </c>
      <c r="R1135" s="11">
        <f t="shared" si="36"/>
        <v>1.0302470710403844E-2</v>
      </c>
      <c r="Z1135" s="11">
        <f t="shared" si="35"/>
        <v>1.3190229258309949E-2</v>
      </c>
    </row>
    <row r="1136" spans="1:26" x14ac:dyDescent="0.2">
      <c r="A1136" s="45">
        <v>215</v>
      </c>
      <c r="B1136" s="45">
        <v>2003</v>
      </c>
      <c r="C1136" s="17">
        <v>0</v>
      </c>
      <c r="D1136" s="14">
        <v>1.2622700000000001E-2</v>
      </c>
      <c r="E1136" s="14">
        <v>0.1768026</v>
      </c>
      <c r="F1136" s="14">
        <v>4.66489E-2</v>
      </c>
      <c r="G1136" s="14">
        <v>0.62919000000000003</v>
      </c>
      <c r="H1136" s="14">
        <v>0.11669069999999999</v>
      </c>
      <c r="R1136" s="11">
        <f t="shared" si="36"/>
        <v>1.5121929243278197E-2</v>
      </c>
      <c r="Z1136" s="11">
        <f t="shared" si="35"/>
        <v>1.9440064217140535E-2</v>
      </c>
    </row>
    <row r="1137" spans="1:26" x14ac:dyDescent="0.2">
      <c r="A1137" s="45">
        <v>215</v>
      </c>
      <c r="B1137" s="45">
        <v>2004</v>
      </c>
      <c r="C1137" s="17">
        <v>0</v>
      </c>
      <c r="D1137" s="14">
        <v>-3.22186E-2</v>
      </c>
      <c r="E1137" s="14">
        <v>0.17841489999999999</v>
      </c>
      <c r="F1137" s="14">
        <v>3.8082600000000001E-2</v>
      </c>
      <c r="G1137" s="14">
        <v>0.70029949999999996</v>
      </c>
      <c r="H1137" s="14">
        <v>0.1209597</v>
      </c>
      <c r="R1137" s="11">
        <f t="shared" si="36"/>
        <v>1.4435650407997559E-2</v>
      </c>
      <c r="Z1137" s="11">
        <f t="shared" si="35"/>
        <v>1.8406710164340423E-2</v>
      </c>
    </row>
    <row r="1138" spans="1:26" x14ac:dyDescent="0.2">
      <c r="A1138" s="45">
        <v>216</v>
      </c>
      <c r="B1138" s="45">
        <v>2003</v>
      </c>
      <c r="C1138" s="17">
        <v>0</v>
      </c>
      <c r="D1138" s="14">
        <v>0.41203820000000002</v>
      </c>
      <c r="E1138" s="14">
        <v>0.38861950000000001</v>
      </c>
      <c r="F1138" s="14">
        <v>0.1007917</v>
      </c>
      <c r="G1138" s="14">
        <v>1.4520789999999999</v>
      </c>
      <c r="H1138" s="14">
        <v>0.80570030000000004</v>
      </c>
      <c r="R1138" s="11">
        <f t="shared" si="36"/>
        <v>1.9679349531637083E-3</v>
      </c>
      <c r="Z1138" s="11">
        <f t="shared" si="35"/>
        <v>2.6259151047844215E-3</v>
      </c>
    </row>
    <row r="1139" spans="1:26" x14ac:dyDescent="0.2">
      <c r="A1139" s="45">
        <v>216</v>
      </c>
      <c r="B1139" s="45">
        <v>2004</v>
      </c>
      <c r="C1139" s="17">
        <v>0</v>
      </c>
      <c r="D1139" s="14">
        <v>0.38176330000000003</v>
      </c>
      <c r="E1139" s="14">
        <v>0.37811850000000002</v>
      </c>
      <c r="F1139" s="14">
        <v>0.10222539999999999</v>
      </c>
      <c r="G1139" s="14">
        <v>1.4718530000000001</v>
      </c>
      <c r="H1139" s="14">
        <v>0.72727339999999996</v>
      </c>
      <c r="R1139" s="11">
        <f t="shared" si="36"/>
        <v>1.9142525249382974E-3</v>
      </c>
      <c r="Z1139" s="11">
        <f t="shared" si="35"/>
        <v>2.5552977472578257E-3</v>
      </c>
    </row>
    <row r="1140" spans="1:26" x14ac:dyDescent="0.2">
      <c r="A1140" s="45">
        <v>217</v>
      </c>
      <c r="B1140" s="45">
        <v>1999</v>
      </c>
      <c r="C1140" s="17">
        <v>0</v>
      </c>
      <c r="D1140" s="14">
        <v>0.19452459999999999</v>
      </c>
      <c r="E1140" s="14">
        <v>0.1779202</v>
      </c>
      <c r="F1140" s="14">
        <v>5.56824E-2</v>
      </c>
      <c r="G1140" s="14">
        <v>0.37134129999999999</v>
      </c>
      <c r="H1140" s="14">
        <v>0.33065749999999999</v>
      </c>
      <c r="R1140" s="11">
        <f t="shared" si="36"/>
        <v>2.1054735924189095E-2</v>
      </c>
      <c r="Z1140" s="11">
        <f t="shared" si="35"/>
        <v>2.7367642846044586E-2</v>
      </c>
    </row>
    <row r="1141" spans="1:26" x14ac:dyDescent="0.2">
      <c r="A1141" s="45">
        <v>217</v>
      </c>
      <c r="B1141" s="45">
        <v>2000</v>
      </c>
      <c r="C1141" s="17">
        <v>0</v>
      </c>
      <c r="D1141" s="14">
        <v>0.18407129999999999</v>
      </c>
      <c r="E1141" s="14">
        <v>0.18698680000000001</v>
      </c>
      <c r="F1141" s="14">
        <v>6.2381699999999998E-2</v>
      </c>
      <c r="G1141" s="14">
        <v>0.35561100000000001</v>
      </c>
      <c r="H1141" s="14">
        <v>0.32827729999999999</v>
      </c>
      <c r="R1141" s="11">
        <f t="shared" si="36"/>
        <v>2.0212121095802258E-2</v>
      </c>
      <c r="Z1141" s="11">
        <f t="shared" si="35"/>
        <v>2.6436958702054977E-2</v>
      </c>
    </row>
    <row r="1142" spans="1:26" x14ac:dyDescent="0.2">
      <c r="A1142" s="45">
        <v>217</v>
      </c>
      <c r="B1142" s="45">
        <v>2001</v>
      </c>
      <c r="C1142" s="17">
        <v>0</v>
      </c>
      <c r="D1142" s="14">
        <v>0.14987700000000001</v>
      </c>
      <c r="E1142" s="14">
        <v>0.1367941</v>
      </c>
      <c r="F1142" s="14">
        <v>5.6862200000000002E-2</v>
      </c>
      <c r="G1142" s="14">
        <v>0.26059290000000002</v>
      </c>
      <c r="H1142" s="14">
        <v>0.34344079999999999</v>
      </c>
      <c r="R1142" s="11">
        <f t="shared" si="36"/>
        <v>2.627524847300158E-2</v>
      </c>
      <c r="Z1142" s="11">
        <f t="shared" si="35"/>
        <v>3.416472575316204E-2</v>
      </c>
    </row>
    <row r="1143" spans="1:26" x14ac:dyDescent="0.2">
      <c r="A1143" s="45">
        <v>217</v>
      </c>
      <c r="B1143" s="45">
        <v>2002</v>
      </c>
      <c r="C1143" s="17">
        <v>0</v>
      </c>
      <c r="D1143" s="14">
        <v>0.16894609999999999</v>
      </c>
      <c r="E1143" s="14">
        <v>0.1305626</v>
      </c>
      <c r="F1143" s="14">
        <v>5.1298099999999999E-2</v>
      </c>
      <c r="G1143" s="14">
        <v>0.19856770000000001</v>
      </c>
      <c r="H1143" s="14">
        <v>0.3148841</v>
      </c>
      <c r="R1143" s="11">
        <f t="shared" si="36"/>
        <v>3.0469374514140238E-2</v>
      </c>
      <c r="Z1143" s="11">
        <f t="shared" si="35"/>
        <v>3.9437689785124894E-2</v>
      </c>
    </row>
    <row r="1144" spans="1:26" x14ac:dyDescent="0.2">
      <c r="A1144" s="45">
        <v>217</v>
      </c>
      <c r="B1144" s="45">
        <v>2003</v>
      </c>
      <c r="C1144" s="17">
        <v>1</v>
      </c>
      <c r="D1144" s="14">
        <v>0.20207610000000001</v>
      </c>
      <c r="E1144" s="14">
        <v>5.2325200000000002E-2</v>
      </c>
      <c r="F1144" s="14">
        <v>1.0134900000000001E-2</v>
      </c>
      <c r="G1144" s="14">
        <v>0.26838800000000002</v>
      </c>
      <c r="H1144" s="14">
        <v>0.28150449999999999</v>
      </c>
      <c r="R1144" s="11">
        <f t="shared" si="36"/>
        <v>4.1953697348711849E-2</v>
      </c>
      <c r="Z1144" s="11">
        <f t="shared" si="35"/>
        <v>5.2203162953975708E-2</v>
      </c>
    </row>
    <row r="1145" spans="1:26" x14ac:dyDescent="0.2">
      <c r="A1145" s="45">
        <v>218</v>
      </c>
      <c r="B1145" s="45">
        <v>2001</v>
      </c>
      <c r="C1145" s="17">
        <v>0</v>
      </c>
      <c r="D1145" s="14">
        <v>8.4525199999999995E-2</v>
      </c>
      <c r="E1145" s="14">
        <v>0.4149349</v>
      </c>
      <c r="F1145" s="14">
        <v>4.9595100000000003E-2</v>
      </c>
      <c r="G1145" s="14">
        <v>2.2336529999999999</v>
      </c>
      <c r="H1145" s="14">
        <v>0.4140723</v>
      </c>
      <c r="R1145" s="11">
        <f t="shared" si="36"/>
        <v>8.2191530859929726E-4</v>
      </c>
      <c r="Z1145" s="11">
        <f t="shared" si="35"/>
        <v>1.0350997666826772E-3</v>
      </c>
    </row>
    <row r="1146" spans="1:26" x14ac:dyDescent="0.2">
      <c r="A1146" s="45">
        <v>218</v>
      </c>
      <c r="B1146" s="45">
        <v>2002</v>
      </c>
      <c r="C1146" s="17">
        <v>0</v>
      </c>
      <c r="D1146" s="14">
        <v>8.0111199999999994E-2</v>
      </c>
      <c r="E1146" s="14">
        <v>0.42344769999999998</v>
      </c>
      <c r="F1146" s="14">
        <v>6.4742800000000003E-2</v>
      </c>
      <c r="G1146" s="14">
        <v>2.4007930000000002</v>
      </c>
      <c r="H1146" s="14">
        <v>0.3986093</v>
      </c>
      <c r="R1146" s="11">
        <f t="shared" si="36"/>
        <v>5.5115155849021929E-4</v>
      </c>
      <c r="Z1146" s="11">
        <f t="shared" si="35"/>
        <v>7.004459861650479E-4</v>
      </c>
    </row>
    <row r="1147" spans="1:26" x14ac:dyDescent="0.2">
      <c r="A1147" s="45">
        <v>218</v>
      </c>
      <c r="B1147" s="45">
        <v>2003</v>
      </c>
      <c r="C1147" s="17">
        <v>0</v>
      </c>
      <c r="D1147" s="14">
        <v>4.6731099999999998E-2</v>
      </c>
      <c r="E1147" s="14">
        <v>0.39475209999999999</v>
      </c>
      <c r="F1147" s="14">
        <v>6.8206699999999995E-2</v>
      </c>
      <c r="G1147" s="14">
        <v>2.013976</v>
      </c>
      <c r="H1147" s="14">
        <v>0.40089789999999997</v>
      </c>
      <c r="R1147" s="11">
        <f t="shared" si="36"/>
        <v>1.0348079944403298E-3</v>
      </c>
      <c r="Z1147" s="11">
        <f t="shared" si="35"/>
        <v>1.3286355696113018E-3</v>
      </c>
    </row>
    <row r="1148" spans="1:26" x14ac:dyDescent="0.2">
      <c r="A1148" s="45">
        <v>218</v>
      </c>
      <c r="B1148" s="45">
        <v>2004</v>
      </c>
      <c r="C1148" s="17">
        <v>0</v>
      </c>
      <c r="D1148" s="14">
        <v>4.9555599999999998E-2</v>
      </c>
      <c r="E1148" s="14">
        <v>0.4295177</v>
      </c>
      <c r="F1148" s="14">
        <v>7.7824199999999996E-2</v>
      </c>
      <c r="G1148" s="14">
        <v>2.5300750000000001</v>
      </c>
      <c r="H1148" s="14">
        <v>0.40857589999999999</v>
      </c>
      <c r="R1148" s="11">
        <f t="shared" si="36"/>
        <v>4.0048356247736415E-4</v>
      </c>
      <c r="Z1148" s="11">
        <f t="shared" si="35"/>
        <v>5.131153911405482E-4</v>
      </c>
    </row>
    <row r="1149" spans="1:26" x14ac:dyDescent="0.2">
      <c r="A1149" s="45">
        <v>219</v>
      </c>
      <c r="B1149" s="45">
        <v>1999</v>
      </c>
      <c r="C1149" s="17">
        <v>0</v>
      </c>
      <c r="D1149" s="14">
        <v>0.5186634</v>
      </c>
      <c r="E1149" s="14">
        <v>0.13953699999999999</v>
      </c>
      <c r="F1149" s="14">
        <v>7.40788E-2</v>
      </c>
      <c r="G1149" s="14">
        <v>0.51497700000000002</v>
      </c>
      <c r="H1149" s="14">
        <v>0.60432229999999998</v>
      </c>
      <c r="R1149" s="11">
        <f t="shared" si="36"/>
        <v>1.5373893111239814E-2</v>
      </c>
      <c r="Z1149" s="11">
        <f t="shared" si="35"/>
        <v>2.0227350170502614E-2</v>
      </c>
    </row>
    <row r="1150" spans="1:26" x14ac:dyDescent="0.2">
      <c r="A1150" s="45">
        <v>219</v>
      </c>
      <c r="B1150" s="45">
        <v>2004</v>
      </c>
      <c r="C1150" s="17">
        <v>0</v>
      </c>
      <c r="D1150" s="14">
        <v>0.45400499999999999</v>
      </c>
      <c r="E1150" s="14">
        <v>0.2481389</v>
      </c>
      <c r="F1150" s="14">
        <v>8.4235299999999999E-2</v>
      </c>
      <c r="G1150" s="14">
        <v>1.084589</v>
      </c>
      <c r="H1150" s="14">
        <v>0.6317313</v>
      </c>
      <c r="R1150" s="11">
        <f t="shared" si="36"/>
        <v>4.9349115467282071E-3</v>
      </c>
      <c r="Z1150" s="11">
        <f t="shared" si="35"/>
        <v>6.5114329763346687E-3</v>
      </c>
    </row>
    <row r="1151" spans="1:26" x14ac:dyDescent="0.2">
      <c r="A1151" s="45">
        <v>220</v>
      </c>
      <c r="B1151" s="45">
        <v>1999</v>
      </c>
      <c r="C1151" s="17">
        <v>0</v>
      </c>
      <c r="D1151" s="14">
        <v>4.4032300000000003E-2</v>
      </c>
      <c r="E1151" s="14">
        <v>2.2622099999999999E-2</v>
      </c>
      <c r="F1151" s="14">
        <v>3.9069100000000002E-2</v>
      </c>
      <c r="G1151" s="14">
        <v>0.22195690000000001</v>
      </c>
      <c r="H1151" s="14">
        <v>0.18955449999999999</v>
      </c>
      <c r="R1151" s="11">
        <f t="shared" si="36"/>
        <v>3.7593900806070439E-2</v>
      </c>
      <c r="Z1151" s="11">
        <f t="shared" si="35"/>
        <v>4.7900639989024475E-2</v>
      </c>
    </row>
    <row r="1152" spans="1:26" x14ac:dyDescent="0.2">
      <c r="A1152" s="45">
        <v>220</v>
      </c>
      <c r="B1152" s="45">
        <v>2000</v>
      </c>
      <c r="C1152" s="17">
        <v>0</v>
      </c>
      <c r="D1152" s="14">
        <v>6.5046499999999993E-2</v>
      </c>
      <c r="E1152" s="14">
        <v>-2.24514E-2</v>
      </c>
      <c r="F1152" s="14">
        <v>2.4773900000000001E-2</v>
      </c>
      <c r="G1152" s="14">
        <v>6.9915599999999994E-2</v>
      </c>
      <c r="H1152" s="14">
        <v>0.17108419999999999</v>
      </c>
      <c r="R1152" s="11">
        <f t="shared" si="36"/>
        <v>5.623082164918751E-2</v>
      </c>
      <c r="Z1152" s="11">
        <f t="shared" si="35"/>
        <v>7.0615228954176615E-2</v>
      </c>
    </row>
    <row r="1153" spans="1:26" x14ac:dyDescent="0.2">
      <c r="A1153" s="45">
        <v>221</v>
      </c>
      <c r="B1153" s="45">
        <v>1999</v>
      </c>
      <c r="C1153" s="17">
        <v>0</v>
      </c>
      <c r="D1153" s="14">
        <v>0.2424192</v>
      </c>
      <c r="E1153" s="14">
        <v>0.1935886</v>
      </c>
      <c r="F1153" s="14">
        <v>8.2324099999999997E-2</v>
      </c>
      <c r="G1153" s="14">
        <v>0.80550440000000001</v>
      </c>
      <c r="H1153" s="14">
        <v>0.35766320000000001</v>
      </c>
      <c r="R1153" s="11">
        <f t="shared" si="36"/>
        <v>8.4331104243083339E-3</v>
      </c>
      <c r="Z1153" s="11">
        <f t="shared" si="35"/>
        <v>1.1144513189282716E-2</v>
      </c>
    </row>
    <row r="1154" spans="1:26" x14ac:dyDescent="0.2">
      <c r="A1154" s="45">
        <v>221</v>
      </c>
      <c r="B1154" s="45">
        <v>2000</v>
      </c>
      <c r="C1154" s="17">
        <v>0</v>
      </c>
      <c r="D1154" s="14">
        <v>0.25711070000000003</v>
      </c>
      <c r="E1154" s="14">
        <v>0.19197359999999999</v>
      </c>
      <c r="F1154" s="14">
        <v>8.4510100000000005E-2</v>
      </c>
      <c r="G1154" s="14">
        <v>0.83255579999999996</v>
      </c>
      <c r="H1154" s="14">
        <v>0.39176480000000002</v>
      </c>
      <c r="R1154" s="11">
        <f t="shared" si="36"/>
        <v>7.9597397328984767E-3</v>
      </c>
      <c r="Z1154" s="11">
        <f t="shared" ref="Z1154:Z1217" si="37">1/(1+EXP(-(U$2+$V$2*E1154+$W$2*F1154+$X$2*G1154)))</f>
        <v>1.05324419831347E-2</v>
      </c>
    </row>
    <row r="1155" spans="1:26" x14ac:dyDescent="0.2">
      <c r="A1155" s="45">
        <v>221</v>
      </c>
      <c r="B1155" s="45">
        <v>2001</v>
      </c>
      <c r="C1155" s="17">
        <v>0</v>
      </c>
      <c r="D1155" s="14">
        <v>0.25713989999999998</v>
      </c>
      <c r="E1155" s="14">
        <v>0.18484970000000001</v>
      </c>
      <c r="F1155" s="14">
        <v>8.3046700000000001E-2</v>
      </c>
      <c r="G1155" s="14">
        <v>0.86722200000000005</v>
      </c>
      <c r="H1155" s="14">
        <v>0.38106830000000003</v>
      </c>
      <c r="R1155" s="11">
        <f t="shared" si="36"/>
        <v>7.7019717743769516E-3</v>
      </c>
      <c r="Z1155" s="11">
        <f t="shared" si="37"/>
        <v>1.0169973545205298E-2</v>
      </c>
    </row>
    <row r="1156" spans="1:26" x14ac:dyDescent="0.2">
      <c r="A1156" s="45">
        <v>221</v>
      </c>
      <c r="B1156" s="45">
        <v>2002</v>
      </c>
      <c r="C1156" s="17">
        <v>0</v>
      </c>
      <c r="D1156" s="14">
        <v>0.28693079999999999</v>
      </c>
      <c r="E1156" s="14">
        <v>0.2206051</v>
      </c>
      <c r="F1156" s="14">
        <v>6.9198300000000004E-2</v>
      </c>
      <c r="G1156" s="14">
        <v>0.59862890000000002</v>
      </c>
      <c r="H1156" s="14">
        <v>0.37873620000000002</v>
      </c>
      <c r="R1156" s="11">
        <f t="shared" si="36"/>
        <v>1.2471816364402904E-2</v>
      </c>
      <c r="Z1156" s="11">
        <f t="shared" si="37"/>
        <v>1.6374961852203298E-2</v>
      </c>
    </row>
    <row r="1157" spans="1:26" x14ac:dyDescent="0.2">
      <c r="A1157" s="45">
        <v>221</v>
      </c>
      <c r="B1157" s="45">
        <v>2003</v>
      </c>
      <c r="C1157" s="17">
        <v>0</v>
      </c>
      <c r="D1157" s="14">
        <v>0.27078469999999999</v>
      </c>
      <c r="E1157" s="14">
        <v>0.26946819999999999</v>
      </c>
      <c r="F1157" s="14">
        <v>8.5833099999999996E-2</v>
      </c>
      <c r="G1157" s="14">
        <v>1.0296890000000001</v>
      </c>
      <c r="H1157" s="14">
        <v>0.38436439999999999</v>
      </c>
      <c r="R1157" s="11">
        <f t="shared" si="36"/>
        <v>5.154182641352055E-3</v>
      </c>
      <c r="Z1157" s="11">
        <f t="shared" si="37"/>
        <v>6.8222586369301738E-3</v>
      </c>
    </row>
    <row r="1158" spans="1:26" x14ac:dyDescent="0.2">
      <c r="A1158" s="45">
        <v>221</v>
      </c>
      <c r="B1158" s="45">
        <v>2004</v>
      </c>
      <c r="C1158" s="17">
        <v>0</v>
      </c>
      <c r="D1158" s="14">
        <v>0.23864050000000001</v>
      </c>
      <c r="E1158" s="14">
        <v>0.30990459999999997</v>
      </c>
      <c r="F1158" s="14">
        <v>8.2111199999999995E-2</v>
      </c>
      <c r="G1158" s="14">
        <v>1.122932</v>
      </c>
      <c r="H1158" s="14">
        <v>0.37369520000000001</v>
      </c>
      <c r="R1158" s="11">
        <f t="shared" si="36"/>
        <v>4.3190371805602E-3</v>
      </c>
      <c r="Z1158" s="11">
        <f t="shared" si="37"/>
        <v>5.6972826403366957E-3</v>
      </c>
    </row>
    <row r="1159" spans="1:26" x14ac:dyDescent="0.2">
      <c r="A1159" s="45">
        <v>222</v>
      </c>
      <c r="B1159" s="45">
        <v>1999</v>
      </c>
      <c r="C1159" s="17">
        <v>0</v>
      </c>
      <c r="D1159" s="14">
        <v>0.19624559999999999</v>
      </c>
      <c r="E1159" s="14">
        <v>0.45445380000000002</v>
      </c>
      <c r="F1159" s="14">
        <v>6.3713900000000004E-2</v>
      </c>
      <c r="G1159" s="14">
        <v>1.1834530000000001</v>
      </c>
      <c r="H1159" s="14">
        <v>0.39198959999999999</v>
      </c>
      <c r="R1159" s="11">
        <f t="shared" si="36"/>
        <v>3.6847658512127084E-3</v>
      </c>
      <c r="Z1159" s="11">
        <f t="shared" si="37"/>
        <v>4.8064757176923822E-3</v>
      </c>
    </row>
    <row r="1160" spans="1:26" x14ac:dyDescent="0.2">
      <c r="A1160" s="45">
        <v>222</v>
      </c>
      <c r="B1160" s="45">
        <v>2000</v>
      </c>
      <c r="C1160" s="17">
        <v>0</v>
      </c>
      <c r="D1160" s="14">
        <v>0.1073474</v>
      </c>
      <c r="E1160" s="14">
        <v>0.43441259999999998</v>
      </c>
      <c r="F1160" s="14">
        <v>6.8540199999999996E-2</v>
      </c>
      <c r="G1160" s="14">
        <v>1.0076959999999999</v>
      </c>
      <c r="H1160" s="14">
        <v>0.34250799999999998</v>
      </c>
      <c r="R1160" s="11">
        <f t="shared" si="36"/>
        <v>4.8243803128612548E-3</v>
      </c>
      <c r="Z1160" s="11">
        <f t="shared" si="37"/>
        <v>6.3356080194412606E-3</v>
      </c>
    </row>
    <row r="1161" spans="1:26" x14ac:dyDescent="0.2">
      <c r="A1161" s="45">
        <v>222</v>
      </c>
      <c r="B1161" s="45">
        <v>2001</v>
      </c>
      <c r="C1161" s="17">
        <v>0</v>
      </c>
      <c r="D1161" s="14">
        <v>0.13958490000000001</v>
      </c>
      <c r="E1161" s="14">
        <v>0.29352689999999998</v>
      </c>
      <c r="F1161" s="14">
        <v>4.6267000000000003E-2</v>
      </c>
      <c r="G1161" s="14">
        <v>0.61468210000000001</v>
      </c>
      <c r="H1161" s="14">
        <v>0.222497</v>
      </c>
      <c r="R1161" s="11">
        <f t="shared" si="36"/>
        <v>1.3126394963258984E-2</v>
      </c>
      <c r="Z1161" s="11">
        <f t="shared" si="37"/>
        <v>1.6951113089259905E-2</v>
      </c>
    </row>
    <row r="1162" spans="1:26" x14ac:dyDescent="0.2">
      <c r="A1162" s="45">
        <v>222</v>
      </c>
      <c r="B1162" s="45">
        <v>2002</v>
      </c>
      <c r="C1162" s="17">
        <v>0</v>
      </c>
      <c r="D1162" s="14">
        <v>8.72227E-2</v>
      </c>
      <c r="E1162" s="14">
        <v>0.32215549999999998</v>
      </c>
      <c r="F1162" s="14">
        <v>4.691E-2</v>
      </c>
      <c r="G1162" s="14">
        <v>0.89996209999999999</v>
      </c>
      <c r="H1162" s="14">
        <v>0.25516929999999999</v>
      </c>
      <c r="R1162" s="11">
        <f t="shared" si="36"/>
        <v>7.9918629859337693E-3</v>
      </c>
      <c r="Z1162" s="11">
        <f t="shared" si="37"/>
        <v>1.0287450724208048E-2</v>
      </c>
    </row>
    <row r="1163" spans="1:26" x14ac:dyDescent="0.2">
      <c r="A1163" s="45">
        <v>222</v>
      </c>
      <c r="B1163" s="45">
        <v>2003</v>
      </c>
      <c r="C1163" s="17">
        <v>0</v>
      </c>
      <c r="D1163" s="14">
        <v>0.1242813</v>
      </c>
      <c r="E1163" s="14">
        <v>0.33336199999999999</v>
      </c>
      <c r="F1163" s="14">
        <v>3.3655600000000001E-2</v>
      </c>
      <c r="G1163" s="14">
        <v>0.94759300000000002</v>
      </c>
      <c r="H1163" s="14">
        <v>0.25389250000000002</v>
      </c>
      <c r="R1163" s="11">
        <f t="shared" si="36"/>
        <v>8.1022077205462357E-3</v>
      </c>
      <c r="Z1163" s="11">
        <f t="shared" si="37"/>
        <v>1.0310839061017082E-2</v>
      </c>
    </row>
    <row r="1164" spans="1:26" x14ac:dyDescent="0.2">
      <c r="A1164" s="45">
        <v>223</v>
      </c>
      <c r="B1164" s="45">
        <v>1999</v>
      </c>
      <c r="C1164" s="17">
        <v>0</v>
      </c>
      <c r="D1164" s="14">
        <v>0.28552440000000001</v>
      </c>
      <c r="E1164" s="14">
        <v>3.9794200000000002E-2</v>
      </c>
      <c r="F1164" s="14">
        <v>6.0269700000000002E-2</v>
      </c>
      <c r="G1164" s="14">
        <v>1.8765350000000001</v>
      </c>
      <c r="H1164" s="14">
        <v>0.22184960000000001</v>
      </c>
      <c r="R1164" s="11">
        <f t="shared" si="36"/>
        <v>2.2969484556460288E-3</v>
      </c>
      <c r="Z1164" s="11">
        <f t="shared" si="37"/>
        <v>2.9024617203480762E-3</v>
      </c>
    </row>
    <row r="1165" spans="1:26" x14ac:dyDescent="0.2">
      <c r="A1165" s="45">
        <v>223</v>
      </c>
      <c r="B1165" s="45">
        <v>2000</v>
      </c>
      <c r="C1165" s="17">
        <v>0</v>
      </c>
      <c r="D1165" s="14">
        <v>0.263652</v>
      </c>
      <c r="E1165" s="14">
        <v>0.1289949</v>
      </c>
      <c r="F1165" s="14">
        <v>5.36617E-2</v>
      </c>
      <c r="G1165" s="14">
        <v>2.2317089999999999</v>
      </c>
      <c r="H1165" s="14">
        <v>0.28086430000000001</v>
      </c>
      <c r="R1165" s="11">
        <f t="shared" si="36"/>
        <v>1.2090394468523733E-3</v>
      </c>
      <c r="Z1165" s="11">
        <f t="shared" si="37"/>
        <v>1.5127458343042756E-3</v>
      </c>
    </row>
    <row r="1166" spans="1:26" x14ac:dyDescent="0.2">
      <c r="A1166" s="45">
        <v>224</v>
      </c>
      <c r="B1166" s="45">
        <v>1999</v>
      </c>
      <c r="C1166" s="17">
        <v>0</v>
      </c>
      <c r="D1166" s="14">
        <v>0.23356740000000001</v>
      </c>
      <c r="E1166" s="14">
        <v>0.26134689999999999</v>
      </c>
      <c r="F1166" s="14">
        <v>4.3505099999999998E-2</v>
      </c>
      <c r="G1166" s="14">
        <v>0.52560099999999998</v>
      </c>
      <c r="H1166" s="14">
        <v>0.61288410000000004</v>
      </c>
      <c r="R1166" s="11">
        <f t="shared" si="36"/>
        <v>1.6157606687571976E-2</v>
      </c>
      <c r="Z1166" s="11">
        <f t="shared" si="37"/>
        <v>2.081822505386317E-2</v>
      </c>
    </row>
    <row r="1167" spans="1:26" x14ac:dyDescent="0.2">
      <c r="A1167" s="45">
        <v>224</v>
      </c>
      <c r="B1167" s="45">
        <v>2000</v>
      </c>
      <c r="C1167" s="17">
        <v>0</v>
      </c>
      <c r="D1167" s="14">
        <v>0.1141863</v>
      </c>
      <c r="E1167" s="14">
        <v>8.4666099999999994E-2</v>
      </c>
      <c r="F1167" s="14">
        <v>2.2353E-3</v>
      </c>
      <c r="G1167" s="14">
        <v>0.52200539999999995</v>
      </c>
      <c r="H1167" s="14">
        <v>0.50791470000000005</v>
      </c>
      <c r="R1167" s="11">
        <f t="shared" si="36"/>
        <v>2.8851210776193442E-2</v>
      </c>
      <c r="Z1167" s="11">
        <f t="shared" si="37"/>
        <v>3.5641685500772895E-2</v>
      </c>
    </row>
    <row r="1168" spans="1:26" x14ac:dyDescent="0.2">
      <c r="A1168" s="45">
        <v>224</v>
      </c>
      <c r="B1168" s="45">
        <v>2001</v>
      </c>
      <c r="C1168" s="17">
        <v>0</v>
      </c>
      <c r="D1168" s="14">
        <v>0.2480994</v>
      </c>
      <c r="E1168" s="14">
        <v>-8.2766099999999995E-2</v>
      </c>
      <c r="F1168" s="14">
        <v>-2.9426999999999999E-3</v>
      </c>
      <c r="G1168" s="14">
        <v>0.49451260000000002</v>
      </c>
      <c r="H1168" s="14">
        <v>0.63804289999999997</v>
      </c>
      <c r="R1168" s="11">
        <f t="shared" si="36"/>
        <v>3.9633268044204875E-2</v>
      </c>
      <c r="Z1168" s="11">
        <f t="shared" si="37"/>
        <v>4.8400063831325273E-2</v>
      </c>
    </row>
    <row r="1169" spans="1:26" x14ac:dyDescent="0.2">
      <c r="A1169" s="45">
        <v>224</v>
      </c>
      <c r="B1169" s="45">
        <v>2002</v>
      </c>
      <c r="C1169" s="17">
        <v>0</v>
      </c>
      <c r="D1169" s="14">
        <v>0.2267604</v>
      </c>
      <c r="E1169" s="14">
        <v>-0.16681499999999999</v>
      </c>
      <c r="F1169" s="14">
        <v>-1.6524299999999999E-2</v>
      </c>
      <c r="G1169" s="14">
        <v>0.25244539999999999</v>
      </c>
      <c r="H1169" s="14">
        <v>0.64432639999999997</v>
      </c>
      <c r="R1169" s="11">
        <f t="shared" si="36"/>
        <v>7.1025613257606063E-2</v>
      </c>
      <c r="Z1169" s="11">
        <f t="shared" si="37"/>
        <v>8.5432796378589138E-2</v>
      </c>
    </row>
    <row r="1170" spans="1:26" x14ac:dyDescent="0.2">
      <c r="A1170" s="45">
        <v>224</v>
      </c>
      <c r="B1170" s="45">
        <v>2003</v>
      </c>
      <c r="C1170" s="17">
        <v>0</v>
      </c>
      <c r="D1170" s="14">
        <v>0.28998309999999999</v>
      </c>
      <c r="E1170" s="14">
        <v>-0.14552409999999999</v>
      </c>
      <c r="F1170" s="14">
        <v>4.3287800000000001E-2</v>
      </c>
      <c r="G1170" s="14">
        <v>0.71910370000000001</v>
      </c>
      <c r="H1170" s="14">
        <v>0.6789809</v>
      </c>
      <c r="R1170" s="11">
        <f t="shared" si="36"/>
        <v>2.1371318432359981E-2</v>
      </c>
      <c r="Z1170" s="11">
        <f t="shared" si="37"/>
        <v>2.7006454086745454E-2</v>
      </c>
    </row>
    <row r="1171" spans="1:26" x14ac:dyDescent="0.2">
      <c r="A1171" s="45">
        <v>225</v>
      </c>
      <c r="B1171" s="45">
        <v>1999</v>
      </c>
      <c r="C1171" s="17">
        <v>0</v>
      </c>
      <c r="D1171" s="14">
        <v>0.14914350000000001</v>
      </c>
      <c r="E1171" s="14">
        <v>2.4149400000000001E-2</v>
      </c>
      <c r="F1171" s="14">
        <v>4.6677400000000001E-2</v>
      </c>
      <c r="G1171" s="14">
        <v>0.1711772</v>
      </c>
      <c r="H1171" s="14">
        <v>1.0070479999999999</v>
      </c>
      <c r="R1171" s="11">
        <f t="shared" si="36"/>
        <v>3.8244797552313026E-2</v>
      </c>
      <c r="Z1171" s="11">
        <f t="shared" si="37"/>
        <v>4.9065400913513961E-2</v>
      </c>
    </row>
    <row r="1172" spans="1:26" x14ac:dyDescent="0.2">
      <c r="A1172" s="45">
        <v>225</v>
      </c>
      <c r="B1172" s="45">
        <v>2000</v>
      </c>
      <c r="C1172" s="17">
        <v>0</v>
      </c>
      <c r="D1172" s="14">
        <v>0.140843</v>
      </c>
      <c r="E1172" s="14">
        <v>-1.8039099999999999E-2</v>
      </c>
      <c r="F1172" s="14">
        <v>4.4848199999999998E-2</v>
      </c>
      <c r="G1172" s="14">
        <v>0.17897060000000001</v>
      </c>
      <c r="H1172" s="14">
        <v>1.1056619999999999</v>
      </c>
      <c r="R1172" s="11">
        <f t="shared" si="36"/>
        <v>4.0652341356674733E-2</v>
      </c>
      <c r="Z1172" s="11">
        <f t="shared" si="37"/>
        <v>5.1963427089104661E-2</v>
      </c>
    </row>
    <row r="1173" spans="1:26" x14ac:dyDescent="0.2">
      <c r="A1173" s="45">
        <v>225</v>
      </c>
      <c r="B1173" s="45">
        <v>2001</v>
      </c>
      <c r="C1173" s="17">
        <v>0</v>
      </c>
      <c r="D1173" s="14">
        <v>0.16062760000000001</v>
      </c>
      <c r="E1173" s="14">
        <v>-1.96016E-2</v>
      </c>
      <c r="F1173" s="14">
        <v>3.6512700000000002E-2</v>
      </c>
      <c r="G1173" s="14">
        <v>0.29027789999999998</v>
      </c>
      <c r="H1173" s="14">
        <v>0.98858429999999997</v>
      </c>
      <c r="R1173" s="11">
        <f t="shared" si="36"/>
        <v>3.6627963116522111E-2</v>
      </c>
      <c r="Z1173" s="11">
        <f t="shared" si="37"/>
        <v>4.6458618867639551E-2</v>
      </c>
    </row>
    <row r="1174" spans="1:26" x14ac:dyDescent="0.2">
      <c r="A1174" s="45">
        <v>226</v>
      </c>
      <c r="B1174" s="45">
        <v>2004</v>
      </c>
      <c r="C1174" s="17">
        <v>0</v>
      </c>
      <c r="D1174" s="14">
        <v>0.25987270000000001</v>
      </c>
      <c r="E1174" s="14">
        <v>0.2505638</v>
      </c>
      <c r="F1174" s="14">
        <v>4.8980099999999999E-2</v>
      </c>
      <c r="G1174" s="14">
        <v>1.738982</v>
      </c>
      <c r="H1174" s="14">
        <v>0.70533319999999999</v>
      </c>
      <c r="R1174" s="11">
        <f t="shared" si="36"/>
        <v>2.3039406217823296E-3</v>
      </c>
      <c r="Z1174" s="11">
        <f t="shared" si="37"/>
        <v>2.9141943495749035E-3</v>
      </c>
    </row>
    <row r="1175" spans="1:26" x14ac:dyDescent="0.2">
      <c r="A1175" s="45">
        <v>227</v>
      </c>
      <c r="B1175" s="45">
        <v>1998</v>
      </c>
      <c r="C1175" s="17">
        <v>0</v>
      </c>
      <c r="D1175" s="14">
        <v>0.25073679999999998</v>
      </c>
      <c r="E1175" s="14">
        <v>0.21884919999999999</v>
      </c>
      <c r="F1175" s="14">
        <v>8.1036899999999995E-2</v>
      </c>
      <c r="G1175" s="14">
        <v>0.95010240000000001</v>
      </c>
      <c r="H1175" s="14">
        <v>0.39380609999999999</v>
      </c>
      <c r="R1175" s="11">
        <f t="shared" ref="R1175:R1238" si="38">1/(1+EXP(-(K$2+$M$2*E1175+$N$2*F1175+$O$2*G1175)))</f>
        <v>6.5352737941473575E-3</v>
      </c>
      <c r="Z1175" s="11">
        <f t="shared" si="37"/>
        <v>8.6129511021048617E-3</v>
      </c>
    </row>
    <row r="1176" spans="1:26" x14ac:dyDescent="0.2">
      <c r="A1176" s="45">
        <v>228</v>
      </c>
      <c r="B1176" s="45">
        <v>1999</v>
      </c>
      <c r="C1176" s="17">
        <v>0</v>
      </c>
      <c r="D1176" s="14">
        <v>1.7285399999999999E-2</v>
      </c>
      <c r="E1176" s="14">
        <v>-0.47103469999999997</v>
      </c>
      <c r="F1176" s="14">
        <v>4.3435500000000002E-2</v>
      </c>
      <c r="G1176" s="14">
        <v>1.498699</v>
      </c>
      <c r="H1176" s="14">
        <v>0.15488859999999999</v>
      </c>
      <c r="R1176" s="11">
        <f t="shared" si="38"/>
        <v>1.0007689715039072E-2</v>
      </c>
      <c r="Z1176" s="11">
        <f t="shared" si="37"/>
        <v>1.233690590656525E-2</v>
      </c>
    </row>
    <row r="1177" spans="1:26" x14ac:dyDescent="0.2">
      <c r="A1177" s="45">
        <v>228</v>
      </c>
      <c r="B1177" s="45">
        <v>2000</v>
      </c>
      <c r="C1177" s="17">
        <v>0</v>
      </c>
      <c r="D1177" s="14">
        <v>2.9708700000000001E-2</v>
      </c>
      <c r="E1177" s="14">
        <v>-0.1411925</v>
      </c>
      <c r="F1177" s="14">
        <v>0.1074794</v>
      </c>
      <c r="G1177" s="14">
        <v>2.044165</v>
      </c>
      <c r="H1177" s="14">
        <v>0.35272500000000001</v>
      </c>
      <c r="R1177" s="11">
        <f t="shared" si="38"/>
        <v>1.5694126356137685E-3</v>
      </c>
      <c r="Z1177" s="11">
        <f t="shared" si="37"/>
        <v>2.041359949869855E-3</v>
      </c>
    </row>
    <row r="1178" spans="1:26" x14ac:dyDescent="0.2">
      <c r="A1178" s="45">
        <v>228</v>
      </c>
      <c r="B1178" s="45">
        <v>2001</v>
      </c>
      <c r="C1178" s="17">
        <v>0</v>
      </c>
      <c r="D1178" s="14">
        <v>1.15639E-2</v>
      </c>
      <c r="E1178" s="14">
        <v>-5.5037500000000003E-2</v>
      </c>
      <c r="F1178" s="14">
        <v>3.9044700000000002E-2</v>
      </c>
      <c r="G1178" s="14">
        <v>1.539123</v>
      </c>
      <c r="H1178" s="14">
        <v>0.14188239999999999</v>
      </c>
      <c r="R1178" s="11">
        <f t="shared" si="38"/>
        <v>5.3329202639381375E-3</v>
      </c>
      <c r="Z1178" s="11">
        <f t="shared" si="37"/>
        <v>6.6455335778942397E-3</v>
      </c>
    </row>
    <row r="1179" spans="1:26" x14ac:dyDescent="0.2">
      <c r="A1179" s="45">
        <v>228</v>
      </c>
      <c r="B1179" s="45">
        <v>2002</v>
      </c>
      <c r="C1179" s="17">
        <v>0</v>
      </c>
      <c r="D1179" s="14">
        <v>-2.6069999999999999E-4</v>
      </c>
      <c r="E1179" s="14">
        <v>-7.1995799999999999E-2</v>
      </c>
      <c r="F1179" s="14">
        <v>3.2391099999999999E-2</v>
      </c>
      <c r="G1179" s="14">
        <v>1.3128820000000001</v>
      </c>
      <c r="H1179" s="14">
        <v>9.4525999999999999E-2</v>
      </c>
      <c r="R1179" s="11">
        <f t="shared" si="38"/>
        <v>8.2431738236243123E-3</v>
      </c>
      <c r="Z1179" s="11">
        <f t="shared" si="37"/>
        <v>1.0254014317501271E-2</v>
      </c>
    </row>
    <row r="1180" spans="1:26" x14ac:dyDescent="0.2">
      <c r="A1180" s="45">
        <v>228</v>
      </c>
      <c r="B1180" s="45">
        <v>2003</v>
      </c>
      <c r="C1180" s="17">
        <v>0</v>
      </c>
      <c r="D1180" s="14">
        <v>8.6406999999999994E-3</v>
      </c>
      <c r="E1180" s="14">
        <v>1.6154200000000001E-2</v>
      </c>
      <c r="F1180" s="14">
        <v>2.92917E-2</v>
      </c>
      <c r="G1180" s="14">
        <v>1.0499769999999999</v>
      </c>
      <c r="H1180" s="14">
        <v>8.7423799999999996E-2</v>
      </c>
      <c r="R1180" s="11">
        <f t="shared" si="38"/>
        <v>1.12674230709552E-2</v>
      </c>
      <c r="Z1180" s="11">
        <f t="shared" si="37"/>
        <v>1.4092435810012485E-2</v>
      </c>
    </row>
    <row r="1181" spans="1:26" x14ac:dyDescent="0.2">
      <c r="A1181" s="45">
        <v>228</v>
      </c>
      <c r="B1181" s="45">
        <v>2004</v>
      </c>
      <c r="C1181" s="17">
        <v>0</v>
      </c>
      <c r="D1181" s="14">
        <v>1.5336600000000001E-2</v>
      </c>
      <c r="E1181" s="14">
        <v>6.5827700000000003E-2</v>
      </c>
      <c r="F1181" s="14">
        <v>6.0305600000000001E-2</v>
      </c>
      <c r="G1181" s="14">
        <v>1.1645049999999999</v>
      </c>
      <c r="H1181" s="14">
        <v>0.1115415</v>
      </c>
      <c r="R1181" s="11">
        <f t="shared" si="38"/>
        <v>6.845275689548241E-3</v>
      </c>
      <c r="Z1181" s="11">
        <f t="shared" si="37"/>
        <v>8.7827750784946427E-3</v>
      </c>
    </row>
    <row r="1182" spans="1:26" x14ac:dyDescent="0.2">
      <c r="A1182" s="45">
        <v>229</v>
      </c>
      <c r="B1182" s="45">
        <v>1999</v>
      </c>
      <c r="C1182" s="17">
        <v>0</v>
      </c>
      <c r="D1182" s="14">
        <v>-0.1052575</v>
      </c>
      <c r="E1182" s="14">
        <v>0.1126226</v>
      </c>
      <c r="F1182" s="14">
        <v>5.06828E-2</v>
      </c>
      <c r="G1182" s="14">
        <v>1.741544</v>
      </c>
      <c r="H1182" s="14">
        <v>0.16118650000000001</v>
      </c>
      <c r="R1182" s="11">
        <f t="shared" si="38"/>
        <v>2.7649577333855721E-3</v>
      </c>
      <c r="Z1182" s="11">
        <f t="shared" si="37"/>
        <v>3.4851057711336856E-3</v>
      </c>
    </row>
    <row r="1183" spans="1:26" x14ac:dyDescent="0.2">
      <c r="A1183" s="45">
        <v>230</v>
      </c>
      <c r="B1183" s="45">
        <v>1999</v>
      </c>
      <c r="C1183" s="17">
        <v>0</v>
      </c>
      <c r="D1183" s="14">
        <v>3.7511599999999999E-2</v>
      </c>
      <c r="E1183" s="14">
        <v>0.64537109999999998</v>
      </c>
      <c r="F1183" s="14">
        <v>9.3454999999999996E-2</v>
      </c>
      <c r="G1183" s="14">
        <v>5.2254889999999996</v>
      </c>
      <c r="H1183" s="14">
        <v>0.18857199999999999</v>
      </c>
      <c r="R1183" s="11">
        <f t="shared" si="38"/>
        <v>3.5211464193967506E-6</v>
      </c>
      <c r="Z1183" s="11">
        <f t="shared" si="37"/>
        <v>4.3387277148409115E-6</v>
      </c>
    </row>
    <row r="1184" spans="1:26" x14ac:dyDescent="0.2">
      <c r="A1184" s="45">
        <v>230</v>
      </c>
      <c r="B1184" s="45">
        <v>2000</v>
      </c>
      <c r="C1184" s="17">
        <v>0</v>
      </c>
      <c r="D1184" s="14">
        <v>4.92726E-2</v>
      </c>
      <c r="E1184" s="14">
        <v>0.56679710000000005</v>
      </c>
      <c r="F1184" s="14">
        <v>7.8808799999999998E-2</v>
      </c>
      <c r="G1184" s="14">
        <v>2.1404830000000001</v>
      </c>
      <c r="H1184" s="14">
        <v>0.18836230000000001</v>
      </c>
      <c r="R1184" s="11">
        <f t="shared" si="38"/>
        <v>6.0536787705617919E-4</v>
      </c>
      <c r="Z1184" s="11">
        <f t="shared" si="37"/>
        <v>7.865745828480713E-4</v>
      </c>
    </row>
    <row r="1185" spans="1:26" x14ac:dyDescent="0.2">
      <c r="A1185" s="45">
        <v>230</v>
      </c>
      <c r="B1185" s="45">
        <v>2001</v>
      </c>
      <c r="C1185" s="17">
        <v>0</v>
      </c>
      <c r="D1185" s="14">
        <v>4.0454900000000002E-2</v>
      </c>
      <c r="E1185" s="14">
        <v>0.59443710000000005</v>
      </c>
      <c r="F1185" s="14">
        <v>5.5545799999999999E-2</v>
      </c>
      <c r="G1185" s="14">
        <v>2.4480719999999998</v>
      </c>
      <c r="H1185" s="14">
        <v>0.15302009999999999</v>
      </c>
      <c r="R1185" s="11">
        <f t="shared" si="38"/>
        <v>4.2911871933972481E-4</v>
      </c>
      <c r="Z1185" s="11">
        <f t="shared" si="37"/>
        <v>5.4389518880818076E-4</v>
      </c>
    </row>
    <row r="1186" spans="1:26" x14ac:dyDescent="0.2">
      <c r="A1186" s="45">
        <v>230</v>
      </c>
      <c r="B1186" s="45">
        <v>2002</v>
      </c>
      <c r="C1186" s="17">
        <v>0</v>
      </c>
      <c r="D1186" s="14">
        <v>3.74957E-2</v>
      </c>
      <c r="E1186" s="14">
        <v>0.64534360000000002</v>
      </c>
      <c r="F1186" s="14">
        <v>7.4436299999999997E-2</v>
      </c>
      <c r="G1186" s="14">
        <v>2.850533</v>
      </c>
      <c r="H1186" s="14">
        <v>0.1507975</v>
      </c>
      <c r="R1186" s="11">
        <f t="shared" si="38"/>
        <v>1.8045789788323396E-4</v>
      </c>
      <c r="Z1186" s="11">
        <f t="shared" si="37"/>
        <v>2.3066160949389105E-4</v>
      </c>
    </row>
    <row r="1187" spans="1:26" x14ac:dyDescent="0.2">
      <c r="A1187" s="45">
        <v>230</v>
      </c>
      <c r="B1187" s="45">
        <v>2003</v>
      </c>
      <c r="C1187" s="17">
        <v>0</v>
      </c>
      <c r="D1187" s="14">
        <v>4.3627899999999997E-2</v>
      </c>
      <c r="E1187" s="14">
        <v>0.68679140000000005</v>
      </c>
      <c r="F1187" s="14">
        <v>6.5791699999999995E-2</v>
      </c>
      <c r="G1187" s="14">
        <v>3.8872819999999999</v>
      </c>
      <c r="H1187" s="14">
        <v>0.14189189999999999</v>
      </c>
      <c r="R1187" s="11">
        <f t="shared" si="38"/>
        <v>3.4895873530372206E-5</v>
      </c>
      <c r="Z1187" s="11">
        <f t="shared" si="37"/>
        <v>4.3352688434443229E-5</v>
      </c>
    </row>
    <row r="1188" spans="1:26" x14ac:dyDescent="0.2">
      <c r="A1188" s="45">
        <v>230</v>
      </c>
      <c r="B1188" s="45">
        <v>2004</v>
      </c>
      <c r="C1188" s="17">
        <v>0</v>
      </c>
      <c r="D1188" s="14">
        <v>4.8661700000000002E-2</v>
      </c>
      <c r="E1188" s="14">
        <v>0.74567349999999999</v>
      </c>
      <c r="F1188" s="14">
        <v>7.1960499999999997E-2</v>
      </c>
      <c r="G1188" s="14">
        <v>2.916207</v>
      </c>
      <c r="H1188" s="14">
        <v>0.17167460000000001</v>
      </c>
      <c r="R1188" s="11">
        <f t="shared" si="38"/>
        <v>1.4327979126394448E-4</v>
      </c>
      <c r="Z1188" s="11">
        <f t="shared" si="37"/>
        <v>1.8313566099673813E-4</v>
      </c>
    </row>
    <row r="1189" spans="1:26" x14ac:dyDescent="0.2">
      <c r="A1189" s="45">
        <v>231</v>
      </c>
      <c r="B1189" s="45">
        <v>1999</v>
      </c>
      <c r="C1189" s="17">
        <v>0</v>
      </c>
      <c r="D1189" s="14">
        <v>0.1331135</v>
      </c>
      <c r="E1189" s="14">
        <v>0.82356320000000005</v>
      </c>
      <c r="F1189" s="14">
        <v>0.15677430000000001</v>
      </c>
      <c r="G1189" s="14">
        <v>12.89359</v>
      </c>
      <c r="H1189" s="14">
        <v>0.77723260000000005</v>
      </c>
      <c r="R1189" s="11">
        <f t="shared" si="38"/>
        <v>8.0757804397101284E-12</v>
      </c>
      <c r="Z1189" s="11">
        <f t="shared" si="37"/>
        <v>8.9067880142798906E-12</v>
      </c>
    </row>
    <row r="1190" spans="1:26" x14ac:dyDescent="0.2">
      <c r="A1190" s="45">
        <v>231</v>
      </c>
      <c r="B1190" s="45">
        <v>2000</v>
      </c>
      <c r="C1190" s="17">
        <v>0</v>
      </c>
      <c r="D1190" s="14">
        <v>8.1826999999999993E-3</v>
      </c>
      <c r="E1190" s="14">
        <v>0.74877419999999995</v>
      </c>
      <c r="F1190" s="14">
        <v>8.1694699999999995E-2</v>
      </c>
      <c r="G1190" s="14">
        <v>6.8036409999999998</v>
      </c>
      <c r="H1190" s="14">
        <v>0.66422000000000003</v>
      </c>
      <c r="R1190" s="11">
        <f t="shared" si="38"/>
        <v>2.6916709641283387E-7</v>
      </c>
      <c r="Z1190" s="11">
        <f t="shared" si="37"/>
        <v>3.1839063660213223E-7</v>
      </c>
    </row>
    <row r="1191" spans="1:26" x14ac:dyDescent="0.2">
      <c r="A1191" s="45">
        <v>231</v>
      </c>
      <c r="B1191" s="45">
        <v>2001</v>
      </c>
      <c r="C1191" s="17">
        <v>0</v>
      </c>
      <c r="D1191" s="14">
        <v>0.159413</v>
      </c>
      <c r="E1191" s="14">
        <v>0.66484739999999998</v>
      </c>
      <c r="F1191" s="14">
        <v>3.0783999999999999E-2</v>
      </c>
      <c r="G1191" s="14">
        <v>2.6943860000000002</v>
      </c>
      <c r="H1191" s="14">
        <v>0.56856859999999998</v>
      </c>
      <c r="R1191" s="11">
        <f t="shared" si="38"/>
        <v>3.1894298283653303E-4</v>
      </c>
      <c r="Z1191" s="11">
        <f t="shared" si="37"/>
        <v>3.9495274337078768E-4</v>
      </c>
    </row>
    <row r="1192" spans="1:26" x14ac:dyDescent="0.2">
      <c r="A1192" s="45">
        <v>231</v>
      </c>
      <c r="B1192" s="45">
        <v>2002</v>
      </c>
      <c r="C1192" s="17">
        <v>0</v>
      </c>
      <c r="D1192" s="14">
        <v>0.33142779999999999</v>
      </c>
      <c r="E1192" s="14">
        <v>0.56211359999999999</v>
      </c>
      <c r="F1192" s="14">
        <v>7.9987799999999998E-2</v>
      </c>
      <c r="G1192" s="14">
        <v>2.0988820000000001</v>
      </c>
      <c r="H1192" s="14">
        <v>0.49551840000000003</v>
      </c>
      <c r="R1192" s="11">
        <f t="shared" si="38"/>
        <v>6.4514213871475498E-4</v>
      </c>
      <c r="Z1192" s="11">
        <f t="shared" si="37"/>
        <v>8.396881037887983E-4</v>
      </c>
    </row>
    <row r="1193" spans="1:26" x14ac:dyDescent="0.2">
      <c r="A1193" s="45">
        <v>231</v>
      </c>
      <c r="B1193" s="45">
        <v>2003</v>
      </c>
      <c r="C1193" s="17">
        <v>0</v>
      </c>
      <c r="D1193" s="14">
        <v>0.45235009999999998</v>
      </c>
      <c r="E1193" s="14">
        <v>0.64053139999999997</v>
      </c>
      <c r="F1193" s="14">
        <v>9.0697899999999998E-2</v>
      </c>
      <c r="G1193" s="14">
        <v>3.0224169999999999</v>
      </c>
      <c r="H1193" s="14">
        <v>0.50805690000000003</v>
      </c>
      <c r="R1193" s="11">
        <f t="shared" si="38"/>
        <v>1.2133590989261899E-4</v>
      </c>
      <c r="Z1193" s="11">
        <f t="shared" si="37"/>
        <v>1.5655566025399683E-4</v>
      </c>
    </row>
    <row r="1194" spans="1:26" x14ac:dyDescent="0.2">
      <c r="A1194" s="45">
        <v>231</v>
      </c>
      <c r="B1194" s="45">
        <v>2004</v>
      </c>
      <c r="C1194" s="17">
        <v>0</v>
      </c>
      <c r="D1194" s="14">
        <v>0.42739470000000002</v>
      </c>
      <c r="E1194" s="14">
        <v>0.7380757</v>
      </c>
      <c r="F1194" s="14">
        <v>8.6992299999999995E-2</v>
      </c>
      <c r="G1194" s="14">
        <v>3.7936550000000002</v>
      </c>
      <c r="H1194" s="14">
        <v>0.52355799999999997</v>
      </c>
      <c r="R1194" s="11">
        <f t="shared" si="38"/>
        <v>3.1735054796031889E-5</v>
      </c>
      <c r="Z1194" s="11">
        <f t="shared" si="37"/>
        <v>4.0270519758708836E-5</v>
      </c>
    </row>
    <row r="1195" spans="1:26" x14ac:dyDescent="0.2">
      <c r="A1195" s="45">
        <v>232</v>
      </c>
      <c r="B1195" s="45">
        <v>1999</v>
      </c>
      <c r="C1195" s="17">
        <v>0</v>
      </c>
      <c r="D1195" s="14">
        <v>2.03857E-2</v>
      </c>
      <c r="E1195" s="14">
        <v>8.1238099999999994E-2</v>
      </c>
      <c r="F1195" s="14">
        <v>3.9634299999999997E-2</v>
      </c>
      <c r="G1195" s="14">
        <v>0.42531350000000001</v>
      </c>
      <c r="H1195" s="14">
        <v>0.24467559999999999</v>
      </c>
      <c r="R1195" s="11">
        <f t="shared" si="38"/>
        <v>2.5174852963978485E-2</v>
      </c>
      <c r="Z1195" s="11">
        <f t="shared" si="37"/>
        <v>3.212824249121872E-2</v>
      </c>
    </row>
    <row r="1196" spans="1:26" x14ac:dyDescent="0.2">
      <c r="A1196" s="45">
        <v>232</v>
      </c>
      <c r="B1196" s="45">
        <v>2000</v>
      </c>
      <c r="C1196" s="17">
        <v>0</v>
      </c>
      <c r="D1196" s="14">
        <v>4.6830799999999999E-2</v>
      </c>
      <c r="E1196" s="14">
        <v>0.18611069999999999</v>
      </c>
      <c r="F1196" s="14">
        <v>5.2357800000000003E-2</v>
      </c>
      <c r="G1196" s="14">
        <v>0.33026450000000002</v>
      </c>
      <c r="H1196" s="14">
        <v>0.2294592</v>
      </c>
      <c r="R1196" s="11">
        <f t="shared" si="38"/>
        <v>2.2771606946173684E-2</v>
      </c>
      <c r="Z1196" s="11">
        <f t="shared" si="37"/>
        <v>2.9539556886333938E-2</v>
      </c>
    </row>
    <row r="1197" spans="1:26" x14ac:dyDescent="0.2">
      <c r="A1197" s="45">
        <v>232</v>
      </c>
      <c r="B1197" s="45">
        <v>2001</v>
      </c>
      <c r="C1197" s="17">
        <v>0</v>
      </c>
      <c r="D1197" s="14">
        <v>1.35128E-2</v>
      </c>
      <c r="E1197" s="14">
        <v>0.23279140000000001</v>
      </c>
      <c r="F1197" s="14">
        <v>6.8621100000000004E-2</v>
      </c>
      <c r="G1197" s="14">
        <v>0.51149699999999998</v>
      </c>
      <c r="H1197" s="14">
        <v>0.26799099999999998</v>
      </c>
      <c r="R1197" s="11">
        <f t="shared" si="38"/>
        <v>1.4119437602449634E-2</v>
      </c>
      <c r="Z1197" s="11">
        <f t="shared" si="37"/>
        <v>1.8562459010208362E-2</v>
      </c>
    </row>
    <row r="1198" spans="1:26" x14ac:dyDescent="0.2">
      <c r="A1198" s="45">
        <v>232</v>
      </c>
      <c r="B1198" s="45">
        <v>2002</v>
      </c>
      <c r="C1198" s="17">
        <v>0</v>
      </c>
      <c r="D1198" s="14">
        <v>4.8947600000000001E-2</v>
      </c>
      <c r="E1198" s="14">
        <v>0.23914270000000001</v>
      </c>
      <c r="F1198" s="14">
        <v>4.8816499999999999E-2</v>
      </c>
      <c r="G1198" s="14">
        <v>0.30671530000000002</v>
      </c>
      <c r="H1198" s="14">
        <v>0.2130058</v>
      </c>
      <c r="R1198" s="11">
        <f t="shared" si="38"/>
        <v>2.2522496371781171E-2</v>
      </c>
      <c r="Z1198" s="11">
        <f t="shared" si="37"/>
        <v>2.9202558141884879E-2</v>
      </c>
    </row>
    <row r="1199" spans="1:26" x14ac:dyDescent="0.2">
      <c r="A1199" s="45">
        <v>232</v>
      </c>
      <c r="B1199" s="45">
        <v>2003</v>
      </c>
      <c r="C1199" s="17">
        <v>0</v>
      </c>
      <c r="D1199" s="14">
        <v>5.9157300000000003E-2</v>
      </c>
      <c r="E1199" s="14">
        <v>0.23273769999999999</v>
      </c>
      <c r="F1199" s="14">
        <v>3.2747400000000003E-2</v>
      </c>
      <c r="G1199" s="14">
        <v>0.34379939999999998</v>
      </c>
      <c r="H1199" s="14">
        <v>7.0168999999999995E-2</v>
      </c>
      <c r="R1199" s="11">
        <f t="shared" si="38"/>
        <v>2.4323053095633016E-2</v>
      </c>
      <c r="Z1199" s="11">
        <f t="shared" si="37"/>
        <v>3.1089086094259821E-2</v>
      </c>
    </row>
    <row r="1200" spans="1:26" x14ac:dyDescent="0.2">
      <c r="A1200" s="45">
        <v>232</v>
      </c>
      <c r="B1200" s="45">
        <v>2004</v>
      </c>
      <c r="C1200" s="17">
        <v>0</v>
      </c>
      <c r="D1200" s="14">
        <v>0.12502840000000001</v>
      </c>
      <c r="E1200" s="14">
        <v>-3.8384999999999999E-3</v>
      </c>
      <c r="F1200" s="14">
        <v>3.92693E-2</v>
      </c>
      <c r="G1200" s="14">
        <v>0.68813040000000003</v>
      </c>
      <c r="H1200" s="14">
        <v>0.13332939999999999</v>
      </c>
      <c r="R1200" s="11">
        <f t="shared" si="38"/>
        <v>1.8916681794477488E-2</v>
      </c>
      <c r="Z1200" s="11">
        <f t="shared" si="37"/>
        <v>2.3972867905958779E-2</v>
      </c>
    </row>
    <row r="1201" spans="1:26" x14ac:dyDescent="0.2">
      <c r="A1201" s="45">
        <v>233</v>
      </c>
      <c r="B1201" s="45">
        <v>1999</v>
      </c>
      <c r="C1201" s="17">
        <v>0</v>
      </c>
      <c r="D1201" s="14">
        <v>0.1631078</v>
      </c>
      <c r="E1201" s="14">
        <v>-0.26179229999999998</v>
      </c>
      <c r="F1201" s="14">
        <v>1.1643199999999999E-2</v>
      </c>
      <c r="G1201" s="14">
        <v>27.20945</v>
      </c>
      <c r="H1201" s="14">
        <v>8.7439000000000003E-2</v>
      </c>
      <c r="R1201" s="11">
        <f t="shared" si="38"/>
        <v>1.544839889359969E-20</v>
      </c>
      <c r="Z1201" s="11">
        <f t="shared" si="37"/>
        <v>1.0633716296412463E-20</v>
      </c>
    </row>
    <row r="1202" spans="1:26" x14ac:dyDescent="0.2">
      <c r="A1202" s="45">
        <v>233</v>
      </c>
      <c r="B1202" s="45">
        <v>2000</v>
      </c>
      <c r="C1202" s="17">
        <v>0</v>
      </c>
      <c r="D1202" s="14">
        <v>0.22156090000000001</v>
      </c>
      <c r="E1202" s="14">
        <v>-0.11395230000000001</v>
      </c>
      <c r="F1202" s="14">
        <v>4.2148900000000003E-2</v>
      </c>
      <c r="G1202" s="14">
        <v>41.262949999999996</v>
      </c>
      <c r="H1202" s="14">
        <v>9.8510200000000006E-2</v>
      </c>
      <c r="R1202" s="11">
        <f t="shared" si="38"/>
        <v>1.8334797469907023E-30</v>
      </c>
      <c r="Z1202" s="11">
        <f t="shared" si="37"/>
        <v>9.5440835192719477E-31</v>
      </c>
    </row>
    <row r="1203" spans="1:26" x14ac:dyDescent="0.2">
      <c r="A1203" s="45">
        <v>233</v>
      </c>
      <c r="B1203" s="45">
        <v>2001</v>
      </c>
      <c r="C1203" s="17">
        <v>0</v>
      </c>
      <c r="D1203" s="14">
        <v>0.25756220000000002</v>
      </c>
      <c r="E1203" s="14">
        <v>-9.5935800000000002E-2</v>
      </c>
      <c r="F1203" s="14">
        <v>5.8187500000000003E-2</v>
      </c>
      <c r="G1203" s="14">
        <v>23.578600000000002</v>
      </c>
      <c r="H1203" s="14">
        <v>0.1070181</v>
      </c>
      <c r="R1203" s="11">
        <f t="shared" si="38"/>
        <v>2.7247650973385429E-18</v>
      </c>
      <c r="Z1203" s="11">
        <f t="shared" si="37"/>
        <v>2.1227234958600776E-18</v>
      </c>
    </row>
    <row r="1204" spans="1:26" x14ac:dyDescent="0.2">
      <c r="A1204" s="45">
        <v>234</v>
      </c>
      <c r="B1204" s="45">
        <v>1999</v>
      </c>
      <c r="C1204" s="17">
        <v>0</v>
      </c>
      <c r="D1204" s="14">
        <v>0.25613910000000001</v>
      </c>
      <c r="E1204" s="14">
        <v>0.2204382</v>
      </c>
      <c r="F1204" s="14">
        <v>4.2022200000000003E-2</v>
      </c>
      <c r="G1204" s="14">
        <v>0.25613419999999998</v>
      </c>
      <c r="H1204" s="14">
        <v>0.32284299999999999</v>
      </c>
      <c r="R1204" s="11">
        <f t="shared" si="38"/>
        <v>2.6382691691059602E-2</v>
      </c>
      <c r="Z1204" s="11">
        <f t="shared" si="37"/>
        <v>3.3999859898364217E-2</v>
      </c>
    </row>
    <row r="1205" spans="1:26" x14ac:dyDescent="0.2">
      <c r="A1205" s="45">
        <v>234</v>
      </c>
      <c r="B1205" s="45">
        <v>2000</v>
      </c>
      <c r="C1205" s="17">
        <v>0</v>
      </c>
      <c r="D1205" s="14">
        <v>0.2351336</v>
      </c>
      <c r="E1205" s="14">
        <v>0.22539219999999999</v>
      </c>
      <c r="F1205" s="14">
        <v>6.0853900000000002E-2</v>
      </c>
      <c r="G1205" s="14">
        <v>0.18692629999999999</v>
      </c>
      <c r="H1205" s="14">
        <v>0.30690600000000001</v>
      </c>
      <c r="R1205" s="11">
        <f t="shared" si="38"/>
        <v>2.5188417446572083E-2</v>
      </c>
      <c r="Z1205" s="11">
        <f t="shared" si="37"/>
        <v>3.3014801396289602E-2</v>
      </c>
    </row>
    <row r="1206" spans="1:26" x14ac:dyDescent="0.2">
      <c r="A1206" s="45">
        <v>234</v>
      </c>
      <c r="B1206" s="45">
        <v>2001</v>
      </c>
      <c r="C1206" s="17">
        <v>0</v>
      </c>
      <c r="D1206" s="14">
        <v>0.26044879999999998</v>
      </c>
      <c r="E1206" s="14">
        <v>0.2167386</v>
      </c>
      <c r="F1206" s="14">
        <v>3.6716100000000002E-2</v>
      </c>
      <c r="G1206" s="14">
        <v>0.31857000000000002</v>
      </c>
      <c r="H1206" s="14">
        <v>0.24846499999999999</v>
      </c>
      <c r="R1206" s="11">
        <f t="shared" si="38"/>
        <v>2.5087344507851151E-2</v>
      </c>
      <c r="Z1206" s="11">
        <f t="shared" si="37"/>
        <v>3.2160324013400694E-2</v>
      </c>
    </row>
    <row r="1207" spans="1:26" x14ac:dyDescent="0.2">
      <c r="A1207" s="45">
        <v>234</v>
      </c>
      <c r="B1207" s="45">
        <v>2002</v>
      </c>
      <c r="C1207" s="17">
        <v>0</v>
      </c>
      <c r="D1207" s="14">
        <v>0.21716450000000001</v>
      </c>
      <c r="E1207" s="14">
        <v>9.1620499999999994E-2</v>
      </c>
      <c r="F1207" s="14">
        <v>5.8559600000000003E-2</v>
      </c>
      <c r="G1207" s="14">
        <v>0.26810699999999998</v>
      </c>
      <c r="H1207" s="14">
        <v>0.3432558</v>
      </c>
      <c r="R1207" s="11">
        <f t="shared" si="38"/>
        <v>2.7321757545692035E-2</v>
      </c>
      <c r="Z1207" s="11">
        <f t="shared" si="37"/>
        <v>3.5502957111399711E-2</v>
      </c>
    </row>
    <row r="1208" spans="1:26" x14ac:dyDescent="0.2">
      <c r="A1208" s="45">
        <v>234</v>
      </c>
      <c r="B1208" s="45">
        <v>2003</v>
      </c>
      <c r="C1208" s="17">
        <v>0</v>
      </c>
      <c r="D1208" s="14">
        <v>0.2216677</v>
      </c>
      <c r="E1208" s="14">
        <v>0.12651709999999999</v>
      </c>
      <c r="F1208" s="14">
        <v>8.1399799999999994E-2</v>
      </c>
      <c r="G1208" s="14">
        <v>0.53791800000000001</v>
      </c>
      <c r="H1208" s="14">
        <v>0.35919380000000001</v>
      </c>
      <c r="R1208" s="11">
        <f t="shared" si="38"/>
        <v>1.426217182454384E-2</v>
      </c>
      <c r="Z1208" s="11">
        <f t="shared" si="37"/>
        <v>1.8864589236049494E-2</v>
      </c>
    </row>
    <row r="1209" spans="1:26" x14ac:dyDescent="0.2">
      <c r="A1209" s="45">
        <v>234</v>
      </c>
      <c r="B1209" s="45">
        <v>2004</v>
      </c>
      <c r="C1209" s="17">
        <v>0</v>
      </c>
      <c r="D1209" s="14">
        <v>0.21433350000000001</v>
      </c>
      <c r="E1209" s="14">
        <v>0.15176210000000001</v>
      </c>
      <c r="F1209" s="14">
        <v>4.8166599999999997E-2</v>
      </c>
      <c r="G1209" s="14">
        <v>0.41152100000000003</v>
      </c>
      <c r="H1209" s="14">
        <v>0.380963</v>
      </c>
      <c r="R1209" s="11">
        <f t="shared" si="38"/>
        <v>2.1769687822891712E-2</v>
      </c>
      <c r="Z1209" s="11">
        <f t="shared" si="37"/>
        <v>2.8073250425889561E-2</v>
      </c>
    </row>
    <row r="1210" spans="1:26" x14ac:dyDescent="0.2">
      <c r="A1210" s="45">
        <v>235</v>
      </c>
      <c r="B1210" s="45">
        <v>1999</v>
      </c>
      <c r="C1210" s="17">
        <v>0</v>
      </c>
      <c r="D1210" s="14">
        <v>7.1944400000000006E-2</v>
      </c>
      <c r="E1210" s="14">
        <v>0.1212516</v>
      </c>
      <c r="F1210" s="14">
        <v>8.1022700000000003E-2</v>
      </c>
      <c r="G1210" s="14">
        <v>0.88153539999999997</v>
      </c>
      <c r="H1210" s="14">
        <v>0.26391569999999998</v>
      </c>
      <c r="R1210" s="11">
        <f t="shared" si="38"/>
        <v>8.38663569488147E-3</v>
      </c>
      <c r="Z1210" s="11">
        <f t="shared" si="37"/>
        <v>1.1026189873136772E-2</v>
      </c>
    </row>
    <row r="1211" spans="1:26" x14ac:dyDescent="0.2">
      <c r="A1211" s="45">
        <v>235</v>
      </c>
      <c r="B1211" s="45">
        <v>2000</v>
      </c>
      <c r="C1211" s="17">
        <v>0</v>
      </c>
      <c r="D1211" s="14">
        <v>5.2302700000000001E-2</v>
      </c>
      <c r="E1211" s="14">
        <v>0.132048</v>
      </c>
      <c r="F1211" s="14">
        <v>7.0011299999999999E-2</v>
      </c>
      <c r="G1211" s="14">
        <v>1.310964</v>
      </c>
      <c r="H1211" s="14">
        <v>0.27587820000000002</v>
      </c>
      <c r="R1211" s="11">
        <f t="shared" si="38"/>
        <v>4.5655235669524201E-3</v>
      </c>
      <c r="Z1211" s="11">
        <f t="shared" si="37"/>
        <v>5.9024997842997895E-3</v>
      </c>
    </row>
    <row r="1212" spans="1:26" x14ac:dyDescent="0.2">
      <c r="A1212" s="45">
        <v>236</v>
      </c>
      <c r="B1212" s="45">
        <v>1999</v>
      </c>
      <c r="C1212" s="17">
        <v>0</v>
      </c>
      <c r="D1212" s="14">
        <v>3.4649300000000001E-2</v>
      </c>
      <c r="E1212" s="14">
        <v>0.44997779999999998</v>
      </c>
      <c r="F1212" s="14">
        <v>5.7924799999999999E-2</v>
      </c>
      <c r="G1212" s="14">
        <v>2.3392819999999999</v>
      </c>
      <c r="H1212" s="14">
        <v>0.36537839999999999</v>
      </c>
      <c r="R1212" s="11">
        <f t="shared" si="38"/>
        <v>6.1765443727029314E-4</v>
      </c>
      <c r="Z1212" s="11">
        <f t="shared" si="37"/>
        <v>7.8234541000818543E-4</v>
      </c>
    </row>
    <row r="1213" spans="1:26" x14ac:dyDescent="0.2">
      <c r="A1213" s="45">
        <v>236</v>
      </c>
      <c r="B1213" s="45">
        <v>2000</v>
      </c>
      <c r="C1213" s="17">
        <v>0</v>
      </c>
      <c r="D1213" s="14">
        <v>0.10313460000000001</v>
      </c>
      <c r="E1213" s="14">
        <v>0.53574659999999996</v>
      </c>
      <c r="F1213" s="14">
        <v>6.5970899999999999E-2</v>
      </c>
      <c r="G1213" s="14">
        <v>3.714121</v>
      </c>
      <c r="H1213" s="14">
        <v>0.3803897</v>
      </c>
      <c r="R1213" s="11">
        <f t="shared" si="38"/>
        <v>5.7195972087323496E-5</v>
      </c>
      <c r="Z1213" s="11">
        <f t="shared" si="37"/>
        <v>7.0970277471435849E-5</v>
      </c>
    </row>
    <row r="1214" spans="1:26" x14ac:dyDescent="0.2">
      <c r="A1214" s="45">
        <v>236</v>
      </c>
      <c r="B1214" s="45">
        <v>2001</v>
      </c>
      <c r="C1214" s="17">
        <v>0</v>
      </c>
      <c r="D1214" s="14">
        <v>5.6012300000000001E-2</v>
      </c>
      <c r="E1214" s="14">
        <v>0.46700629999999999</v>
      </c>
      <c r="F1214" s="14">
        <v>7.3999099999999998E-2</v>
      </c>
      <c r="G1214" s="14">
        <v>2.4926550000000001</v>
      </c>
      <c r="H1214" s="14">
        <v>0.35441539999999999</v>
      </c>
      <c r="R1214" s="11">
        <f t="shared" si="38"/>
        <v>4.150414764593951E-4</v>
      </c>
      <c r="Z1214" s="11">
        <f t="shared" si="37"/>
        <v>5.3122014286791639E-4</v>
      </c>
    </row>
    <row r="1215" spans="1:26" x14ac:dyDescent="0.2">
      <c r="A1215" s="45">
        <v>236</v>
      </c>
      <c r="B1215" s="45">
        <v>2002</v>
      </c>
      <c r="C1215" s="17">
        <v>0</v>
      </c>
      <c r="D1215" s="14">
        <v>6.8197599999999997E-2</v>
      </c>
      <c r="E1215" s="14">
        <v>0.48565269999999999</v>
      </c>
      <c r="F1215" s="14">
        <v>5.5197799999999998E-2</v>
      </c>
      <c r="G1215" s="14">
        <v>2.4661749999999998</v>
      </c>
      <c r="H1215" s="14">
        <v>0.36971680000000001</v>
      </c>
      <c r="R1215" s="11">
        <f t="shared" si="38"/>
        <v>4.8969493343961276E-4</v>
      </c>
      <c r="Z1215" s="11">
        <f t="shared" si="37"/>
        <v>6.1793263669611908E-4</v>
      </c>
    </row>
    <row r="1216" spans="1:26" x14ac:dyDescent="0.2">
      <c r="A1216" s="45">
        <v>236</v>
      </c>
      <c r="B1216" s="45">
        <v>2003</v>
      </c>
      <c r="C1216" s="17">
        <v>0</v>
      </c>
      <c r="D1216" s="14">
        <v>7.5029700000000005E-2</v>
      </c>
      <c r="E1216" s="14">
        <v>0.41753980000000002</v>
      </c>
      <c r="F1216" s="14">
        <v>5.9749200000000002E-2</v>
      </c>
      <c r="G1216" s="14">
        <v>1.7553399999999999</v>
      </c>
      <c r="H1216" s="14">
        <v>0.33177620000000002</v>
      </c>
      <c r="R1216" s="11">
        <f t="shared" si="38"/>
        <v>1.6165794143320378E-3</v>
      </c>
      <c r="Z1216" s="11">
        <f t="shared" si="37"/>
        <v>2.0743101805706598E-3</v>
      </c>
    </row>
    <row r="1217" spans="1:26" x14ac:dyDescent="0.2">
      <c r="A1217" s="45">
        <v>236</v>
      </c>
      <c r="B1217" s="45">
        <v>2004</v>
      </c>
      <c r="C1217" s="17">
        <v>0</v>
      </c>
      <c r="D1217" s="14">
        <v>0.13587879999999999</v>
      </c>
      <c r="E1217" s="14">
        <v>0.45296160000000002</v>
      </c>
      <c r="F1217" s="14">
        <v>5.8938200000000003E-2</v>
      </c>
      <c r="G1217" s="14">
        <v>2.0449320000000002</v>
      </c>
      <c r="H1217" s="14">
        <v>0.32425809999999999</v>
      </c>
      <c r="R1217" s="11">
        <f t="shared" si="38"/>
        <v>9.7476989676492838E-4</v>
      </c>
      <c r="Z1217" s="11">
        <f t="shared" si="37"/>
        <v>1.2437410752567553E-3</v>
      </c>
    </row>
    <row r="1218" spans="1:26" x14ac:dyDescent="0.2">
      <c r="A1218" s="45">
        <v>237</v>
      </c>
      <c r="B1218" s="45">
        <v>1999</v>
      </c>
      <c r="C1218" s="17">
        <v>0</v>
      </c>
      <c r="D1218" s="14">
        <v>-0.27470610000000001</v>
      </c>
      <c r="E1218" s="14">
        <v>0.4593042</v>
      </c>
      <c r="F1218" s="14">
        <v>9.2919799999999997E-2</v>
      </c>
      <c r="G1218" s="14">
        <v>2.405087</v>
      </c>
      <c r="H1218" s="14">
        <v>0.39650760000000002</v>
      </c>
      <c r="R1218" s="11">
        <f t="shared" si="38"/>
        <v>4.1479224199763301E-4</v>
      </c>
      <c r="Z1218" s="11">
        <f t="shared" ref="Z1218:Z1281" si="39">1/(1+EXP(-(U$2+$V$2*E1218+$W$2*F1218+$X$2*G1218)))</f>
        <v>5.400924565201762E-4</v>
      </c>
    </row>
    <row r="1219" spans="1:26" x14ac:dyDescent="0.2">
      <c r="A1219" s="45">
        <v>237</v>
      </c>
      <c r="B1219" s="45">
        <v>2001</v>
      </c>
      <c r="C1219" s="17">
        <v>0</v>
      </c>
      <c r="D1219" s="14">
        <v>-0.1122568</v>
      </c>
      <c r="E1219" s="14">
        <v>0.16258</v>
      </c>
      <c r="F1219" s="14">
        <v>5.0491399999999999E-2</v>
      </c>
      <c r="G1219" s="14">
        <v>1.317221</v>
      </c>
      <c r="H1219" s="14">
        <v>0.16913059999999999</v>
      </c>
      <c r="R1219" s="11">
        <f t="shared" si="38"/>
        <v>5.0521796055120211E-3</v>
      </c>
      <c r="Z1219" s="11">
        <f t="shared" si="39"/>
        <v>6.4335435196581055E-3</v>
      </c>
    </row>
    <row r="1220" spans="1:26" x14ac:dyDescent="0.2">
      <c r="A1220" s="45">
        <v>237</v>
      </c>
      <c r="B1220" s="45">
        <v>2002</v>
      </c>
      <c r="C1220" s="17">
        <v>0</v>
      </c>
      <c r="D1220" s="14">
        <v>2.6006100000000001E-2</v>
      </c>
      <c r="E1220" s="14">
        <v>0.18474389999999999</v>
      </c>
      <c r="F1220" s="14">
        <v>5.9770700000000003E-2</v>
      </c>
      <c r="G1220" s="14">
        <v>1.2578819999999999</v>
      </c>
      <c r="H1220" s="14">
        <v>0.17006669999999999</v>
      </c>
      <c r="R1220" s="11">
        <f t="shared" si="38"/>
        <v>4.9927622727720163E-3</v>
      </c>
      <c r="Z1220" s="11">
        <f t="shared" si="39"/>
        <v>6.4193843869370555E-3</v>
      </c>
    </row>
    <row r="1221" spans="1:26" x14ac:dyDescent="0.2">
      <c r="A1221" s="45">
        <v>237</v>
      </c>
      <c r="B1221" s="45">
        <v>2003</v>
      </c>
      <c r="C1221" s="17">
        <v>0</v>
      </c>
      <c r="D1221" s="14">
        <v>4.9736599999999999E-2</v>
      </c>
      <c r="E1221" s="14">
        <v>0.21943480000000001</v>
      </c>
      <c r="F1221" s="14">
        <v>5.29156E-2</v>
      </c>
      <c r="G1221" s="14">
        <v>1.3423069999999999</v>
      </c>
      <c r="H1221" s="14">
        <v>0.18716360000000001</v>
      </c>
      <c r="R1221" s="11">
        <f t="shared" si="38"/>
        <v>4.3861535639236997E-3</v>
      </c>
      <c r="Z1221" s="11">
        <f t="shared" si="39"/>
        <v>5.6052628716179234E-3</v>
      </c>
    </row>
    <row r="1222" spans="1:26" x14ac:dyDescent="0.2">
      <c r="A1222" s="45">
        <v>237</v>
      </c>
      <c r="B1222" s="45">
        <v>2004</v>
      </c>
      <c r="C1222" s="17">
        <v>0</v>
      </c>
      <c r="D1222" s="14">
        <v>3.9971300000000001E-2</v>
      </c>
      <c r="E1222" s="14">
        <v>0.28687220000000002</v>
      </c>
      <c r="F1222" s="14">
        <v>6.4155299999999998E-2</v>
      </c>
      <c r="G1222" s="14">
        <v>1.508059</v>
      </c>
      <c r="H1222" s="14">
        <v>0.16872980000000001</v>
      </c>
      <c r="R1222" s="11">
        <f t="shared" si="38"/>
        <v>2.7953166821475771E-3</v>
      </c>
      <c r="Z1222" s="11">
        <f t="shared" si="39"/>
        <v>3.6020000031120126E-3</v>
      </c>
    </row>
    <row r="1223" spans="1:26" x14ac:dyDescent="0.2">
      <c r="A1223" s="45">
        <v>238</v>
      </c>
      <c r="B1223" s="45">
        <v>1999</v>
      </c>
      <c r="C1223" s="17">
        <v>0</v>
      </c>
      <c r="D1223" s="14">
        <v>8.4594699999999995E-2</v>
      </c>
      <c r="E1223" s="14">
        <v>0.4369326</v>
      </c>
      <c r="F1223" s="14">
        <v>6.4833600000000005E-2</v>
      </c>
      <c r="G1223" s="14">
        <v>3.9882960000000001</v>
      </c>
      <c r="H1223" s="14">
        <v>0.41491749999999999</v>
      </c>
      <c r="R1223" s="11">
        <f t="shared" si="38"/>
        <v>4.3049424374189802E-5</v>
      </c>
      <c r="Z1223" s="11">
        <f t="shared" si="39"/>
        <v>5.2866696636989724E-5</v>
      </c>
    </row>
    <row r="1224" spans="1:26" x14ac:dyDescent="0.2">
      <c r="A1224" s="45">
        <v>238</v>
      </c>
      <c r="B1224" s="45">
        <v>2000</v>
      </c>
      <c r="C1224" s="17">
        <v>0</v>
      </c>
      <c r="D1224" s="14">
        <v>0.18335190000000001</v>
      </c>
      <c r="E1224" s="14">
        <v>0.4844097</v>
      </c>
      <c r="F1224" s="14">
        <v>7.6011899999999993E-2</v>
      </c>
      <c r="G1224" s="14">
        <v>3.5975820000000001</v>
      </c>
      <c r="H1224" s="14">
        <v>0.44490780000000002</v>
      </c>
      <c r="R1224" s="11">
        <f t="shared" si="38"/>
        <v>6.8478130186923569E-5</v>
      </c>
      <c r="Z1224" s="11">
        <f t="shared" si="39"/>
        <v>8.5740553877335383E-5</v>
      </c>
    </row>
    <row r="1225" spans="1:26" x14ac:dyDescent="0.2">
      <c r="A1225" s="45">
        <v>238</v>
      </c>
      <c r="B1225" s="45">
        <v>2001</v>
      </c>
      <c r="C1225" s="17">
        <v>0</v>
      </c>
      <c r="D1225" s="14">
        <v>0.21682399999999999</v>
      </c>
      <c r="E1225" s="14">
        <v>0.42611559999999998</v>
      </c>
      <c r="F1225" s="14">
        <v>5.8544400000000003E-2</v>
      </c>
      <c r="G1225" s="14">
        <v>3.3040940000000001</v>
      </c>
      <c r="H1225" s="14">
        <v>0.38298500000000002</v>
      </c>
      <c r="R1225" s="11">
        <f t="shared" si="38"/>
        <v>1.3681522007850421E-4</v>
      </c>
      <c r="Z1225" s="11">
        <f t="shared" si="39"/>
        <v>1.6962226666816899E-4</v>
      </c>
    </row>
    <row r="1226" spans="1:26" x14ac:dyDescent="0.2">
      <c r="A1226" s="45">
        <v>238</v>
      </c>
      <c r="B1226" s="45">
        <v>2002</v>
      </c>
      <c r="C1226" s="17">
        <v>0</v>
      </c>
      <c r="D1226" s="14">
        <v>0.20231250000000001</v>
      </c>
      <c r="E1226" s="14">
        <v>0.40743740000000001</v>
      </c>
      <c r="F1226" s="14">
        <v>5.2349399999999997E-2</v>
      </c>
      <c r="G1226" s="14">
        <v>0.76903220000000005</v>
      </c>
      <c r="H1226" s="14">
        <v>0.3266714</v>
      </c>
      <c r="R1226" s="11">
        <f t="shared" si="38"/>
        <v>8.3246894824266816E-3</v>
      </c>
      <c r="Z1226" s="11">
        <f t="shared" si="39"/>
        <v>1.0824204270214291E-2</v>
      </c>
    </row>
    <row r="1227" spans="1:26" x14ac:dyDescent="0.2">
      <c r="A1227" s="45">
        <v>238</v>
      </c>
      <c r="B1227" s="45">
        <v>2003</v>
      </c>
      <c r="C1227" s="17">
        <v>0</v>
      </c>
      <c r="D1227" s="14">
        <v>-1.0142699999999999E-2</v>
      </c>
      <c r="E1227" s="14">
        <v>0.34227200000000002</v>
      </c>
      <c r="F1227" s="14">
        <v>4.8628200000000003E-2</v>
      </c>
      <c r="G1227" s="14">
        <v>1.0130300000000001</v>
      </c>
      <c r="H1227" s="14">
        <v>0.33146949999999997</v>
      </c>
      <c r="R1227" s="11">
        <f t="shared" si="38"/>
        <v>6.4035058474378806E-3</v>
      </c>
      <c r="Z1227" s="11">
        <f t="shared" si="39"/>
        <v>8.243440414226649E-3</v>
      </c>
    </row>
    <row r="1228" spans="1:26" x14ac:dyDescent="0.2">
      <c r="A1228" s="45">
        <v>238</v>
      </c>
      <c r="B1228" s="45">
        <v>2004</v>
      </c>
      <c r="C1228" s="17">
        <v>0</v>
      </c>
      <c r="D1228" s="14">
        <v>0.21922639999999999</v>
      </c>
      <c r="E1228" s="14">
        <v>0.32846029999999998</v>
      </c>
      <c r="F1228" s="14">
        <v>5.1636599999999998E-2</v>
      </c>
      <c r="G1228" s="14">
        <v>1.174315</v>
      </c>
      <c r="H1228" s="14">
        <v>0.33405210000000002</v>
      </c>
      <c r="R1228" s="11">
        <f t="shared" si="38"/>
        <v>4.9397416251521151E-3</v>
      </c>
      <c r="Z1228" s="11">
        <f t="shared" si="39"/>
        <v>6.3519340344509734E-3</v>
      </c>
    </row>
    <row r="1229" spans="1:26" x14ac:dyDescent="0.2">
      <c r="A1229" s="45">
        <v>239</v>
      </c>
      <c r="B1229" s="45">
        <v>1999</v>
      </c>
      <c r="C1229" s="17">
        <v>0</v>
      </c>
      <c r="D1229" s="14">
        <v>-5.9088599999999998E-2</v>
      </c>
      <c r="E1229" s="14">
        <v>0.153359</v>
      </c>
      <c r="F1229" s="14">
        <v>5.23828E-2</v>
      </c>
      <c r="G1229" s="14">
        <v>0.2347727</v>
      </c>
      <c r="H1229" s="14">
        <v>9.3606499999999995E-2</v>
      </c>
      <c r="R1229" s="11">
        <f t="shared" si="38"/>
        <v>2.7662934885286452E-2</v>
      </c>
      <c r="Z1229" s="11">
        <f t="shared" si="39"/>
        <v>3.5865921987586494E-2</v>
      </c>
    </row>
    <row r="1230" spans="1:26" x14ac:dyDescent="0.2">
      <c r="A1230" s="45">
        <v>239</v>
      </c>
      <c r="B1230" s="45">
        <v>2000</v>
      </c>
      <c r="C1230" s="17">
        <v>0</v>
      </c>
      <c r="D1230" s="14">
        <v>-8.2410499999999998E-2</v>
      </c>
      <c r="E1230" s="14">
        <v>0.14479980000000001</v>
      </c>
      <c r="F1230" s="14">
        <v>3.7982200000000001E-2</v>
      </c>
      <c r="G1230" s="14">
        <v>0.31191190000000002</v>
      </c>
      <c r="H1230" s="14">
        <v>9.0222300000000005E-2</v>
      </c>
      <c r="R1230" s="11">
        <f t="shared" si="38"/>
        <v>2.7789849272101146E-2</v>
      </c>
      <c r="Z1230" s="11">
        <f t="shared" si="39"/>
        <v>3.555297449713455E-2</v>
      </c>
    </row>
    <row r="1231" spans="1:26" x14ac:dyDescent="0.2">
      <c r="A1231" s="45">
        <v>240</v>
      </c>
      <c r="B1231" s="45">
        <v>1995</v>
      </c>
      <c r="C1231" s="17">
        <v>0</v>
      </c>
      <c r="D1231" s="14">
        <v>0.220051</v>
      </c>
      <c r="E1231" s="14">
        <v>0.38367259999999997</v>
      </c>
      <c r="F1231" s="14">
        <v>6.1980199999999999E-2</v>
      </c>
      <c r="G1231" s="14">
        <v>1.575709</v>
      </c>
      <c r="H1231" s="14">
        <v>0.33147840000000001</v>
      </c>
      <c r="R1231" s="11">
        <f t="shared" si="38"/>
        <v>2.2196839226674937E-3</v>
      </c>
      <c r="Z1231" s="11">
        <f t="shared" si="39"/>
        <v>2.8608546537807408E-3</v>
      </c>
    </row>
    <row r="1232" spans="1:26" x14ac:dyDescent="0.2">
      <c r="A1232" s="45">
        <v>240</v>
      </c>
      <c r="B1232" s="45">
        <v>1996</v>
      </c>
      <c r="C1232" s="17">
        <v>0</v>
      </c>
      <c r="D1232" s="14">
        <v>0.19048909999999999</v>
      </c>
      <c r="E1232" s="14">
        <v>0.4615127</v>
      </c>
      <c r="F1232" s="14">
        <v>5.8780899999999997E-2</v>
      </c>
      <c r="G1232" s="14">
        <v>2.7456909999999999</v>
      </c>
      <c r="H1232" s="14">
        <v>0.38819609999999999</v>
      </c>
      <c r="R1232" s="11">
        <f t="shared" si="38"/>
        <v>3.1575297206760456E-4</v>
      </c>
      <c r="Z1232" s="11">
        <f t="shared" si="39"/>
        <v>3.9685005579434795E-4</v>
      </c>
    </row>
    <row r="1233" spans="1:26" x14ac:dyDescent="0.2">
      <c r="A1233" s="45">
        <v>240</v>
      </c>
      <c r="B1233" s="45">
        <v>1997</v>
      </c>
      <c r="C1233" s="17">
        <v>0</v>
      </c>
      <c r="D1233" s="14">
        <v>0.16657079999999999</v>
      </c>
      <c r="E1233" s="14">
        <v>0.54678930000000003</v>
      </c>
      <c r="F1233" s="14">
        <v>0.1270771</v>
      </c>
      <c r="G1233" s="14">
        <v>2.6523439999999998</v>
      </c>
      <c r="H1233" s="14">
        <v>0.9370444</v>
      </c>
      <c r="R1233" s="11">
        <f t="shared" si="38"/>
        <v>1.8745642858044207E-4</v>
      </c>
      <c r="Z1233" s="11">
        <f t="shared" si="39"/>
        <v>2.5041607214797775E-4</v>
      </c>
    </row>
    <row r="1234" spans="1:26" x14ac:dyDescent="0.2">
      <c r="A1234" s="45">
        <v>240</v>
      </c>
      <c r="B1234" s="45">
        <v>1998</v>
      </c>
      <c r="C1234" s="17">
        <v>0</v>
      </c>
      <c r="D1234" s="14">
        <v>0.1175697</v>
      </c>
      <c r="E1234" s="14">
        <v>-1.3228500000000001E-2</v>
      </c>
      <c r="F1234" s="14">
        <v>5.30804E-2</v>
      </c>
      <c r="G1234" s="14">
        <v>0.82717759999999996</v>
      </c>
      <c r="H1234" s="14">
        <v>0.24709329999999999</v>
      </c>
      <c r="R1234" s="11">
        <f t="shared" si="38"/>
        <v>1.3829563814136822E-2</v>
      </c>
      <c r="Z1234" s="11">
        <f t="shared" si="39"/>
        <v>1.7687731535534948E-2</v>
      </c>
    </row>
    <row r="1235" spans="1:26" x14ac:dyDescent="0.2">
      <c r="A1235" s="45">
        <v>240</v>
      </c>
      <c r="B1235" s="45">
        <v>1999</v>
      </c>
      <c r="C1235" s="17">
        <v>0</v>
      </c>
      <c r="D1235" s="14">
        <v>0.11052090000000001</v>
      </c>
      <c r="E1235" s="14">
        <v>2.3076900000000001E-2</v>
      </c>
      <c r="F1235" s="14">
        <v>5.6757299999999997E-2</v>
      </c>
      <c r="G1235" s="14">
        <v>1.1346849999999999</v>
      </c>
      <c r="H1235" s="14">
        <v>0.27755259999999998</v>
      </c>
      <c r="R1235" s="11">
        <f t="shared" si="38"/>
        <v>7.8507604072667568E-3</v>
      </c>
      <c r="Z1235" s="11">
        <f t="shared" si="39"/>
        <v>1.0032980690298662E-2</v>
      </c>
    </row>
    <row r="1236" spans="1:26" x14ac:dyDescent="0.2">
      <c r="A1236" s="45">
        <v>240</v>
      </c>
      <c r="B1236" s="45">
        <v>2000</v>
      </c>
      <c r="C1236" s="17">
        <v>0</v>
      </c>
      <c r="D1236" s="14">
        <v>0.15442429999999999</v>
      </c>
      <c r="E1236" s="14">
        <v>8.3301100000000003E-2</v>
      </c>
      <c r="F1236" s="14">
        <v>6.2348899999999999E-2</v>
      </c>
      <c r="G1236" s="14">
        <v>1.372689</v>
      </c>
      <c r="H1236" s="14">
        <v>0.2602642</v>
      </c>
      <c r="R1236" s="11">
        <f t="shared" si="38"/>
        <v>4.7217647574256056E-3</v>
      </c>
      <c r="Z1236" s="11">
        <f t="shared" si="39"/>
        <v>6.0479840263444884E-3</v>
      </c>
    </row>
    <row r="1237" spans="1:26" x14ac:dyDescent="0.2">
      <c r="A1237" s="45">
        <v>240</v>
      </c>
      <c r="B1237" s="45">
        <v>2001</v>
      </c>
      <c r="C1237" s="17">
        <v>0</v>
      </c>
      <c r="D1237" s="14">
        <v>0.15150720000000001</v>
      </c>
      <c r="E1237" s="14">
        <v>6.9666699999999998E-2</v>
      </c>
      <c r="F1237" s="14">
        <v>6.16149E-2</v>
      </c>
      <c r="G1237" s="14">
        <v>1.054246</v>
      </c>
      <c r="H1237" s="14">
        <v>0.20855409999999999</v>
      </c>
      <c r="R1237" s="11">
        <f t="shared" si="38"/>
        <v>8.0207139823147942E-3</v>
      </c>
      <c r="Z1237" s="11">
        <f t="shared" si="39"/>
        <v>1.0324519765964029E-2</v>
      </c>
    </row>
    <row r="1238" spans="1:26" x14ac:dyDescent="0.2">
      <c r="A1238" s="45">
        <v>240</v>
      </c>
      <c r="B1238" s="45">
        <v>2002</v>
      </c>
      <c r="C1238" s="17">
        <v>0</v>
      </c>
      <c r="D1238" s="14">
        <v>0.15916540000000001</v>
      </c>
      <c r="E1238" s="14">
        <v>6.6463099999999997E-2</v>
      </c>
      <c r="F1238" s="14">
        <v>6.4002199999999995E-2</v>
      </c>
      <c r="G1238" s="14">
        <v>0.58466600000000002</v>
      </c>
      <c r="H1238" s="14">
        <v>0.20744850000000001</v>
      </c>
      <c r="R1238" s="11">
        <f t="shared" si="38"/>
        <v>1.6564456572408317E-2</v>
      </c>
      <c r="Z1238" s="11">
        <f t="shared" si="39"/>
        <v>2.152488342044815E-2</v>
      </c>
    </row>
    <row r="1239" spans="1:26" x14ac:dyDescent="0.2">
      <c r="A1239" s="45">
        <v>240</v>
      </c>
      <c r="B1239" s="45">
        <v>2003</v>
      </c>
      <c r="C1239" s="17">
        <v>0</v>
      </c>
      <c r="D1239" s="14">
        <v>0.1819596</v>
      </c>
      <c r="E1239" s="14">
        <v>0.1450506</v>
      </c>
      <c r="F1239" s="14">
        <v>5.0417900000000002E-2</v>
      </c>
      <c r="G1239" s="14">
        <v>0.81528259999999997</v>
      </c>
      <c r="H1239" s="14">
        <v>0.19121879999999999</v>
      </c>
      <c r="R1239" s="11">
        <f t="shared" ref="R1239:R1302" si="40">1/(1+EXP(-(K$2+$M$2*E1239+$N$2*F1239+$O$2*G1239)))</f>
        <v>1.1465189976754497E-2</v>
      </c>
      <c r="Z1239" s="11">
        <f t="shared" si="39"/>
        <v>1.4724318272472227E-2</v>
      </c>
    </row>
    <row r="1240" spans="1:26" x14ac:dyDescent="0.2">
      <c r="A1240" s="45">
        <v>240</v>
      </c>
      <c r="B1240" s="45">
        <v>2004</v>
      </c>
      <c r="C1240" s="17">
        <v>0</v>
      </c>
      <c r="D1240" s="14">
        <v>0.3028129</v>
      </c>
      <c r="E1240" s="14">
        <v>0.1696386</v>
      </c>
      <c r="F1240" s="14">
        <v>3.5587800000000003E-2</v>
      </c>
      <c r="G1240" s="14">
        <v>0.5766038</v>
      </c>
      <c r="H1240" s="14">
        <v>0.1856344</v>
      </c>
      <c r="R1240" s="11">
        <f t="shared" si="40"/>
        <v>1.8098253183407298E-2</v>
      </c>
      <c r="Z1240" s="11">
        <f t="shared" si="39"/>
        <v>2.3061798086467623E-2</v>
      </c>
    </row>
    <row r="1241" spans="1:26" x14ac:dyDescent="0.2">
      <c r="A1241" s="45">
        <v>241</v>
      </c>
      <c r="B1241" s="45">
        <v>1999</v>
      </c>
      <c r="C1241" s="17">
        <v>0</v>
      </c>
      <c r="D1241" s="14">
        <v>0.49074410000000002</v>
      </c>
      <c r="E1241" s="14">
        <v>4.3261399999999998E-2</v>
      </c>
      <c r="F1241" s="14">
        <v>9.5677600000000002E-2</v>
      </c>
      <c r="G1241" s="14">
        <v>1.0359830000000001</v>
      </c>
      <c r="H1241" s="14">
        <v>0.6112438</v>
      </c>
      <c r="R1241" s="11">
        <f t="shared" si="40"/>
        <v>6.5439641779099188E-3</v>
      </c>
      <c r="Z1241" s="11">
        <f t="shared" si="39"/>
        <v>8.6594310282195105E-3</v>
      </c>
    </row>
    <row r="1242" spans="1:26" x14ac:dyDescent="0.2">
      <c r="A1242" s="45">
        <v>241</v>
      </c>
      <c r="B1242" s="45">
        <v>2000</v>
      </c>
      <c r="C1242" s="17">
        <v>0</v>
      </c>
      <c r="D1242" s="14">
        <v>0.42657650000000003</v>
      </c>
      <c r="E1242" s="14">
        <v>0.12782959999999999</v>
      </c>
      <c r="F1242" s="14">
        <v>0.1068282</v>
      </c>
      <c r="G1242" s="14">
        <v>2.5391710000000001</v>
      </c>
      <c r="H1242" s="14">
        <v>0.64456769999999997</v>
      </c>
      <c r="R1242" s="11">
        <f t="shared" si="40"/>
        <v>4.8529092248550561E-4</v>
      </c>
      <c r="Z1242" s="11">
        <f t="shared" si="39"/>
        <v>6.300366086667284E-4</v>
      </c>
    </row>
    <row r="1243" spans="1:26" x14ac:dyDescent="0.2">
      <c r="A1243" s="45">
        <v>241</v>
      </c>
      <c r="B1243" s="45">
        <v>2001</v>
      </c>
      <c r="C1243" s="17">
        <v>0</v>
      </c>
      <c r="D1243" s="14">
        <v>0.47510530000000001</v>
      </c>
      <c r="E1243" s="14">
        <v>0.1688875</v>
      </c>
      <c r="F1243" s="14">
        <v>0.1087846</v>
      </c>
      <c r="G1243" s="14">
        <v>2.7738830000000001</v>
      </c>
      <c r="H1243" s="14">
        <v>0.64708699999999997</v>
      </c>
      <c r="R1243" s="11">
        <f t="shared" si="40"/>
        <v>3.0968020039335269E-4</v>
      </c>
      <c r="Z1243" s="11">
        <f t="shared" si="39"/>
        <v>4.0120202524499747E-4</v>
      </c>
    </row>
    <row r="1244" spans="1:26" x14ac:dyDescent="0.2">
      <c r="A1244" s="45">
        <v>241</v>
      </c>
      <c r="B1244" s="45">
        <v>2002</v>
      </c>
      <c r="C1244" s="17">
        <v>0</v>
      </c>
      <c r="D1244" s="14">
        <v>0.46469450000000001</v>
      </c>
      <c r="E1244" s="14">
        <v>0.19433049999999999</v>
      </c>
      <c r="F1244" s="14">
        <v>8.96208E-2</v>
      </c>
      <c r="G1244" s="14">
        <v>1.5740510000000001</v>
      </c>
      <c r="H1244" s="14">
        <v>0.62601119999999999</v>
      </c>
      <c r="R1244" s="11">
        <f t="shared" si="40"/>
        <v>2.3492254295280775E-3</v>
      </c>
      <c r="Z1244" s="11">
        <f t="shared" si="39"/>
        <v>3.0770084499627741E-3</v>
      </c>
    </row>
    <row r="1245" spans="1:26" x14ac:dyDescent="0.2">
      <c r="A1245" s="45">
        <v>241</v>
      </c>
      <c r="B1245" s="45">
        <v>2003</v>
      </c>
      <c r="C1245" s="17">
        <v>0</v>
      </c>
      <c r="D1245" s="14">
        <v>0.46106649999999999</v>
      </c>
      <c r="E1245" s="14">
        <v>0.28159459999999997</v>
      </c>
      <c r="F1245" s="14">
        <v>8.7165400000000004E-2</v>
      </c>
      <c r="G1245" s="14">
        <v>1.7821499999999999</v>
      </c>
      <c r="H1245" s="14">
        <v>0.61241590000000001</v>
      </c>
      <c r="R1245" s="11">
        <f t="shared" si="40"/>
        <v>1.5159651049480049E-3</v>
      </c>
      <c r="Z1245" s="11">
        <f t="shared" si="39"/>
        <v>1.9789890971611667E-3</v>
      </c>
    </row>
    <row r="1246" spans="1:26" x14ac:dyDescent="0.2">
      <c r="A1246" s="45">
        <v>242</v>
      </c>
      <c r="B1246" s="45">
        <v>1995</v>
      </c>
      <c r="C1246" s="17">
        <v>0</v>
      </c>
      <c r="D1246" s="14">
        <v>0.38037480000000001</v>
      </c>
      <c r="E1246" s="14">
        <v>-1.740432</v>
      </c>
      <c r="F1246" s="14">
        <v>7.4835299999999993E-2</v>
      </c>
      <c r="G1246" s="14">
        <v>1.831558</v>
      </c>
      <c r="H1246" s="14">
        <v>0.52866360000000001</v>
      </c>
      <c r="R1246" s="11">
        <f t="shared" si="40"/>
        <v>2.846437695671402E-2</v>
      </c>
      <c r="Z1246" s="11">
        <f t="shared" si="39"/>
        <v>3.4101104768397256E-2</v>
      </c>
    </row>
    <row r="1247" spans="1:26" x14ac:dyDescent="0.2">
      <c r="A1247" s="45">
        <v>243</v>
      </c>
      <c r="B1247" s="45">
        <v>2001</v>
      </c>
      <c r="C1247" s="17">
        <v>0</v>
      </c>
      <c r="D1247" s="14">
        <v>1.61754E-2</v>
      </c>
      <c r="E1247" s="14">
        <v>0.1066416</v>
      </c>
      <c r="F1247" s="14">
        <v>2.77126E-2</v>
      </c>
      <c r="G1247" s="14">
        <v>0.32626870000000002</v>
      </c>
      <c r="H1247" s="14">
        <v>0.24951280000000001</v>
      </c>
      <c r="R1247" s="11">
        <f t="shared" si="40"/>
        <v>3.1063965173107898E-2</v>
      </c>
      <c r="Z1247" s="11">
        <f t="shared" si="39"/>
        <v>3.9323247689770385E-2</v>
      </c>
    </row>
    <row r="1248" spans="1:26" x14ac:dyDescent="0.2">
      <c r="A1248" s="45">
        <v>243</v>
      </c>
      <c r="B1248" s="45">
        <v>2002</v>
      </c>
      <c r="C1248" s="17">
        <v>0</v>
      </c>
      <c r="D1248" s="14">
        <v>5.1317700000000001E-2</v>
      </c>
      <c r="E1248" s="14">
        <v>7.2268499999999999E-2</v>
      </c>
      <c r="F1248" s="14">
        <v>4.2289899999999998E-2</v>
      </c>
      <c r="G1248" s="14">
        <v>0.2205799</v>
      </c>
      <c r="H1248" s="14">
        <v>0.2360293</v>
      </c>
      <c r="R1248" s="11">
        <f t="shared" si="40"/>
        <v>3.4278718318822066E-2</v>
      </c>
      <c r="Z1248" s="11">
        <f t="shared" si="39"/>
        <v>4.3901002170727885E-2</v>
      </c>
    </row>
    <row r="1249" spans="1:26" x14ac:dyDescent="0.2">
      <c r="A1249" s="45">
        <v>243</v>
      </c>
      <c r="B1249" s="45">
        <v>2003</v>
      </c>
      <c r="C1249" s="17">
        <v>0</v>
      </c>
      <c r="D1249" s="14">
        <v>4.3164800000000003E-2</v>
      </c>
      <c r="E1249" s="14">
        <v>0.1114207</v>
      </c>
      <c r="F1249" s="14">
        <v>3.06991E-2</v>
      </c>
      <c r="G1249" s="14">
        <v>0.45923720000000001</v>
      </c>
      <c r="H1249" s="14">
        <v>0.23642879999999999</v>
      </c>
      <c r="R1249" s="11">
        <f t="shared" si="40"/>
        <v>2.453326613779035E-2</v>
      </c>
      <c r="Z1249" s="11">
        <f t="shared" si="39"/>
        <v>3.1102388277548999E-2</v>
      </c>
    </row>
    <row r="1250" spans="1:26" x14ac:dyDescent="0.2">
      <c r="A1250" s="45">
        <v>243</v>
      </c>
      <c r="B1250" s="45">
        <v>2004</v>
      </c>
      <c r="C1250" s="17">
        <v>0</v>
      </c>
      <c r="D1250" s="14">
        <v>3.8685200000000003E-2</v>
      </c>
      <c r="E1250" s="14">
        <v>0.12844369999999999</v>
      </c>
      <c r="F1250" s="14">
        <v>4.39376E-2</v>
      </c>
      <c r="G1250" s="14">
        <v>0.60977110000000001</v>
      </c>
      <c r="H1250" s="14">
        <v>0.22244330000000001</v>
      </c>
      <c r="R1250" s="11">
        <f t="shared" si="40"/>
        <v>1.7066510677300473E-2</v>
      </c>
      <c r="Z1250" s="11">
        <f t="shared" si="39"/>
        <v>2.1853646357540349E-2</v>
      </c>
    </row>
    <row r="1251" spans="1:26" x14ac:dyDescent="0.2">
      <c r="A1251" s="45">
        <v>244</v>
      </c>
      <c r="B1251" s="45">
        <v>1999</v>
      </c>
      <c r="C1251" s="17">
        <v>0</v>
      </c>
      <c r="D1251" s="14">
        <v>0.1050987</v>
      </c>
      <c r="E1251" s="14">
        <v>0.45391930000000003</v>
      </c>
      <c r="F1251" s="14">
        <v>8.5056199999999998E-2</v>
      </c>
      <c r="G1251" s="14">
        <v>5.3145850000000001</v>
      </c>
      <c r="H1251" s="14">
        <v>0.2686692</v>
      </c>
      <c r="R1251" s="11">
        <f t="shared" si="40"/>
        <v>4.3161350212805025E-6</v>
      </c>
      <c r="Z1251" s="11">
        <f t="shared" si="39"/>
        <v>5.2369852766637489E-6</v>
      </c>
    </row>
    <row r="1252" spans="1:26" x14ac:dyDescent="0.2">
      <c r="A1252" s="45">
        <v>244</v>
      </c>
      <c r="B1252" s="45">
        <v>2000</v>
      </c>
      <c r="C1252" s="17">
        <v>0</v>
      </c>
      <c r="D1252" s="14">
        <v>-3.8003799999999997E-2</v>
      </c>
      <c r="E1252" s="14">
        <v>0.46076739999999999</v>
      </c>
      <c r="F1252" s="14">
        <v>7.1708400000000005E-2</v>
      </c>
      <c r="G1252" s="14">
        <v>4.5789479999999996</v>
      </c>
      <c r="H1252" s="14">
        <v>0.30583339999999998</v>
      </c>
      <c r="R1252" s="11">
        <f t="shared" si="40"/>
        <v>1.5355423315405913E-5</v>
      </c>
      <c r="Z1252" s="11">
        <f t="shared" si="39"/>
        <v>1.8734096138736326E-5</v>
      </c>
    </row>
    <row r="1253" spans="1:26" x14ac:dyDescent="0.2">
      <c r="A1253" s="45">
        <v>244</v>
      </c>
      <c r="B1253" s="45">
        <v>2001</v>
      </c>
      <c r="C1253" s="17">
        <v>0</v>
      </c>
      <c r="D1253" s="14">
        <v>-1.7103799999999999E-2</v>
      </c>
      <c r="E1253" s="14">
        <v>0.50303600000000004</v>
      </c>
      <c r="F1253" s="14">
        <v>7.9860500000000001E-2</v>
      </c>
      <c r="G1253" s="14">
        <v>4.5408989999999996</v>
      </c>
      <c r="H1253" s="14">
        <v>0.2773427</v>
      </c>
      <c r="R1253" s="11">
        <f t="shared" si="40"/>
        <v>1.4374212740107342E-5</v>
      </c>
      <c r="Z1253" s="11">
        <f t="shared" si="39"/>
        <v>1.7694985712664274E-5</v>
      </c>
    </row>
    <row r="1254" spans="1:26" x14ac:dyDescent="0.2">
      <c r="A1254" s="45">
        <v>244</v>
      </c>
      <c r="B1254" s="45">
        <v>2002</v>
      </c>
      <c r="C1254" s="17">
        <v>0</v>
      </c>
      <c r="D1254" s="14">
        <v>5.5285599999999997E-2</v>
      </c>
      <c r="E1254" s="14">
        <v>0.54155770000000003</v>
      </c>
      <c r="F1254" s="14">
        <v>8.35674E-2</v>
      </c>
      <c r="G1254" s="14">
        <v>4.2529490000000001</v>
      </c>
      <c r="H1254" s="14">
        <v>0.28360469999999999</v>
      </c>
      <c r="R1254" s="11">
        <f t="shared" si="40"/>
        <v>2.087686708967037E-5</v>
      </c>
      <c r="Z1254" s="11">
        <f t="shared" si="39"/>
        <v>2.5976320580044E-5</v>
      </c>
    </row>
    <row r="1255" spans="1:26" x14ac:dyDescent="0.2">
      <c r="A1255" s="45">
        <v>244</v>
      </c>
      <c r="B1255" s="45">
        <v>2003</v>
      </c>
      <c r="C1255" s="17">
        <v>0</v>
      </c>
      <c r="D1255" s="14">
        <v>3.7098199999999998E-2</v>
      </c>
      <c r="E1255" s="14">
        <v>0.6716763</v>
      </c>
      <c r="F1255" s="14">
        <v>9.5316799999999993E-2</v>
      </c>
      <c r="G1255" s="14">
        <v>4.8457499999999998</v>
      </c>
      <c r="H1255" s="14">
        <v>0.29237960000000002</v>
      </c>
      <c r="R1255" s="11">
        <f t="shared" si="40"/>
        <v>6.1152946220809093E-6</v>
      </c>
      <c r="Z1255" s="11">
        <f t="shared" si="39"/>
        <v>7.6169566807559249E-6</v>
      </c>
    </row>
    <row r="1256" spans="1:26" x14ac:dyDescent="0.2">
      <c r="A1256" s="45">
        <v>244</v>
      </c>
      <c r="B1256" s="45">
        <v>2004</v>
      </c>
      <c r="C1256" s="17">
        <v>0</v>
      </c>
      <c r="D1256" s="14">
        <v>9.6048000000000001E-3</v>
      </c>
      <c r="E1256" s="14">
        <v>0.74257550000000005</v>
      </c>
      <c r="F1256" s="14">
        <v>8.5172899999999996E-2</v>
      </c>
      <c r="G1256" s="14">
        <v>5.6619400000000004</v>
      </c>
      <c r="H1256" s="14">
        <v>0.3196061</v>
      </c>
      <c r="R1256" s="11">
        <f t="shared" si="40"/>
        <v>1.6293392022028145E-6</v>
      </c>
      <c r="Z1256" s="11">
        <f t="shared" si="39"/>
        <v>1.9815934263453365E-6</v>
      </c>
    </row>
    <row r="1257" spans="1:26" x14ac:dyDescent="0.2">
      <c r="A1257" s="45">
        <v>245</v>
      </c>
      <c r="B1257" s="45">
        <v>1995</v>
      </c>
      <c r="C1257" s="17">
        <v>0</v>
      </c>
      <c r="D1257" s="14">
        <v>0.13546820000000001</v>
      </c>
      <c r="E1257" s="14">
        <v>0.66784149999999998</v>
      </c>
      <c r="F1257" s="14">
        <v>8.0510799999999993E-2</v>
      </c>
      <c r="G1257" s="14">
        <v>2.116412</v>
      </c>
      <c r="H1257" s="14">
        <v>0.2446111</v>
      </c>
      <c r="R1257" s="11">
        <f t="shared" si="40"/>
        <v>5.3578358557166425E-4</v>
      </c>
      <c r="Z1257" s="11">
        <f t="shared" si="39"/>
        <v>6.9993483794647982E-4</v>
      </c>
    </row>
    <row r="1258" spans="1:26" x14ac:dyDescent="0.2">
      <c r="A1258" s="45">
        <v>245</v>
      </c>
      <c r="B1258" s="45">
        <v>1996</v>
      </c>
      <c r="C1258" s="17">
        <v>0</v>
      </c>
      <c r="D1258" s="14">
        <v>0.16174730000000001</v>
      </c>
      <c r="E1258" s="14">
        <v>0.6959497</v>
      </c>
      <c r="F1258" s="14">
        <v>7.9944200000000007E-2</v>
      </c>
      <c r="G1258" s="14">
        <v>2.0153729999999999</v>
      </c>
      <c r="H1258" s="14">
        <v>0.22664329999999999</v>
      </c>
      <c r="R1258" s="11">
        <f t="shared" si="40"/>
        <v>6.0688341797435381E-4</v>
      </c>
      <c r="Z1258" s="11">
        <f t="shared" si="39"/>
        <v>7.9496150220278745E-4</v>
      </c>
    </row>
    <row r="1259" spans="1:26" x14ac:dyDescent="0.2">
      <c r="A1259" s="45">
        <v>245</v>
      </c>
      <c r="B1259" s="45">
        <v>1997</v>
      </c>
      <c r="C1259" s="17">
        <v>0</v>
      </c>
      <c r="D1259" s="14">
        <v>0.13136700000000001</v>
      </c>
      <c r="E1259" s="14">
        <v>0.55045630000000001</v>
      </c>
      <c r="F1259" s="14">
        <v>4.4670099999999997E-2</v>
      </c>
      <c r="G1259" s="14">
        <v>1.336616</v>
      </c>
      <c r="H1259" s="14">
        <v>0.16236129999999999</v>
      </c>
      <c r="R1259" s="11">
        <f t="shared" si="40"/>
        <v>2.9259858910008294E-3</v>
      </c>
      <c r="Z1259" s="11">
        <f t="shared" si="39"/>
        <v>3.758378086197423E-3</v>
      </c>
    </row>
    <row r="1260" spans="1:26" x14ac:dyDescent="0.2">
      <c r="A1260" s="45">
        <v>245</v>
      </c>
      <c r="B1260" s="45">
        <v>1998</v>
      </c>
      <c r="C1260" s="17">
        <v>0</v>
      </c>
      <c r="D1260" s="14">
        <v>0.14525150000000001</v>
      </c>
      <c r="E1260" s="14">
        <v>0.52723050000000005</v>
      </c>
      <c r="F1260" s="14">
        <v>4.4930600000000001E-2</v>
      </c>
      <c r="G1260" s="14">
        <v>0.82768640000000004</v>
      </c>
      <c r="H1260" s="14">
        <v>0.1757649</v>
      </c>
      <c r="R1260" s="11">
        <f t="shared" si="40"/>
        <v>6.7698786268258308E-3</v>
      </c>
      <c r="Z1260" s="11">
        <f t="shared" si="39"/>
        <v>8.7782319411025076E-3</v>
      </c>
    </row>
    <row r="1261" spans="1:26" x14ac:dyDescent="0.2">
      <c r="A1261" s="45">
        <v>245</v>
      </c>
      <c r="B1261" s="45">
        <v>1999</v>
      </c>
      <c r="C1261" s="17">
        <v>0</v>
      </c>
      <c r="D1261" s="14">
        <v>0.1537192</v>
      </c>
      <c r="E1261" s="14">
        <v>0.53443189999999996</v>
      </c>
      <c r="F1261" s="14">
        <v>5.3822700000000001E-2</v>
      </c>
      <c r="G1261" s="14">
        <v>0.97038230000000003</v>
      </c>
      <c r="H1261" s="14">
        <v>0.1994814</v>
      </c>
      <c r="R1261" s="11">
        <f t="shared" si="40"/>
        <v>4.9792812663671951E-3</v>
      </c>
      <c r="Z1261" s="11">
        <f t="shared" si="39"/>
        <v>6.4881488565320996E-3</v>
      </c>
    </row>
    <row r="1262" spans="1:26" x14ac:dyDescent="0.2">
      <c r="A1262" s="45">
        <v>245</v>
      </c>
      <c r="B1262" s="45">
        <v>2000</v>
      </c>
      <c r="C1262" s="17">
        <v>0</v>
      </c>
      <c r="D1262" s="14">
        <v>0.20557429999999999</v>
      </c>
      <c r="E1262" s="14">
        <v>0.52481319999999998</v>
      </c>
      <c r="F1262" s="14">
        <v>3.9574999999999999E-2</v>
      </c>
      <c r="G1262" s="14">
        <v>0.85083339999999996</v>
      </c>
      <c r="H1262" s="14">
        <v>0.1965073</v>
      </c>
      <c r="R1262" s="11">
        <f t="shared" si="40"/>
        <v>6.8338376933114852E-3</v>
      </c>
      <c r="Z1262" s="11">
        <f t="shared" si="39"/>
        <v>8.8173435128013952E-3</v>
      </c>
    </row>
    <row r="1263" spans="1:26" x14ac:dyDescent="0.2">
      <c r="A1263" s="45">
        <v>245</v>
      </c>
      <c r="B1263" s="45">
        <v>2001</v>
      </c>
      <c r="C1263" s="17">
        <v>0</v>
      </c>
      <c r="D1263" s="14">
        <v>7.1812200000000007E-2</v>
      </c>
      <c r="E1263" s="14">
        <v>0.52243010000000001</v>
      </c>
      <c r="F1263" s="14">
        <v>3.3362099999999999E-2</v>
      </c>
      <c r="G1263" s="14">
        <v>1.1388370000000001</v>
      </c>
      <c r="H1263" s="14">
        <v>0.16156809999999999</v>
      </c>
      <c r="R1263" s="11">
        <f t="shared" si="40"/>
        <v>4.5647786931141817E-3</v>
      </c>
      <c r="Z1263" s="11">
        <f t="shared" si="39"/>
        <v>5.8265117052862837E-3</v>
      </c>
    </row>
    <row r="1264" spans="1:26" x14ac:dyDescent="0.2">
      <c r="A1264" s="45">
        <v>245</v>
      </c>
      <c r="B1264" s="45">
        <v>2002</v>
      </c>
      <c r="C1264" s="17">
        <v>0</v>
      </c>
      <c r="D1264" s="14">
        <v>0.1075065</v>
      </c>
      <c r="E1264" s="14">
        <v>0.53714720000000005</v>
      </c>
      <c r="F1264" s="14">
        <v>5.7467299999999999E-2</v>
      </c>
      <c r="G1264" s="14">
        <v>1.0074939999999999</v>
      </c>
      <c r="H1264" s="14">
        <v>0.18482299999999999</v>
      </c>
      <c r="R1264" s="11">
        <f t="shared" si="40"/>
        <v>4.5425200830445196E-3</v>
      </c>
      <c r="Z1264" s="11">
        <f t="shared" si="39"/>
        <v>5.9331576013396583E-3</v>
      </c>
    </row>
    <row r="1265" spans="1:26" x14ac:dyDescent="0.2">
      <c r="A1265" s="45">
        <v>245</v>
      </c>
      <c r="B1265" s="45">
        <v>2003</v>
      </c>
      <c r="C1265" s="17">
        <v>0</v>
      </c>
      <c r="D1265" s="14">
        <v>8.9226E-2</v>
      </c>
      <c r="E1265" s="14">
        <v>0.51456800000000003</v>
      </c>
      <c r="F1265" s="14">
        <v>3.8437699999999998E-2</v>
      </c>
      <c r="G1265" s="14">
        <v>0.85097389999999995</v>
      </c>
      <c r="H1265" s="14">
        <v>0.15417139999999999</v>
      </c>
      <c r="R1265" s="11">
        <f t="shared" si="40"/>
        <v>6.9970749141836713E-3</v>
      </c>
      <c r="Z1265" s="11">
        <f t="shared" si="39"/>
        <v>9.0160274586021487E-3</v>
      </c>
    </row>
    <row r="1266" spans="1:26" x14ac:dyDescent="0.2">
      <c r="A1266" s="45">
        <v>245</v>
      </c>
      <c r="B1266" s="45">
        <v>2004</v>
      </c>
      <c r="C1266" s="17">
        <v>0</v>
      </c>
      <c r="D1266" s="14">
        <v>0.1274795</v>
      </c>
      <c r="E1266" s="14">
        <v>0.51860850000000003</v>
      </c>
      <c r="F1266" s="14">
        <v>2.6050400000000001E-2</v>
      </c>
      <c r="G1266" s="14">
        <v>1.076702</v>
      </c>
      <c r="H1266" s="14">
        <v>0.15680730000000001</v>
      </c>
      <c r="R1266" s="11">
        <f t="shared" si="40"/>
        <v>5.3689012683633772E-3</v>
      </c>
      <c r="Z1266" s="11">
        <f t="shared" si="39"/>
        <v>6.8190822686466923E-3</v>
      </c>
    </row>
    <row r="1267" spans="1:26" x14ac:dyDescent="0.2">
      <c r="A1267" s="45">
        <v>246</v>
      </c>
      <c r="B1267" s="45">
        <v>2002</v>
      </c>
      <c r="C1267" s="17">
        <v>0</v>
      </c>
      <c r="D1267" s="14">
        <v>0.1220806</v>
      </c>
      <c r="E1267" s="14">
        <v>0.2539225</v>
      </c>
      <c r="F1267" s="14">
        <v>0.1185607</v>
      </c>
      <c r="G1267" s="14">
        <v>4.5143409999999999</v>
      </c>
      <c r="H1267" s="14">
        <v>0.33890809999999999</v>
      </c>
      <c r="R1267" s="11">
        <f t="shared" si="40"/>
        <v>1.5806291128886339E-5</v>
      </c>
      <c r="Z1267" s="11">
        <f t="shared" si="39"/>
        <v>1.9925919690863684E-5</v>
      </c>
    </row>
    <row r="1268" spans="1:26" x14ac:dyDescent="0.2">
      <c r="A1268" s="45">
        <v>246</v>
      </c>
      <c r="B1268" s="45">
        <v>2003</v>
      </c>
      <c r="C1268" s="17">
        <v>0</v>
      </c>
      <c r="D1268" s="14">
        <v>0.1897259</v>
      </c>
      <c r="E1268" s="14">
        <v>0.28030670000000002</v>
      </c>
      <c r="F1268" s="14">
        <v>0.1045683</v>
      </c>
      <c r="G1268" s="14">
        <v>4.8211760000000004</v>
      </c>
      <c r="H1268" s="14">
        <v>0.29612260000000001</v>
      </c>
      <c r="R1268" s="11">
        <f t="shared" si="40"/>
        <v>1.0433333195449745E-5</v>
      </c>
      <c r="Z1268" s="11">
        <f t="shared" si="39"/>
        <v>1.2926748088663598E-5</v>
      </c>
    </row>
    <row r="1269" spans="1:26" x14ac:dyDescent="0.2">
      <c r="A1269" s="45">
        <v>246</v>
      </c>
      <c r="B1269" s="45">
        <v>2004</v>
      </c>
      <c r="C1269" s="17">
        <v>0</v>
      </c>
      <c r="D1269" s="14">
        <v>0.25351560000000001</v>
      </c>
      <c r="E1269" s="14">
        <v>0.34623350000000003</v>
      </c>
      <c r="F1269" s="14">
        <v>0.1038138</v>
      </c>
      <c r="G1269" s="14">
        <v>4.3814979999999997</v>
      </c>
      <c r="H1269" s="14">
        <v>0.2949291</v>
      </c>
      <c r="R1269" s="11">
        <f t="shared" si="40"/>
        <v>1.9217891372772098E-5</v>
      </c>
      <c r="Z1269" s="11">
        <f t="shared" si="39"/>
        <v>2.4081784683299967E-5</v>
      </c>
    </row>
    <row r="1270" spans="1:26" x14ac:dyDescent="0.2">
      <c r="A1270" s="45">
        <v>247</v>
      </c>
      <c r="B1270" s="45">
        <v>1999</v>
      </c>
      <c r="C1270" s="17">
        <v>0</v>
      </c>
      <c r="D1270" s="14">
        <v>6.2376899999999999E-2</v>
      </c>
      <c r="E1270" s="14">
        <v>0.38887270000000002</v>
      </c>
      <c r="F1270" s="14">
        <v>3.1868399999999998E-2</v>
      </c>
      <c r="G1270" s="14">
        <v>2.5934560000000002</v>
      </c>
      <c r="H1270" s="14">
        <v>0.1219105</v>
      </c>
      <c r="R1270" s="11">
        <f t="shared" si="40"/>
        <v>5.5458317893127939E-4</v>
      </c>
      <c r="Z1270" s="11">
        <f t="shared" si="39"/>
        <v>6.8236919449125952E-4</v>
      </c>
    </row>
    <row r="1271" spans="1:26" x14ac:dyDescent="0.2">
      <c r="A1271" s="45">
        <v>247</v>
      </c>
      <c r="B1271" s="45">
        <v>2000</v>
      </c>
      <c r="C1271" s="17">
        <v>0</v>
      </c>
      <c r="D1271" s="14">
        <v>0.1245778</v>
      </c>
      <c r="E1271" s="14">
        <v>0.42473939999999999</v>
      </c>
      <c r="F1271" s="14">
        <v>4.9581600000000003E-2</v>
      </c>
      <c r="G1271" s="14">
        <v>4.4507630000000002</v>
      </c>
      <c r="H1271" s="14">
        <v>0.18688109999999999</v>
      </c>
      <c r="R1271" s="11">
        <f t="shared" si="40"/>
        <v>2.3691451930282165E-5</v>
      </c>
      <c r="Z1271" s="11">
        <f t="shared" si="39"/>
        <v>2.842985992091821E-5</v>
      </c>
    </row>
    <row r="1272" spans="1:26" x14ac:dyDescent="0.2">
      <c r="A1272" s="45">
        <v>247</v>
      </c>
      <c r="B1272" s="45">
        <v>2001</v>
      </c>
      <c r="C1272" s="17">
        <v>0</v>
      </c>
      <c r="D1272" s="14">
        <v>0.15783</v>
      </c>
      <c r="E1272" s="14">
        <v>0.2368065</v>
      </c>
      <c r="F1272" s="14">
        <v>4.8743000000000002E-2</v>
      </c>
      <c r="G1272" s="14">
        <v>4.4800060000000004</v>
      </c>
      <c r="H1272" s="14">
        <v>0.101365</v>
      </c>
      <c r="R1272" s="11">
        <f t="shared" si="40"/>
        <v>2.9918377725312919E-5</v>
      </c>
      <c r="Z1272" s="11">
        <f t="shared" si="39"/>
        <v>3.5624180968472009E-5</v>
      </c>
    </row>
    <row r="1273" spans="1:26" x14ac:dyDescent="0.2">
      <c r="A1273" s="45">
        <v>247</v>
      </c>
      <c r="B1273" s="45">
        <v>2002</v>
      </c>
      <c r="C1273" s="17">
        <v>0</v>
      </c>
      <c r="D1273" s="14">
        <v>0.1363248</v>
      </c>
      <c r="E1273" s="14">
        <v>0.25128499999999998</v>
      </c>
      <c r="F1273" s="14">
        <v>4.3603099999999999E-2</v>
      </c>
      <c r="G1273" s="14">
        <v>3.635894</v>
      </c>
      <c r="H1273" s="14">
        <v>0.12753210000000001</v>
      </c>
      <c r="R1273" s="11">
        <f t="shared" si="40"/>
        <v>1.1716931165060825E-4</v>
      </c>
      <c r="Z1273" s="11">
        <f t="shared" si="39"/>
        <v>1.4160259975516795E-4</v>
      </c>
    </row>
    <row r="1274" spans="1:26" x14ac:dyDescent="0.2">
      <c r="A1274" s="45">
        <v>247</v>
      </c>
      <c r="B1274" s="45">
        <v>2003</v>
      </c>
      <c r="C1274" s="17">
        <v>0</v>
      </c>
      <c r="D1274" s="14">
        <v>0.1638927</v>
      </c>
      <c r="E1274" s="14">
        <v>0.25561099999999998</v>
      </c>
      <c r="F1274" s="14">
        <v>2.9458999999999999E-2</v>
      </c>
      <c r="G1274" s="14">
        <v>3.2122090000000001</v>
      </c>
      <c r="H1274" s="14">
        <v>0.11149100000000001</v>
      </c>
      <c r="R1274" s="11">
        <f t="shared" si="40"/>
        <v>2.5608576834437562E-4</v>
      </c>
      <c r="Z1274" s="11">
        <f t="shared" si="39"/>
        <v>3.0882449218721576E-4</v>
      </c>
    </row>
    <row r="1275" spans="1:26" x14ac:dyDescent="0.2">
      <c r="A1275" s="45">
        <v>247</v>
      </c>
      <c r="B1275" s="45">
        <v>2004</v>
      </c>
      <c r="C1275" s="17">
        <v>0</v>
      </c>
      <c r="D1275" s="14">
        <v>0.10484350000000001</v>
      </c>
      <c r="E1275" s="14">
        <v>0.2748351</v>
      </c>
      <c r="F1275" s="14">
        <v>3.9923699999999999E-2</v>
      </c>
      <c r="G1275" s="14">
        <v>5.0968960000000001</v>
      </c>
      <c r="H1275" s="14">
        <v>0.10106710000000001</v>
      </c>
      <c r="R1275" s="11">
        <f t="shared" si="40"/>
        <v>1.1366505167595232E-5</v>
      </c>
      <c r="Z1275" s="11">
        <f t="shared" si="39"/>
        <v>1.3272788798729535E-5</v>
      </c>
    </row>
    <row r="1276" spans="1:26" x14ac:dyDescent="0.2">
      <c r="A1276" s="45">
        <v>248</v>
      </c>
      <c r="B1276" s="45">
        <v>1996</v>
      </c>
      <c r="C1276" s="17">
        <v>0</v>
      </c>
      <c r="D1276" s="14">
        <v>3.36032E-2</v>
      </c>
      <c r="E1276" s="14">
        <v>0.42537520000000001</v>
      </c>
      <c r="F1276" s="14">
        <v>6.5442E-2</v>
      </c>
      <c r="G1276" s="14">
        <v>4.5387300000000002</v>
      </c>
      <c r="H1276" s="14">
        <v>0.19321759999999999</v>
      </c>
      <c r="R1276" s="11">
        <f t="shared" si="40"/>
        <v>1.8122303605612581E-5</v>
      </c>
      <c r="Z1276" s="11">
        <f t="shared" si="39"/>
        <v>2.198928699612123E-5</v>
      </c>
    </row>
    <row r="1277" spans="1:26" x14ac:dyDescent="0.2">
      <c r="A1277" s="45">
        <v>248</v>
      </c>
      <c r="B1277" s="45">
        <v>1997</v>
      </c>
      <c r="C1277" s="17">
        <v>0</v>
      </c>
      <c r="D1277" s="14">
        <v>2.9459300000000001E-2</v>
      </c>
      <c r="E1277" s="14">
        <v>0.34872039999999999</v>
      </c>
      <c r="F1277" s="14">
        <v>5.8884699999999998E-2</v>
      </c>
      <c r="G1277" s="14">
        <v>2.2522150000000001</v>
      </c>
      <c r="H1277" s="14">
        <v>0.12816069999999999</v>
      </c>
      <c r="R1277" s="11">
        <f t="shared" si="40"/>
        <v>8.1568845150535834E-4</v>
      </c>
      <c r="Z1277" s="11">
        <f t="shared" si="39"/>
        <v>1.0323376540525573E-3</v>
      </c>
    </row>
    <row r="1278" spans="1:26" x14ac:dyDescent="0.2">
      <c r="A1278" s="45">
        <v>248</v>
      </c>
      <c r="B1278" s="45">
        <v>1998</v>
      </c>
      <c r="C1278" s="17">
        <v>0</v>
      </c>
      <c r="D1278" s="14">
        <v>5.8721700000000002E-2</v>
      </c>
      <c r="E1278" s="14">
        <v>0.28391230000000001</v>
      </c>
      <c r="F1278" s="14">
        <v>2.21663E-2</v>
      </c>
      <c r="G1278" s="14">
        <v>0.93936390000000003</v>
      </c>
      <c r="H1278" s="14">
        <v>0.14144760000000001</v>
      </c>
      <c r="R1278" s="11">
        <f t="shared" si="40"/>
        <v>9.6551175076988096E-3</v>
      </c>
      <c r="Z1278" s="11">
        <f t="shared" si="39"/>
        <v>1.2149919380613142E-2</v>
      </c>
    </row>
    <row r="1279" spans="1:26" x14ac:dyDescent="0.2">
      <c r="A1279" s="45">
        <v>248</v>
      </c>
      <c r="B1279" s="45">
        <v>1999</v>
      </c>
      <c r="C1279" s="17">
        <v>0</v>
      </c>
      <c r="D1279" s="14">
        <v>6.1797100000000001E-2</v>
      </c>
      <c r="E1279" s="14">
        <v>0.2986664</v>
      </c>
      <c r="F1279" s="14">
        <v>4.4262900000000001E-2</v>
      </c>
      <c r="G1279" s="14">
        <v>1.0792569999999999</v>
      </c>
      <c r="H1279" s="14">
        <v>0.1606032</v>
      </c>
      <c r="R1279" s="11">
        <f t="shared" si="40"/>
        <v>6.3577494383538066E-3</v>
      </c>
      <c r="Z1279" s="11">
        <f t="shared" si="39"/>
        <v>8.1317963150567673E-3</v>
      </c>
    </row>
    <row r="1280" spans="1:26" x14ac:dyDescent="0.2">
      <c r="A1280" s="45">
        <v>249</v>
      </c>
      <c r="B1280" s="45">
        <v>1999</v>
      </c>
      <c r="C1280" s="17">
        <v>0</v>
      </c>
      <c r="D1280" s="14">
        <v>0.13949230000000001</v>
      </c>
      <c r="E1280" s="14">
        <v>1.2552900000000001E-2</v>
      </c>
      <c r="F1280" s="14">
        <v>5.2058199999999999E-2</v>
      </c>
      <c r="G1280" s="14">
        <v>0.75883529999999999</v>
      </c>
      <c r="H1280" s="14">
        <v>0.26894119999999999</v>
      </c>
      <c r="R1280" s="11">
        <f t="shared" si="40"/>
        <v>1.4958254322220737E-2</v>
      </c>
      <c r="Z1280" s="11">
        <f t="shared" si="39"/>
        <v>1.9154310649512733E-2</v>
      </c>
    </row>
    <row r="1281" spans="1:26" x14ac:dyDescent="0.2">
      <c r="A1281" s="45">
        <v>249</v>
      </c>
      <c r="B1281" s="45">
        <v>2000</v>
      </c>
      <c r="C1281" s="17">
        <v>0</v>
      </c>
      <c r="D1281" s="14">
        <v>0.19142329999999999</v>
      </c>
      <c r="E1281" s="14">
        <v>5.1523199999999998E-2</v>
      </c>
      <c r="F1281" s="14">
        <v>5.39339E-2</v>
      </c>
      <c r="G1281" s="14">
        <v>0.85134279999999996</v>
      </c>
      <c r="H1281" s="14">
        <v>0.196766</v>
      </c>
      <c r="R1281" s="11">
        <f t="shared" si="40"/>
        <v>1.2050712052473083E-2</v>
      </c>
      <c r="Z1281" s="11">
        <f t="shared" si="39"/>
        <v>1.5456657537935969E-2</v>
      </c>
    </row>
    <row r="1282" spans="1:26" x14ac:dyDescent="0.2">
      <c r="A1282" s="45">
        <v>249</v>
      </c>
      <c r="B1282" s="45">
        <v>2001</v>
      </c>
      <c r="C1282" s="17">
        <v>0</v>
      </c>
      <c r="D1282" s="14">
        <v>0.19059999999999999</v>
      </c>
      <c r="E1282" s="14">
        <v>8.5446099999999997E-2</v>
      </c>
      <c r="F1282" s="14">
        <v>7.0703199999999994E-2</v>
      </c>
      <c r="G1282" s="14">
        <v>0.85775089999999998</v>
      </c>
      <c r="H1282" s="14">
        <v>0.2650922</v>
      </c>
      <c r="R1282" s="11">
        <f t="shared" si="40"/>
        <v>9.9500013846323242E-3</v>
      </c>
      <c r="Z1282" s="11">
        <f t="shared" ref="Z1282:Z1345" si="41">1/(1+EXP(-(U$2+$V$2*E1282+$W$2*F1282+$X$2*G1282)))</f>
        <v>1.2957404032170666E-2</v>
      </c>
    </row>
    <row r="1283" spans="1:26" x14ac:dyDescent="0.2">
      <c r="A1283" s="45">
        <v>249</v>
      </c>
      <c r="B1283" s="45">
        <v>2002</v>
      </c>
      <c r="C1283" s="17">
        <v>0</v>
      </c>
      <c r="D1283" s="14">
        <v>0.1072306</v>
      </c>
      <c r="E1283" s="14">
        <v>-2.45328E-2</v>
      </c>
      <c r="F1283" s="14">
        <v>5.1083200000000002E-2</v>
      </c>
      <c r="G1283" s="14">
        <v>0.45246459999999999</v>
      </c>
      <c r="H1283" s="14">
        <v>0.22473180000000001</v>
      </c>
      <c r="R1283" s="11">
        <f t="shared" si="40"/>
        <v>2.5643984963477119E-2</v>
      </c>
      <c r="Z1283" s="11">
        <f t="shared" si="41"/>
        <v>3.2886360521290431E-2</v>
      </c>
    </row>
    <row r="1284" spans="1:26" x14ac:dyDescent="0.2">
      <c r="A1284" s="45">
        <v>249</v>
      </c>
      <c r="B1284" s="45">
        <v>2003</v>
      </c>
      <c r="C1284" s="17">
        <v>0</v>
      </c>
      <c r="D1284" s="14">
        <v>0.15090509999999999</v>
      </c>
      <c r="E1284" s="14">
        <v>2.0695600000000001E-2</v>
      </c>
      <c r="F1284" s="14">
        <v>3.94119E-2</v>
      </c>
      <c r="G1284" s="14">
        <v>0.75934330000000005</v>
      </c>
      <c r="H1284" s="14">
        <v>0.21815200000000001</v>
      </c>
      <c r="R1284" s="11">
        <f t="shared" si="40"/>
        <v>1.6319965515587322E-2</v>
      </c>
      <c r="Z1284" s="11">
        <f t="shared" si="41"/>
        <v>2.06843569527034E-2</v>
      </c>
    </row>
    <row r="1285" spans="1:26" x14ac:dyDescent="0.2">
      <c r="A1285" s="45">
        <v>249</v>
      </c>
      <c r="B1285" s="45">
        <v>2004</v>
      </c>
      <c r="C1285" s="17">
        <v>0</v>
      </c>
      <c r="D1285" s="14">
        <v>0.14952950000000001</v>
      </c>
      <c r="E1285" s="14">
        <v>3.82592E-2</v>
      </c>
      <c r="F1285" s="14">
        <v>5.7008499999999997E-2</v>
      </c>
      <c r="G1285" s="14">
        <v>0.8381248</v>
      </c>
      <c r="H1285" s="14">
        <v>0.2274612</v>
      </c>
      <c r="R1285" s="11">
        <f t="shared" si="40"/>
        <v>1.2239748614774575E-2</v>
      </c>
      <c r="Z1285" s="11">
        <f t="shared" si="41"/>
        <v>1.5734730039666783E-2</v>
      </c>
    </row>
    <row r="1286" spans="1:26" x14ac:dyDescent="0.2">
      <c r="A1286" s="45">
        <v>250</v>
      </c>
      <c r="B1286" s="45">
        <v>1999</v>
      </c>
      <c r="C1286" s="17">
        <v>0</v>
      </c>
      <c r="D1286" s="14">
        <v>0.1318512</v>
      </c>
      <c r="E1286" s="14">
        <v>0.22403190000000001</v>
      </c>
      <c r="F1286" s="14">
        <v>3.9438300000000003E-2</v>
      </c>
      <c r="G1286" s="14">
        <v>0.49239149999999998</v>
      </c>
      <c r="H1286" s="14">
        <v>0.30845610000000001</v>
      </c>
      <c r="R1286" s="11">
        <f t="shared" si="40"/>
        <v>1.8535374122417254E-2</v>
      </c>
      <c r="Z1286" s="11">
        <f t="shared" si="41"/>
        <v>2.3774966625956559E-2</v>
      </c>
    </row>
    <row r="1287" spans="1:26" x14ac:dyDescent="0.2">
      <c r="A1287" s="45">
        <v>250</v>
      </c>
      <c r="B1287" s="45">
        <v>2000</v>
      </c>
      <c r="C1287" s="17">
        <v>0</v>
      </c>
      <c r="D1287" s="14">
        <v>0.11738460000000001</v>
      </c>
      <c r="E1287" s="14">
        <v>0.20633570000000001</v>
      </c>
      <c r="F1287" s="14">
        <v>3.1417899999999999E-2</v>
      </c>
      <c r="G1287" s="14">
        <v>0.37978679999999998</v>
      </c>
      <c r="H1287" s="14">
        <v>0.28555570000000002</v>
      </c>
      <c r="R1287" s="11">
        <f t="shared" si="40"/>
        <v>2.4126257247536288E-2</v>
      </c>
      <c r="Z1287" s="11">
        <f t="shared" si="41"/>
        <v>3.0756080324761733E-2</v>
      </c>
    </row>
    <row r="1288" spans="1:26" x14ac:dyDescent="0.2">
      <c r="A1288" s="45">
        <v>250</v>
      </c>
      <c r="B1288" s="45">
        <v>2001</v>
      </c>
      <c r="C1288" s="17">
        <v>0</v>
      </c>
      <c r="D1288" s="14">
        <v>0.1701908</v>
      </c>
      <c r="E1288" s="14">
        <v>0.13855419999999999</v>
      </c>
      <c r="F1288" s="14">
        <v>4.2979200000000002E-2</v>
      </c>
      <c r="G1288" s="14">
        <v>0.39250980000000002</v>
      </c>
      <c r="H1288" s="14">
        <v>0.27657340000000002</v>
      </c>
      <c r="R1288" s="11">
        <f t="shared" si="40"/>
        <v>2.379419977058354E-2</v>
      </c>
      <c r="Z1288" s="11">
        <f t="shared" si="41"/>
        <v>3.0538445754855252E-2</v>
      </c>
    </row>
    <row r="1289" spans="1:26" x14ac:dyDescent="0.2">
      <c r="A1289" s="45">
        <v>250</v>
      </c>
      <c r="B1289" s="45">
        <v>2002</v>
      </c>
      <c r="C1289" s="17">
        <v>0</v>
      </c>
      <c r="D1289" s="14">
        <v>9.8435400000000006E-2</v>
      </c>
      <c r="E1289" s="14">
        <v>-4.1049299999999997E-2</v>
      </c>
      <c r="F1289" s="14">
        <v>2.23497E-2</v>
      </c>
      <c r="G1289" s="14">
        <v>0.12336270000000001</v>
      </c>
      <c r="H1289" s="14">
        <v>0.29316419999999999</v>
      </c>
      <c r="R1289" s="11">
        <f t="shared" si="40"/>
        <v>5.4209930174841617E-2</v>
      </c>
      <c r="Z1289" s="11">
        <f t="shared" si="41"/>
        <v>6.7873775869853339E-2</v>
      </c>
    </row>
    <row r="1290" spans="1:26" x14ac:dyDescent="0.2">
      <c r="A1290" s="45">
        <v>250</v>
      </c>
      <c r="B1290" s="45">
        <v>2003</v>
      </c>
      <c r="C1290" s="17">
        <v>0</v>
      </c>
      <c r="D1290" s="14">
        <v>0.25377159999999999</v>
      </c>
      <c r="E1290" s="14">
        <v>-8.3185899999999993E-2</v>
      </c>
      <c r="F1290" s="14">
        <v>3.3851300000000001E-2</v>
      </c>
      <c r="G1290" s="14">
        <v>0.11881559999999999</v>
      </c>
      <c r="H1290" s="14">
        <v>0.29546869999999997</v>
      </c>
      <c r="R1290" s="11">
        <f t="shared" si="40"/>
        <v>5.3018191668323951E-2</v>
      </c>
      <c r="Z1290" s="11">
        <f t="shared" si="41"/>
        <v>6.6905639784277771E-2</v>
      </c>
    </row>
    <row r="1291" spans="1:26" x14ac:dyDescent="0.2">
      <c r="A1291" s="45">
        <v>250</v>
      </c>
      <c r="B1291" s="45">
        <v>2004</v>
      </c>
      <c r="C1291" s="17">
        <v>0</v>
      </c>
      <c r="D1291" s="14">
        <v>0.2429163</v>
      </c>
      <c r="E1291" s="14">
        <v>-4.5252399999999998E-2</v>
      </c>
      <c r="F1291" s="14">
        <v>4.2305599999999999E-2</v>
      </c>
      <c r="G1291" s="14">
        <v>0.19287670000000001</v>
      </c>
      <c r="H1291" s="14">
        <v>0.31554270000000001</v>
      </c>
      <c r="R1291" s="11">
        <f t="shared" si="40"/>
        <v>4.2150235558776818E-2</v>
      </c>
      <c r="Z1291" s="11">
        <f t="shared" si="41"/>
        <v>5.3685619210047698E-2</v>
      </c>
    </row>
    <row r="1292" spans="1:26" x14ac:dyDescent="0.2">
      <c r="A1292" s="45">
        <v>251</v>
      </c>
      <c r="B1292" s="45">
        <v>1996</v>
      </c>
      <c r="C1292" s="17">
        <v>0</v>
      </c>
      <c r="D1292" s="14">
        <v>2.9912600000000001E-2</v>
      </c>
      <c r="E1292" s="14">
        <v>6.3730800000000004E-2</v>
      </c>
      <c r="F1292" s="14">
        <v>3.2711499999999998E-2</v>
      </c>
      <c r="G1292" s="14">
        <v>0.74321619999999999</v>
      </c>
      <c r="H1292" s="14">
        <v>0.11831460000000001</v>
      </c>
      <c r="R1292" s="11">
        <f t="shared" si="40"/>
        <v>1.6590611194163329E-2</v>
      </c>
      <c r="Z1292" s="11">
        <f t="shared" si="41"/>
        <v>2.0950586102570057E-2</v>
      </c>
    </row>
    <row r="1293" spans="1:26" x14ac:dyDescent="0.2">
      <c r="A1293" s="45">
        <v>251</v>
      </c>
      <c r="B1293" s="45">
        <v>1997</v>
      </c>
      <c r="C1293" s="17">
        <v>0</v>
      </c>
      <c r="D1293" s="14">
        <v>6.9254200000000002E-2</v>
      </c>
      <c r="E1293" s="14">
        <v>5.1639400000000002E-2</v>
      </c>
      <c r="F1293" s="14">
        <v>4.7792500000000002E-2</v>
      </c>
      <c r="G1293" s="14">
        <v>0.84393269999999998</v>
      </c>
      <c r="H1293" s="14">
        <v>0.10909199999999999</v>
      </c>
      <c r="R1293" s="11">
        <f t="shared" si="40"/>
        <v>1.2796020506479691E-2</v>
      </c>
      <c r="Z1293" s="11">
        <f t="shared" si="41"/>
        <v>1.6330750016321033E-2</v>
      </c>
    </row>
    <row r="1294" spans="1:26" x14ac:dyDescent="0.2">
      <c r="A1294" s="45">
        <v>251</v>
      </c>
      <c r="B1294" s="45">
        <v>1998</v>
      </c>
      <c r="C1294" s="17">
        <v>0</v>
      </c>
      <c r="D1294" s="14">
        <v>6.3509899999999994E-2</v>
      </c>
      <c r="E1294" s="14">
        <v>0.12951199999999999</v>
      </c>
      <c r="F1294" s="14">
        <v>4.36058E-2</v>
      </c>
      <c r="G1294" s="14">
        <v>0.60465279999999999</v>
      </c>
      <c r="H1294" s="14">
        <v>0.109795</v>
      </c>
      <c r="R1294" s="11">
        <f t="shared" si="40"/>
        <v>1.7222499584186157E-2</v>
      </c>
      <c r="Z1294" s="11">
        <f t="shared" si="41"/>
        <v>2.2049763453598492E-2</v>
      </c>
    </row>
    <row r="1295" spans="1:26" x14ac:dyDescent="0.2">
      <c r="A1295" s="45">
        <v>251</v>
      </c>
      <c r="B1295" s="45">
        <v>1999</v>
      </c>
      <c r="C1295" s="17">
        <v>0</v>
      </c>
      <c r="D1295" s="14">
        <v>5.9239899999999998E-2</v>
      </c>
      <c r="E1295" s="14">
        <v>9.3021599999999996E-2</v>
      </c>
      <c r="F1295" s="14">
        <v>4.0741800000000002E-2</v>
      </c>
      <c r="G1295" s="14">
        <v>0.52846590000000004</v>
      </c>
      <c r="H1295" s="14">
        <v>0.1039596</v>
      </c>
      <c r="R1295" s="11">
        <f t="shared" si="40"/>
        <v>2.0901977344370579E-2</v>
      </c>
      <c r="Z1295" s="11">
        <f t="shared" si="41"/>
        <v>2.668257728162023E-2</v>
      </c>
    </row>
    <row r="1296" spans="1:26" x14ac:dyDescent="0.2">
      <c r="A1296" s="45">
        <v>251</v>
      </c>
      <c r="B1296" s="45">
        <v>2000</v>
      </c>
      <c r="C1296" s="17">
        <v>0</v>
      </c>
      <c r="D1296" s="14">
        <v>5.5694599999999997E-2</v>
      </c>
      <c r="E1296" s="14">
        <v>6.6891000000000006E-2</v>
      </c>
      <c r="F1296" s="14">
        <v>4.8673300000000003E-2</v>
      </c>
      <c r="G1296" s="14">
        <v>0.51695720000000001</v>
      </c>
      <c r="H1296" s="14">
        <v>9.1725699999999993E-2</v>
      </c>
      <c r="R1296" s="11">
        <f t="shared" si="40"/>
        <v>2.075696698706803E-2</v>
      </c>
      <c r="Z1296" s="11">
        <f t="shared" si="41"/>
        <v>2.6650115210222064E-2</v>
      </c>
    </row>
    <row r="1297" spans="1:26" x14ac:dyDescent="0.2">
      <c r="A1297" s="45">
        <v>251</v>
      </c>
      <c r="B1297" s="45">
        <v>2001</v>
      </c>
      <c r="C1297" s="17">
        <v>0</v>
      </c>
      <c r="D1297" s="14">
        <v>4.3811099999999999E-2</v>
      </c>
      <c r="E1297" s="14">
        <v>3.49888E-2</v>
      </c>
      <c r="F1297" s="14">
        <v>3.43392E-2</v>
      </c>
      <c r="G1297" s="14">
        <v>0.31205729999999998</v>
      </c>
      <c r="H1297" s="14">
        <v>7.2764099999999998E-2</v>
      </c>
      <c r="R1297" s="11">
        <f t="shared" si="40"/>
        <v>3.3364635005536186E-2</v>
      </c>
      <c r="Z1297" s="11">
        <f t="shared" si="41"/>
        <v>4.2342129207229795E-2</v>
      </c>
    </row>
    <row r="1298" spans="1:26" x14ac:dyDescent="0.2">
      <c r="A1298" s="45">
        <v>251</v>
      </c>
      <c r="B1298" s="45">
        <v>2002</v>
      </c>
      <c r="C1298" s="17">
        <v>0</v>
      </c>
      <c r="D1298" s="14">
        <v>5.6903500000000003E-2</v>
      </c>
      <c r="E1298" s="14">
        <v>1.21104E-2</v>
      </c>
      <c r="F1298" s="14">
        <v>5.2809799999999997E-2</v>
      </c>
      <c r="G1298" s="14">
        <v>0.55502479999999998</v>
      </c>
      <c r="H1298" s="14">
        <v>8.8245500000000004E-2</v>
      </c>
      <c r="R1298" s="11">
        <f t="shared" si="40"/>
        <v>2.0472291212398172E-2</v>
      </c>
      <c r="Z1298" s="11">
        <f t="shared" si="41"/>
        <v>2.6304061472165265E-2</v>
      </c>
    </row>
    <row r="1299" spans="1:26" x14ac:dyDescent="0.2">
      <c r="A1299" s="45">
        <v>251</v>
      </c>
      <c r="B1299" s="45">
        <v>2003</v>
      </c>
      <c r="C1299" s="17">
        <v>0</v>
      </c>
      <c r="D1299" s="14">
        <v>7.0826899999999998E-2</v>
      </c>
      <c r="E1299" s="14">
        <v>2.1399899999999999E-2</v>
      </c>
      <c r="F1299" s="14">
        <v>5.6881500000000002E-2</v>
      </c>
      <c r="G1299" s="14">
        <v>0.83970120000000004</v>
      </c>
      <c r="H1299" s="14">
        <v>8.8365399999999997E-2</v>
      </c>
      <c r="R1299" s="11">
        <f t="shared" si="40"/>
        <v>1.2521176020008708E-2</v>
      </c>
      <c r="Z1299" s="11">
        <f t="shared" si="41"/>
        <v>1.6083862114344091E-2</v>
      </c>
    </row>
    <row r="1300" spans="1:26" x14ac:dyDescent="0.2">
      <c r="A1300" s="45">
        <v>251</v>
      </c>
      <c r="B1300" s="45">
        <v>2004</v>
      </c>
      <c r="C1300" s="17">
        <v>0</v>
      </c>
      <c r="D1300" s="14">
        <v>8.0450800000000003E-2</v>
      </c>
      <c r="E1300" s="14">
        <v>3.7041299999999999E-2</v>
      </c>
      <c r="F1300" s="14">
        <v>4.5239500000000002E-2</v>
      </c>
      <c r="G1300" s="14">
        <v>0.81062440000000002</v>
      </c>
      <c r="H1300" s="14">
        <v>9.3948199999999996E-2</v>
      </c>
      <c r="R1300" s="11">
        <f t="shared" si="40"/>
        <v>1.4049560044706484E-2</v>
      </c>
      <c r="Z1300" s="11">
        <f t="shared" si="41"/>
        <v>1.7891571316513283E-2</v>
      </c>
    </row>
    <row r="1301" spans="1:26" x14ac:dyDescent="0.2">
      <c r="A1301" s="45">
        <v>252</v>
      </c>
      <c r="B1301" s="45">
        <v>1999</v>
      </c>
      <c r="C1301" s="17">
        <v>0</v>
      </c>
      <c r="D1301" s="14">
        <v>6.5770200000000001E-2</v>
      </c>
      <c r="E1301" s="14">
        <v>0.13906669999999999</v>
      </c>
      <c r="F1301" s="14">
        <v>3.1504499999999998E-2</v>
      </c>
      <c r="G1301" s="14">
        <v>0.39391080000000001</v>
      </c>
      <c r="H1301" s="14">
        <v>0.76554739999999999</v>
      </c>
      <c r="R1301" s="11">
        <f t="shared" si="40"/>
        <v>2.594667489447091E-2</v>
      </c>
      <c r="Z1301" s="11">
        <f t="shared" si="41"/>
        <v>3.2978512699163527E-2</v>
      </c>
    </row>
    <row r="1302" spans="1:26" x14ac:dyDescent="0.2">
      <c r="A1302" s="45">
        <v>252</v>
      </c>
      <c r="B1302" s="45">
        <v>2000</v>
      </c>
      <c r="C1302" s="17">
        <v>0</v>
      </c>
      <c r="D1302" s="14">
        <v>5.2470099999999999E-2</v>
      </c>
      <c r="E1302" s="14">
        <v>0.12117410000000001</v>
      </c>
      <c r="F1302" s="14">
        <v>4.9108800000000001E-2</v>
      </c>
      <c r="G1302" s="14">
        <v>0.17129559999999999</v>
      </c>
      <c r="H1302" s="14">
        <v>0.80108480000000004</v>
      </c>
      <c r="R1302" s="11">
        <f t="shared" si="40"/>
        <v>3.2752791140142574E-2</v>
      </c>
      <c r="Z1302" s="11">
        <f t="shared" si="41"/>
        <v>4.2302384653634936E-2</v>
      </c>
    </row>
    <row r="1303" spans="1:26" x14ac:dyDescent="0.2">
      <c r="A1303" s="45">
        <v>252</v>
      </c>
      <c r="B1303" s="45">
        <v>2001</v>
      </c>
      <c r="C1303" s="17">
        <v>0</v>
      </c>
      <c r="D1303" s="14">
        <v>3.9691799999999999E-2</v>
      </c>
      <c r="E1303" s="14">
        <v>9.1295100000000004E-2</v>
      </c>
      <c r="F1303" s="14">
        <v>4.2068000000000001E-2</v>
      </c>
      <c r="G1303" s="14">
        <v>0.44629619999999998</v>
      </c>
      <c r="H1303" s="14">
        <v>0.83502140000000002</v>
      </c>
      <c r="R1303" s="11">
        <f t="shared" ref="R1303:R1366" si="42">1/(1+EXP(-(K$2+$M$2*E1303+$N$2*F1303+$O$2*G1303)))</f>
        <v>2.3569712775202287E-2</v>
      </c>
      <c r="Z1303" s="11">
        <f t="shared" si="41"/>
        <v>3.0148292864475245E-2</v>
      </c>
    </row>
    <row r="1304" spans="1:26" x14ac:dyDescent="0.2">
      <c r="A1304" s="45">
        <v>252</v>
      </c>
      <c r="B1304" s="45">
        <v>2002</v>
      </c>
      <c r="C1304" s="17">
        <v>0</v>
      </c>
      <c r="D1304" s="14">
        <v>1.3810100000000001E-2</v>
      </c>
      <c r="E1304" s="14">
        <v>3.0203500000000001E-2</v>
      </c>
      <c r="F1304" s="14">
        <v>1.1497500000000001E-2</v>
      </c>
      <c r="G1304" s="14">
        <v>0.1245288</v>
      </c>
      <c r="H1304" s="14">
        <v>0.84057420000000005</v>
      </c>
      <c r="R1304" s="11">
        <f t="shared" si="42"/>
        <v>5.3261435004692298E-2</v>
      </c>
      <c r="Z1304" s="11">
        <f t="shared" si="41"/>
        <v>6.6300861898586458E-2</v>
      </c>
    </row>
    <row r="1305" spans="1:26" x14ac:dyDescent="0.2">
      <c r="A1305" s="45">
        <v>252</v>
      </c>
      <c r="B1305" s="45">
        <v>2003</v>
      </c>
      <c r="C1305" s="17">
        <v>0</v>
      </c>
      <c r="D1305" s="14">
        <v>6.0974399999999998E-2</v>
      </c>
      <c r="E1305" s="14">
        <v>-1.6109600000000002E-2</v>
      </c>
      <c r="F1305" s="14">
        <v>3.6360000000000003E-2</v>
      </c>
      <c r="G1305" s="14">
        <v>0.15584529999999999</v>
      </c>
      <c r="H1305" s="14">
        <v>1.016535</v>
      </c>
      <c r="R1305" s="11">
        <f t="shared" si="42"/>
        <v>4.4819685986621581E-2</v>
      </c>
      <c r="Z1305" s="11">
        <f t="shared" si="41"/>
        <v>5.6877792860872481E-2</v>
      </c>
    </row>
    <row r="1306" spans="1:26" x14ac:dyDescent="0.2">
      <c r="A1306" s="45">
        <v>252</v>
      </c>
      <c r="B1306" s="45">
        <v>2004</v>
      </c>
      <c r="C1306" s="17">
        <v>0</v>
      </c>
      <c r="D1306" s="14">
        <v>6.0887499999999997E-2</v>
      </c>
      <c r="E1306" s="14">
        <v>-5.6935300000000001E-2</v>
      </c>
      <c r="F1306" s="14">
        <v>3.6688600000000002E-2</v>
      </c>
      <c r="G1306" s="14">
        <v>0.21623300000000001</v>
      </c>
      <c r="H1306" s="14">
        <v>0.9303399</v>
      </c>
      <c r="R1306" s="11">
        <f t="shared" si="42"/>
        <v>4.3158711873308331E-2</v>
      </c>
      <c r="Z1306" s="11">
        <f t="shared" si="41"/>
        <v>5.4668330056911914E-2</v>
      </c>
    </row>
    <row r="1307" spans="1:26" x14ac:dyDescent="0.2">
      <c r="A1307" s="45">
        <v>253</v>
      </c>
      <c r="B1307" s="45">
        <v>1999</v>
      </c>
      <c r="C1307" s="17">
        <v>0</v>
      </c>
      <c r="D1307" s="14">
        <v>0.4225256</v>
      </c>
      <c r="E1307" s="14">
        <v>0.79434490000000002</v>
      </c>
      <c r="F1307" s="14">
        <v>4.6594200000000002E-2</v>
      </c>
      <c r="G1307" s="14">
        <v>1.762175</v>
      </c>
      <c r="H1307" s="14">
        <v>0.1909517</v>
      </c>
      <c r="R1307" s="11">
        <f t="shared" si="42"/>
        <v>1.0277326707009188E-3</v>
      </c>
      <c r="Z1307" s="11">
        <f t="shared" si="41"/>
        <v>1.3215661623071741E-3</v>
      </c>
    </row>
    <row r="1308" spans="1:26" x14ac:dyDescent="0.2">
      <c r="A1308" s="45">
        <v>253</v>
      </c>
      <c r="B1308" s="45">
        <v>2000</v>
      </c>
      <c r="C1308" s="17">
        <v>0</v>
      </c>
      <c r="D1308" s="14">
        <v>0.31571110000000002</v>
      </c>
      <c r="E1308" s="14">
        <v>0.86210229999999999</v>
      </c>
      <c r="F1308" s="14">
        <v>4.8239799999999999E-2</v>
      </c>
      <c r="G1308" s="14">
        <v>1.738958</v>
      </c>
      <c r="H1308" s="14">
        <v>0.21790470000000001</v>
      </c>
      <c r="R1308" s="11">
        <f t="shared" si="42"/>
        <v>9.5384281434585474E-4</v>
      </c>
      <c r="Z1308" s="11">
        <f t="shared" si="41"/>
        <v>1.231711532011751E-3</v>
      </c>
    </row>
    <row r="1309" spans="1:26" x14ac:dyDescent="0.2">
      <c r="A1309" s="45">
        <v>253</v>
      </c>
      <c r="B1309" s="45">
        <v>2001</v>
      </c>
      <c r="C1309" s="17">
        <v>0</v>
      </c>
      <c r="D1309" s="14">
        <v>0.16073399999999999</v>
      </c>
      <c r="E1309" s="14">
        <v>0.89617820000000004</v>
      </c>
      <c r="F1309" s="14">
        <v>1.3469699999999999E-2</v>
      </c>
      <c r="G1309" s="14">
        <v>1.1683840000000001</v>
      </c>
      <c r="H1309" s="14">
        <v>0.20227899999999999</v>
      </c>
      <c r="R1309" s="11">
        <f t="shared" si="42"/>
        <v>2.9700177622536419E-3</v>
      </c>
      <c r="Z1309" s="11">
        <f t="shared" si="41"/>
        <v>3.7769970204446328E-3</v>
      </c>
    </row>
    <row r="1310" spans="1:26" x14ac:dyDescent="0.2">
      <c r="A1310" s="45">
        <v>253</v>
      </c>
      <c r="B1310" s="45">
        <v>2002</v>
      </c>
      <c r="C1310" s="17">
        <v>0</v>
      </c>
      <c r="D1310" s="14">
        <v>0.28096349999999998</v>
      </c>
      <c r="E1310" s="14">
        <v>0.95599100000000004</v>
      </c>
      <c r="F1310" s="14">
        <v>3.3983899999999997E-2</v>
      </c>
      <c r="G1310" s="14">
        <v>1.259495</v>
      </c>
      <c r="H1310" s="14">
        <v>0.220968</v>
      </c>
      <c r="R1310" s="11">
        <f t="shared" si="42"/>
        <v>2.0002712202151908E-3</v>
      </c>
      <c r="Z1310" s="11">
        <f t="shared" si="41"/>
        <v>2.5875833981344235E-3</v>
      </c>
    </row>
    <row r="1311" spans="1:26" x14ac:dyDescent="0.2">
      <c r="A1311" s="45">
        <v>253</v>
      </c>
      <c r="B1311" s="45">
        <v>2003</v>
      </c>
      <c r="C1311" s="17">
        <v>0</v>
      </c>
      <c r="D1311" s="14">
        <v>0.2417086</v>
      </c>
      <c r="E1311" s="14">
        <v>0.95891269999999995</v>
      </c>
      <c r="F1311" s="14">
        <v>2.13069E-2</v>
      </c>
      <c r="G1311" s="14">
        <v>1.4671449999999999</v>
      </c>
      <c r="H1311" s="14">
        <v>0.23356440000000001</v>
      </c>
      <c r="R1311" s="11">
        <f t="shared" si="42"/>
        <v>1.5839881927839643E-3</v>
      </c>
      <c r="Z1311" s="11">
        <f t="shared" si="41"/>
        <v>2.0191492555253652E-3</v>
      </c>
    </row>
    <row r="1312" spans="1:26" x14ac:dyDescent="0.2">
      <c r="A1312" s="45">
        <v>253</v>
      </c>
      <c r="B1312" s="45">
        <v>2004</v>
      </c>
      <c r="C1312" s="17">
        <v>0</v>
      </c>
      <c r="D1312" s="14">
        <v>0.3285497</v>
      </c>
      <c r="E1312" s="14">
        <v>0.97631109999999999</v>
      </c>
      <c r="F1312" s="14">
        <v>4.0381100000000003E-2</v>
      </c>
      <c r="G1312" s="14">
        <v>1.6068739999999999</v>
      </c>
      <c r="H1312" s="14">
        <v>0.25880069999999999</v>
      </c>
      <c r="R1312" s="11">
        <f t="shared" si="42"/>
        <v>1.0617560036470695E-3</v>
      </c>
      <c r="Z1312" s="11">
        <f t="shared" si="41"/>
        <v>1.3715408054884031E-3</v>
      </c>
    </row>
    <row r="1313" spans="1:26" x14ac:dyDescent="0.2">
      <c r="A1313" s="45">
        <v>254</v>
      </c>
      <c r="B1313" s="45">
        <v>1999</v>
      </c>
      <c r="C1313" s="17">
        <v>0</v>
      </c>
      <c r="D1313" s="14">
        <v>1.7991699999999999E-2</v>
      </c>
      <c r="E1313" s="14">
        <v>6.7702799999999994E-2</v>
      </c>
      <c r="F1313" s="14">
        <v>3.9471699999999998E-2</v>
      </c>
      <c r="G1313" s="14">
        <v>0.2467019</v>
      </c>
      <c r="H1313" s="14">
        <v>0.2393729</v>
      </c>
      <c r="R1313" s="11">
        <f t="shared" si="42"/>
        <v>3.386907976853186E-2</v>
      </c>
      <c r="Z1313" s="11">
        <f t="shared" si="41"/>
        <v>4.3255481872891632E-2</v>
      </c>
    </row>
    <row r="1314" spans="1:26" x14ac:dyDescent="0.2">
      <c r="A1314" s="45">
        <v>254</v>
      </c>
      <c r="B1314" s="45">
        <v>2000</v>
      </c>
      <c r="C1314" s="17">
        <v>0</v>
      </c>
      <c r="D1314" s="14">
        <v>-1.5662300000000001E-2</v>
      </c>
      <c r="E1314" s="14">
        <v>3.8109299999999999E-2</v>
      </c>
      <c r="F1314" s="14">
        <v>2.1263199999999999E-2</v>
      </c>
      <c r="G1314" s="14">
        <v>0.3706874</v>
      </c>
      <c r="H1314" s="14">
        <v>0.25460480000000002</v>
      </c>
      <c r="R1314" s="11">
        <f t="shared" si="42"/>
        <v>3.3578989913300848E-2</v>
      </c>
      <c r="Z1314" s="11">
        <f t="shared" si="41"/>
        <v>4.2128679232205833E-2</v>
      </c>
    </row>
    <row r="1315" spans="1:26" x14ac:dyDescent="0.2">
      <c r="A1315" s="45">
        <v>254</v>
      </c>
      <c r="B1315" s="45">
        <v>2001</v>
      </c>
      <c r="C1315" s="17">
        <v>0</v>
      </c>
      <c r="D1315" s="14">
        <v>1.8013899999999999E-2</v>
      </c>
      <c r="E1315" s="14">
        <v>4.3776700000000002E-2</v>
      </c>
      <c r="F1315" s="14">
        <v>4.1992500000000002E-2</v>
      </c>
      <c r="G1315" s="14">
        <v>0.52482709999999999</v>
      </c>
      <c r="H1315" s="14">
        <v>0.23933570000000001</v>
      </c>
      <c r="R1315" s="11">
        <f t="shared" si="42"/>
        <v>2.2326738054583951E-2</v>
      </c>
      <c r="Z1315" s="11">
        <f t="shared" si="41"/>
        <v>2.8473779855111382E-2</v>
      </c>
    </row>
    <row r="1316" spans="1:26" x14ac:dyDescent="0.2">
      <c r="A1316" s="45">
        <v>254</v>
      </c>
      <c r="B1316" s="45">
        <v>2002</v>
      </c>
      <c r="C1316" s="17">
        <v>0</v>
      </c>
      <c r="D1316" s="14">
        <v>1.0513399999999999E-2</v>
      </c>
      <c r="E1316" s="14">
        <v>6.4569799999999997E-2</v>
      </c>
      <c r="F1316" s="14">
        <v>4.6954000000000003E-2</v>
      </c>
      <c r="G1316" s="14">
        <v>0.49432379999999998</v>
      </c>
      <c r="H1316" s="14">
        <v>0.26334800000000003</v>
      </c>
      <c r="R1316" s="11">
        <f t="shared" si="42"/>
        <v>2.186626002817358E-2</v>
      </c>
      <c r="Z1316" s="11">
        <f t="shared" si="41"/>
        <v>2.8038318755896911E-2</v>
      </c>
    </row>
    <row r="1317" spans="1:26" x14ac:dyDescent="0.2">
      <c r="A1317" s="45">
        <v>254</v>
      </c>
      <c r="B1317" s="45">
        <v>2003</v>
      </c>
      <c r="C1317" s="17">
        <v>0</v>
      </c>
      <c r="D1317" s="14">
        <v>6.5559199999999998E-2</v>
      </c>
      <c r="E1317" s="14">
        <v>8.7300299999999997E-2</v>
      </c>
      <c r="F1317" s="14">
        <v>3.89001E-2</v>
      </c>
      <c r="G1317" s="14">
        <v>0.54182149999999996</v>
      </c>
      <c r="H1317" s="14">
        <v>0.2277074</v>
      </c>
      <c r="R1317" s="11">
        <f t="shared" si="42"/>
        <v>2.0938176941138767E-2</v>
      </c>
      <c r="Z1317" s="11">
        <f t="shared" si="41"/>
        <v>2.6676539715675868E-2</v>
      </c>
    </row>
    <row r="1318" spans="1:26" x14ac:dyDescent="0.2">
      <c r="A1318" s="45">
        <v>254</v>
      </c>
      <c r="B1318" s="45">
        <v>2004</v>
      </c>
      <c r="C1318" s="17">
        <v>0</v>
      </c>
      <c r="D1318" s="14">
        <v>6.3663999999999998E-2</v>
      </c>
      <c r="E1318" s="14">
        <v>0.1231124</v>
      </c>
      <c r="F1318" s="14">
        <v>3.8111800000000001E-2</v>
      </c>
      <c r="G1318" s="14">
        <v>0.66566159999999996</v>
      </c>
      <c r="H1318" s="14">
        <v>0.18379190000000001</v>
      </c>
      <c r="R1318" s="11">
        <f t="shared" si="42"/>
        <v>1.6493832433761731E-2</v>
      </c>
      <c r="Z1318" s="11">
        <f t="shared" si="41"/>
        <v>2.0996191435986373E-2</v>
      </c>
    </row>
    <row r="1319" spans="1:26" x14ac:dyDescent="0.2">
      <c r="A1319" s="45">
        <v>255</v>
      </c>
      <c r="B1319" s="45">
        <v>2001</v>
      </c>
      <c r="C1319" s="17">
        <v>0</v>
      </c>
      <c r="D1319" s="14">
        <v>0.15391779999999999</v>
      </c>
      <c r="E1319" s="14">
        <v>0.38219619999999999</v>
      </c>
      <c r="F1319" s="14">
        <v>5.6248699999999999E-2</v>
      </c>
      <c r="G1319" s="14">
        <v>0.49303839999999999</v>
      </c>
      <c r="H1319" s="14">
        <v>0.2768854</v>
      </c>
      <c r="R1319" s="11">
        <f t="shared" si="42"/>
        <v>1.2934510784563131E-2</v>
      </c>
      <c r="Z1319" s="11">
        <f t="shared" si="41"/>
        <v>1.6934115834153076E-2</v>
      </c>
    </row>
    <row r="1320" spans="1:26" x14ac:dyDescent="0.2">
      <c r="A1320" s="45">
        <v>255</v>
      </c>
      <c r="B1320" s="45">
        <v>2002</v>
      </c>
      <c r="C1320" s="17">
        <v>0</v>
      </c>
      <c r="D1320" s="14">
        <v>0.15711549999999999</v>
      </c>
      <c r="E1320" s="14">
        <v>0.38417390000000001</v>
      </c>
      <c r="F1320" s="14">
        <v>5.5421600000000001E-2</v>
      </c>
      <c r="G1320" s="14">
        <v>0.51784269999999999</v>
      </c>
      <c r="H1320" s="14">
        <v>0.2836051</v>
      </c>
      <c r="R1320" s="11">
        <f t="shared" si="42"/>
        <v>1.2485478185012248E-2</v>
      </c>
      <c r="Z1320" s="11">
        <f t="shared" si="41"/>
        <v>1.6329947163777832E-2</v>
      </c>
    </row>
    <row r="1321" spans="1:26" x14ac:dyDescent="0.2">
      <c r="A1321" s="45">
        <v>255</v>
      </c>
      <c r="B1321" s="45">
        <v>2003</v>
      </c>
      <c r="C1321" s="17">
        <v>0</v>
      </c>
      <c r="D1321" s="14">
        <v>0.17446880000000001</v>
      </c>
      <c r="E1321" s="14">
        <v>0.36886360000000001</v>
      </c>
      <c r="F1321" s="14">
        <v>5.3207999999999998E-2</v>
      </c>
      <c r="G1321" s="14">
        <v>0.62113799999999997</v>
      </c>
      <c r="H1321" s="14">
        <v>0.30644270000000001</v>
      </c>
      <c r="R1321" s="11">
        <f t="shared" si="42"/>
        <v>1.1038485596379133E-2</v>
      </c>
      <c r="Z1321" s="11">
        <f t="shared" si="41"/>
        <v>1.4378386188538385E-2</v>
      </c>
    </row>
    <row r="1322" spans="1:26" x14ac:dyDescent="0.2">
      <c r="A1322" s="45">
        <v>255</v>
      </c>
      <c r="B1322" s="45">
        <v>2004</v>
      </c>
      <c r="C1322" s="17">
        <v>0</v>
      </c>
      <c r="D1322" s="14">
        <v>0.1193483</v>
      </c>
      <c r="E1322" s="14">
        <v>0.3981248</v>
      </c>
      <c r="F1322" s="14">
        <v>6.8943000000000004E-2</v>
      </c>
      <c r="G1322" s="14">
        <v>0.82161580000000001</v>
      </c>
      <c r="H1322" s="14">
        <v>0.37158190000000002</v>
      </c>
      <c r="R1322" s="11">
        <f t="shared" si="42"/>
        <v>6.8057433074426524E-3</v>
      </c>
      <c r="Z1322" s="11">
        <f t="shared" si="41"/>
        <v>8.9602890783110015E-3</v>
      </c>
    </row>
    <row r="1323" spans="1:26" x14ac:dyDescent="0.2">
      <c r="A1323" s="45">
        <v>256</v>
      </c>
      <c r="B1323" s="45">
        <v>1999</v>
      </c>
      <c r="C1323" s="17">
        <v>0</v>
      </c>
      <c r="D1323" s="14">
        <v>-0.53570680000000004</v>
      </c>
      <c r="E1323" s="14">
        <v>0.15151619999999999</v>
      </c>
      <c r="F1323" s="14">
        <v>3.8289400000000001E-2</v>
      </c>
      <c r="G1323" s="14">
        <v>0.61330589999999996</v>
      </c>
      <c r="H1323" s="14">
        <v>0.10347099999999999</v>
      </c>
      <c r="R1323" s="11">
        <f t="shared" si="42"/>
        <v>1.7167443531761254E-2</v>
      </c>
      <c r="Z1323" s="11">
        <f t="shared" si="41"/>
        <v>2.1898207140681469E-2</v>
      </c>
    </row>
    <row r="1324" spans="1:26" x14ac:dyDescent="0.2">
      <c r="A1324" s="45">
        <v>256</v>
      </c>
      <c r="B1324" s="45">
        <v>2000</v>
      </c>
      <c r="C1324" s="17">
        <v>0</v>
      </c>
      <c r="D1324" s="14">
        <v>-0.51329210000000003</v>
      </c>
      <c r="E1324" s="14">
        <v>0.1521576</v>
      </c>
      <c r="F1324" s="14">
        <v>3.9652100000000003E-2</v>
      </c>
      <c r="G1324" s="14">
        <v>0.42244300000000001</v>
      </c>
      <c r="H1324" s="14">
        <v>0.10710359999999999</v>
      </c>
      <c r="R1324" s="11">
        <f t="shared" si="42"/>
        <v>2.2863180397189434E-2</v>
      </c>
      <c r="Z1324" s="11">
        <f t="shared" si="41"/>
        <v>2.926839216525913E-2</v>
      </c>
    </row>
    <row r="1325" spans="1:26" x14ac:dyDescent="0.2">
      <c r="A1325" s="45">
        <v>256</v>
      </c>
      <c r="B1325" s="45">
        <v>2001</v>
      </c>
      <c r="C1325" s="17">
        <v>0</v>
      </c>
      <c r="D1325" s="14">
        <v>-0.57404330000000003</v>
      </c>
      <c r="E1325" s="14">
        <v>0.1205222</v>
      </c>
      <c r="F1325" s="14">
        <v>2.9222000000000001E-2</v>
      </c>
      <c r="G1325" s="14">
        <v>0.29932300000000001</v>
      </c>
      <c r="H1325" s="14">
        <v>6.24515E-2</v>
      </c>
      <c r="R1325" s="11">
        <f t="shared" si="42"/>
        <v>3.1387160584034075E-2</v>
      </c>
      <c r="Z1325" s="11">
        <f t="shared" si="41"/>
        <v>3.9816934878460664E-2</v>
      </c>
    </row>
    <row r="1326" spans="1:26" x14ac:dyDescent="0.2">
      <c r="A1326" s="45">
        <v>256</v>
      </c>
      <c r="B1326" s="45">
        <v>2002</v>
      </c>
      <c r="C1326" s="17">
        <v>0</v>
      </c>
      <c r="D1326" s="14">
        <v>-0.58294959999999996</v>
      </c>
      <c r="E1326" s="14">
        <v>0.1119175</v>
      </c>
      <c r="F1326" s="14">
        <v>2.3777099999999999E-2</v>
      </c>
      <c r="G1326" s="14">
        <v>0.26489659999999998</v>
      </c>
      <c r="H1326" s="14">
        <v>5.9377399999999997E-2</v>
      </c>
      <c r="R1326" s="11">
        <f t="shared" si="42"/>
        <v>3.4940643981938364E-2</v>
      </c>
      <c r="Z1326" s="11">
        <f t="shared" si="41"/>
        <v>4.4112188138226066E-2</v>
      </c>
    </row>
    <row r="1327" spans="1:26" x14ac:dyDescent="0.2">
      <c r="A1327" s="45">
        <v>256</v>
      </c>
      <c r="B1327" s="45">
        <v>2003</v>
      </c>
      <c r="C1327" s="17">
        <v>0</v>
      </c>
      <c r="D1327" s="14">
        <v>-0.58134350000000001</v>
      </c>
      <c r="E1327" s="14">
        <v>0.1282055</v>
      </c>
      <c r="F1327" s="14">
        <v>2.5555600000000001E-2</v>
      </c>
      <c r="G1327" s="14">
        <v>0.28294219999999998</v>
      </c>
      <c r="H1327" s="14">
        <v>3.81004E-2</v>
      </c>
      <c r="R1327" s="11">
        <f t="shared" si="42"/>
        <v>3.2761037567421471E-2</v>
      </c>
      <c r="Z1327" s="11">
        <f t="shared" si="41"/>
        <v>4.1449259721799567E-2</v>
      </c>
    </row>
    <row r="1328" spans="1:26" x14ac:dyDescent="0.2">
      <c r="A1328" s="45">
        <v>257</v>
      </c>
      <c r="B1328" s="45">
        <v>1998</v>
      </c>
      <c r="C1328" s="17">
        <v>0</v>
      </c>
      <c r="D1328" s="14">
        <v>0.18111959999999999</v>
      </c>
      <c r="E1328" s="14">
        <v>0.2041037</v>
      </c>
      <c r="F1328" s="14">
        <v>6.6626599999999994E-2</v>
      </c>
      <c r="G1328" s="14">
        <v>0.81555960000000005</v>
      </c>
      <c r="H1328" s="14">
        <v>0.12402630000000001</v>
      </c>
      <c r="R1328" s="11">
        <f t="shared" si="42"/>
        <v>9.2588946723153667E-3</v>
      </c>
      <c r="Z1328" s="11">
        <f t="shared" si="41"/>
        <v>1.2079684247743742E-2</v>
      </c>
    </row>
    <row r="1329" spans="1:26" x14ac:dyDescent="0.2">
      <c r="A1329" s="45">
        <v>257</v>
      </c>
      <c r="B1329" s="45">
        <v>1999</v>
      </c>
      <c r="C1329" s="17">
        <v>0</v>
      </c>
      <c r="D1329" s="14">
        <v>0.15798400000000001</v>
      </c>
      <c r="E1329" s="14">
        <v>0.18376310000000001</v>
      </c>
      <c r="F1329" s="14">
        <v>2.8278500000000002E-2</v>
      </c>
      <c r="G1329" s="14">
        <v>0.7378981</v>
      </c>
      <c r="H1329" s="14">
        <v>8.2289600000000004E-2</v>
      </c>
      <c r="R1329" s="11">
        <f t="shared" si="42"/>
        <v>1.4589110934483977E-2</v>
      </c>
      <c r="Z1329" s="11">
        <f t="shared" si="41"/>
        <v>1.8443771707306163E-2</v>
      </c>
    </row>
    <row r="1330" spans="1:26" x14ac:dyDescent="0.2">
      <c r="A1330" s="45">
        <v>257</v>
      </c>
      <c r="B1330" s="45">
        <v>2000</v>
      </c>
      <c r="C1330" s="17">
        <v>0</v>
      </c>
      <c r="D1330" s="14">
        <v>0.22236620000000001</v>
      </c>
      <c r="E1330" s="14">
        <v>0.15300549999999999</v>
      </c>
      <c r="F1330" s="14">
        <v>5.4831900000000003E-2</v>
      </c>
      <c r="G1330" s="14">
        <v>1.4323760000000001</v>
      </c>
      <c r="H1330" s="14">
        <v>0.1119291</v>
      </c>
      <c r="R1330" s="11">
        <f t="shared" si="42"/>
        <v>4.1224392624105649E-3</v>
      </c>
      <c r="Z1330" s="11">
        <f t="shared" si="41"/>
        <v>5.2545612657285317E-3</v>
      </c>
    </row>
    <row r="1331" spans="1:26" x14ac:dyDescent="0.2">
      <c r="A1331" s="45">
        <v>257</v>
      </c>
      <c r="B1331" s="45">
        <v>2001</v>
      </c>
      <c r="C1331" s="17">
        <v>0</v>
      </c>
      <c r="D1331" s="14">
        <v>0.1221875</v>
      </c>
      <c r="E1331" s="14">
        <v>0.23980679999999999</v>
      </c>
      <c r="F1331" s="14">
        <v>5.7211699999999997E-2</v>
      </c>
      <c r="G1331" s="14">
        <v>1.090042</v>
      </c>
      <c r="H1331" s="14">
        <v>0.13144320000000001</v>
      </c>
      <c r="R1331" s="11">
        <f t="shared" si="42"/>
        <v>6.1393090641693859E-3</v>
      </c>
      <c r="Z1331" s="11">
        <f t="shared" si="41"/>
        <v>7.9182811457162005E-3</v>
      </c>
    </row>
    <row r="1332" spans="1:26" x14ac:dyDescent="0.2">
      <c r="A1332" s="45">
        <v>257</v>
      </c>
      <c r="B1332" s="45">
        <v>2002</v>
      </c>
      <c r="C1332" s="17">
        <v>0</v>
      </c>
      <c r="D1332" s="14">
        <v>6.5427399999999997E-2</v>
      </c>
      <c r="E1332" s="14">
        <v>0.31736009999999998</v>
      </c>
      <c r="F1332" s="14">
        <v>4.9327599999999999E-2</v>
      </c>
      <c r="G1332" s="14">
        <v>1.3055099999999999</v>
      </c>
      <c r="H1332" s="14">
        <v>9.0742000000000003E-2</v>
      </c>
      <c r="R1332" s="11">
        <f t="shared" si="42"/>
        <v>4.152216569752583E-3</v>
      </c>
      <c r="Z1332" s="11">
        <f t="shared" si="41"/>
        <v>5.3131248931568321E-3</v>
      </c>
    </row>
    <row r="1333" spans="1:26" x14ac:dyDescent="0.2">
      <c r="A1333" s="45">
        <v>257</v>
      </c>
      <c r="B1333" s="45">
        <v>2003</v>
      </c>
      <c r="C1333" s="17">
        <v>0</v>
      </c>
      <c r="D1333" s="14">
        <v>6.9180699999999998E-2</v>
      </c>
      <c r="E1333" s="14">
        <v>0.3300903</v>
      </c>
      <c r="F1333" s="14">
        <v>4.4051800000000002E-2</v>
      </c>
      <c r="G1333" s="14">
        <v>1.017649</v>
      </c>
      <c r="H1333" s="14">
        <v>8.37894E-2</v>
      </c>
      <c r="R1333" s="11">
        <f t="shared" si="42"/>
        <v>6.7093114669307874E-3</v>
      </c>
      <c r="Z1333" s="11">
        <f t="shared" si="41"/>
        <v>8.5998635029272807E-3</v>
      </c>
    </row>
    <row r="1334" spans="1:26" x14ac:dyDescent="0.2">
      <c r="A1334" s="45">
        <v>257</v>
      </c>
      <c r="B1334" s="45">
        <v>2004</v>
      </c>
      <c r="C1334" s="17">
        <v>0</v>
      </c>
      <c r="D1334" s="14">
        <v>4.3336800000000002E-2</v>
      </c>
      <c r="E1334" s="14">
        <v>0.33622849999999999</v>
      </c>
      <c r="F1334" s="14">
        <v>3.7447399999999999E-2</v>
      </c>
      <c r="G1334" s="14">
        <v>1.4516180000000001</v>
      </c>
      <c r="H1334" s="14">
        <v>9.4226000000000004E-2</v>
      </c>
      <c r="R1334" s="11">
        <f t="shared" si="42"/>
        <v>3.5220156508823648E-3</v>
      </c>
      <c r="Z1334" s="11">
        <f t="shared" si="41"/>
        <v>4.4526278875995943E-3</v>
      </c>
    </row>
    <row r="1335" spans="1:26" x14ac:dyDescent="0.2">
      <c r="A1335" s="45">
        <v>258</v>
      </c>
      <c r="B1335" s="45">
        <v>1998</v>
      </c>
      <c r="C1335" s="17">
        <v>0</v>
      </c>
      <c r="D1335" s="14">
        <v>0.14711930000000001</v>
      </c>
      <c r="E1335" s="14">
        <v>4.94782E-2</v>
      </c>
      <c r="F1335" s="14">
        <v>4.7548800000000002E-2</v>
      </c>
      <c r="G1335" s="14">
        <v>0.78237000000000001</v>
      </c>
      <c r="H1335" s="14">
        <v>0.32302419999999998</v>
      </c>
      <c r="R1335" s="11">
        <f t="shared" si="42"/>
        <v>1.4167376473904831E-2</v>
      </c>
      <c r="Z1335" s="11">
        <f t="shared" si="41"/>
        <v>1.8093199224021701E-2</v>
      </c>
    </row>
    <row r="1336" spans="1:26" x14ac:dyDescent="0.2">
      <c r="A1336" s="45">
        <v>258</v>
      </c>
      <c r="B1336" s="45">
        <v>1999</v>
      </c>
      <c r="C1336" s="17">
        <v>0</v>
      </c>
      <c r="D1336" s="14">
        <v>9.2933199999999994E-2</v>
      </c>
      <c r="E1336" s="14">
        <v>7.5823799999999997E-2</v>
      </c>
      <c r="F1336" s="14">
        <v>4.8268999999999999E-2</v>
      </c>
      <c r="G1336" s="14">
        <v>1.0124789999999999</v>
      </c>
      <c r="H1336" s="14">
        <v>0.39139800000000002</v>
      </c>
      <c r="R1336" s="11">
        <f t="shared" si="42"/>
        <v>9.4400133111046253E-3</v>
      </c>
      <c r="Z1336" s="11">
        <f t="shared" si="41"/>
        <v>1.2029361477587647E-2</v>
      </c>
    </row>
    <row r="1337" spans="1:26" x14ac:dyDescent="0.2">
      <c r="A1337" s="45">
        <v>259</v>
      </c>
      <c r="B1337" s="45">
        <v>1999</v>
      </c>
      <c r="C1337" s="17">
        <v>0</v>
      </c>
      <c r="D1337" s="14">
        <v>0.2633489</v>
      </c>
      <c r="E1337" s="14">
        <v>0.33647080000000001</v>
      </c>
      <c r="F1337" s="14">
        <v>3.6641800000000002E-2</v>
      </c>
      <c r="G1337" s="14">
        <v>2.7888470000000001</v>
      </c>
      <c r="H1337" s="14">
        <v>0.29838910000000002</v>
      </c>
      <c r="R1337" s="11">
        <f t="shared" si="42"/>
        <v>4.2199194520629315E-4</v>
      </c>
      <c r="Z1337" s="11">
        <f t="shared" si="41"/>
        <v>5.1810909037889317E-4</v>
      </c>
    </row>
    <row r="1338" spans="1:26" x14ac:dyDescent="0.2">
      <c r="A1338" s="45">
        <v>259</v>
      </c>
      <c r="B1338" s="45">
        <v>2000</v>
      </c>
      <c r="C1338" s="17">
        <v>0</v>
      </c>
      <c r="D1338" s="14">
        <v>0.19720689999999999</v>
      </c>
      <c r="E1338" s="14">
        <v>0.36582559999999997</v>
      </c>
      <c r="F1338" s="14">
        <v>2.2308100000000001E-2</v>
      </c>
      <c r="G1338" s="14">
        <v>2.6404139999999998</v>
      </c>
      <c r="H1338" s="14">
        <v>0.33563569999999998</v>
      </c>
      <c r="R1338" s="11">
        <f t="shared" si="42"/>
        <v>5.7441339191535235E-4</v>
      </c>
      <c r="Z1338" s="11">
        <f t="shared" si="41"/>
        <v>6.9997526179753312E-4</v>
      </c>
    </row>
    <row r="1339" spans="1:26" x14ac:dyDescent="0.2">
      <c r="A1339" s="45">
        <v>259</v>
      </c>
      <c r="B1339" s="45">
        <v>2002</v>
      </c>
      <c r="C1339" s="17">
        <v>0</v>
      </c>
      <c r="D1339" s="14">
        <v>0.21149490000000001</v>
      </c>
      <c r="E1339" s="14">
        <v>0.26394250000000002</v>
      </c>
      <c r="F1339" s="14">
        <v>3.8683299999999997E-2</v>
      </c>
      <c r="G1339" s="14">
        <v>0.9054198</v>
      </c>
      <c r="H1339" s="14">
        <v>0.28958020000000001</v>
      </c>
      <c r="R1339" s="11">
        <f t="shared" si="42"/>
        <v>9.1977506804208457E-3</v>
      </c>
      <c r="Z1339" s="11">
        <f t="shared" si="41"/>
        <v>1.173242292796026E-2</v>
      </c>
    </row>
    <row r="1340" spans="1:26" x14ac:dyDescent="0.2">
      <c r="A1340" s="45">
        <v>259</v>
      </c>
      <c r="B1340" s="45">
        <v>2003</v>
      </c>
      <c r="C1340" s="17">
        <v>0</v>
      </c>
      <c r="D1340" s="14">
        <v>0.12086760000000001</v>
      </c>
      <c r="E1340" s="14">
        <v>0.14160239999999999</v>
      </c>
      <c r="F1340" s="14">
        <v>6.2876600000000005E-2</v>
      </c>
      <c r="G1340" s="14">
        <v>0.89989719999999995</v>
      </c>
      <c r="H1340" s="14">
        <v>0.3675948</v>
      </c>
      <c r="R1340" s="11">
        <f t="shared" si="42"/>
        <v>9.1356451585932474E-3</v>
      </c>
      <c r="Z1340" s="11">
        <f t="shared" si="41"/>
        <v>1.1836319170078243E-2</v>
      </c>
    </row>
    <row r="1341" spans="1:26" x14ac:dyDescent="0.2">
      <c r="A1341" s="45">
        <v>259</v>
      </c>
      <c r="B1341" s="45">
        <v>2004</v>
      </c>
      <c r="C1341" s="17">
        <v>0</v>
      </c>
      <c r="D1341" s="14">
        <v>0.20621249999999999</v>
      </c>
      <c r="E1341" s="14">
        <v>0.22814480000000001</v>
      </c>
      <c r="F1341" s="14">
        <v>5.4558500000000003E-2</v>
      </c>
      <c r="G1341" s="14">
        <v>1.4856469999999999</v>
      </c>
      <c r="H1341" s="14">
        <v>0.3628769</v>
      </c>
      <c r="R1341" s="11">
        <f t="shared" si="42"/>
        <v>3.4048667916754863E-3</v>
      </c>
      <c r="Z1341" s="11">
        <f t="shared" si="41"/>
        <v>4.3458803923917457E-3</v>
      </c>
    </row>
    <row r="1342" spans="1:26" x14ac:dyDescent="0.2">
      <c r="A1342" s="45">
        <v>260</v>
      </c>
      <c r="B1342" s="45">
        <v>1995</v>
      </c>
      <c r="C1342" s="17">
        <v>0</v>
      </c>
      <c r="D1342" s="14">
        <v>0.21186379999999999</v>
      </c>
      <c r="E1342" s="14">
        <v>0.3445512</v>
      </c>
      <c r="F1342" s="14">
        <v>4.3430799999999999E-2</v>
      </c>
      <c r="G1342" s="14">
        <v>1.3387899999999999</v>
      </c>
      <c r="H1342" s="14">
        <v>0.39243359999999999</v>
      </c>
      <c r="R1342" s="11">
        <f t="shared" si="42"/>
        <v>3.9686430868637757E-3</v>
      </c>
      <c r="Z1342" s="11">
        <f t="shared" si="41"/>
        <v>5.0551253905944437E-3</v>
      </c>
    </row>
    <row r="1343" spans="1:26" x14ac:dyDescent="0.2">
      <c r="A1343" s="45">
        <v>260</v>
      </c>
      <c r="B1343" s="45">
        <v>1996</v>
      </c>
      <c r="C1343" s="17">
        <v>0</v>
      </c>
      <c r="D1343" s="14">
        <v>0.18634129999999999</v>
      </c>
      <c r="E1343" s="14">
        <v>0.35398750000000001</v>
      </c>
      <c r="F1343" s="14">
        <v>5.32597E-2</v>
      </c>
      <c r="G1343" s="14">
        <v>1.5107429999999999</v>
      </c>
      <c r="H1343" s="14">
        <v>0.42865310000000001</v>
      </c>
      <c r="R1343" s="11">
        <f t="shared" si="42"/>
        <v>2.7546118267440401E-3</v>
      </c>
      <c r="Z1343" s="11">
        <f t="shared" si="41"/>
        <v>3.526007020356125E-3</v>
      </c>
    </row>
    <row r="1344" spans="1:26" x14ac:dyDescent="0.2">
      <c r="A1344" s="45">
        <v>260</v>
      </c>
      <c r="B1344" s="45">
        <v>1997</v>
      </c>
      <c r="C1344" s="17">
        <v>0</v>
      </c>
      <c r="D1344" s="14">
        <v>0.20705589999999999</v>
      </c>
      <c r="E1344" s="14">
        <v>0.33504529999999999</v>
      </c>
      <c r="F1344" s="14">
        <v>5.10819E-2</v>
      </c>
      <c r="G1344" s="14">
        <v>1.4025129999999999</v>
      </c>
      <c r="H1344" s="14">
        <v>0.39820169999999999</v>
      </c>
      <c r="R1344" s="11">
        <f t="shared" si="42"/>
        <v>3.4213838389744711E-3</v>
      </c>
      <c r="Z1344" s="11">
        <f t="shared" si="41"/>
        <v>4.3784579832129369E-3</v>
      </c>
    </row>
    <row r="1345" spans="1:26" x14ac:dyDescent="0.2">
      <c r="A1345" s="45">
        <v>260</v>
      </c>
      <c r="B1345" s="45">
        <v>1998</v>
      </c>
      <c r="C1345" s="17">
        <v>0</v>
      </c>
      <c r="D1345" s="14">
        <v>0.21729219999999999</v>
      </c>
      <c r="E1345" s="14">
        <v>0.3137991</v>
      </c>
      <c r="F1345" s="14">
        <v>3.49357E-2</v>
      </c>
      <c r="G1345" s="14">
        <v>0.61643669999999995</v>
      </c>
      <c r="H1345" s="14">
        <v>0.37363760000000001</v>
      </c>
      <c r="R1345" s="11">
        <f t="shared" si="42"/>
        <v>1.3904379566190238E-2</v>
      </c>
      <c r="Z1345" s="11">
        <f t="shared" si="41"/>
        <v>1.7800114277304761E-2</v>
      </c>
    </row>
    <row r="1346" spans="1:26" x14ac:dyDescent="0.2">
      <c r="A1346" s="45">
        <v>261</v>
      </c>
      <c r="B1346" s="45">
        <v>1995</v>
      </c>
      <c r="C1346" s="17">
        <v>0</v>
      </c>
      <c r="D1346" s="14">
        <v>0.29657630000000001</v>
      </c>
      <c r="E1346" s="14">
        <v>0.38053769999999998</v>
      </c>
      <c r="F1346" s="14">
        <v>6.4232399999999995E-2</v>
      </c>
      <c r="G1346" s="14">
        <v>1.2856559999999999</v>
      </c>
      <c r="H1346" s="14">
        <v>0.35296810000000001</v>
      </c>
      <c r="R1346" s="11">
        <f t="shared" si="42"/>
        <v>3.4725108298158643E-3</v>
      </c>
      <c r="Z1346" s="11">
        <f t="shared" ref="Z1346:Z1409" si="43">1/(1+EXP(-(U$2+$V$2*E1346+$W$2*F1346+$X$2*G1346)))</f>
        <v>4.5102852862021203E-3</v>
      </c>
    </row>
    <row r="1347" spans="1:26" x14ac:dyDescent="0.2">
      <c r="A1347" s="45">
        <v>261</v>
      </c>
      <c r="B1347" s="45">
        <v>1996</v>
      </c>
      <c r="C1347" s="17">
        <v>0</v>
      </c>
      <c r="D1347" s="14">
        <v>0.27017530000000001</v>
      </c>
      <c r="E1347" s="14">
        <v>0.36385010000000001</v>
      </c>
      <c r="F1347" s="14">
        <v>5.3877899999999999E-2</v>
      </c>
      <c r="G1347" s="14">
        <v>1.320174</v>
      </c>
      <c r="H1347" s="14">
        <v>0.35910409999999998</v>
      </c>
      <c r="R1347" s="11">
        <f t="shared" si="42"/>
        <v>3.6574821474576352E-3</v>
      </c>
      <c r="Z1347" s="11">
        <f t="shared" si="43"/>
        <v>4.7040729781848848E-3</v>
      </c>
    </row>
    <row r="1348" spans="1:26" x14ac:dyDescent="0.2">
      <c r="A1348" s="45">
        <v>261</v>
      </c>
      <c r="B1348" s="45">
        <v>1997</v>
      </c>
      <c r="C1348" s="17">
        <v>0</v>
      </c>
      <c r="D1348" s="14">
        <v>0.24028840000000001</v>
      </c>
      <c r="E1348" s="14">
        <v>0.38359310000000002</v>
      </c>
      <c r="F1348" s="14">
        <v>7.4139399999999994E-2</v>
      </c>
      <c r="G1348" s="14">
        <v>1.645222</v>
      </c>
      <c r="H1348" s="14">
        <v>0.31291170000000001</v>
      </c>
      <c r="R1348" s="11">
        <f t="shared" si="42"/>
        <v>1.8037349948855398E-3</v>
      </c>
      <c r="Z1348" s="11">
        <f t="shared" si="43"/>
        <v>2.3446807088599612E-3</v>
      </c>
    </row>
    <row r="1349" spans="1:26" x14ac:dyDescent="0.2">
      <c r="A1349" s="45">
        <v>261</v>
      </c>
      <c r="B1349" s="45">
        <v>1998</v>
      </c>
      <c r="C1349" s="17">
        <v>0</v>
      </c>
      <c r="D1349" s="14">
        <v>0.26262869999999999</v>
      </c>
      <c r="E1349" s="14">
        <v>0.35642970000000002</v>
      </c>
      <c r="F1349" s="14">
        <v>3.07687E-2</v>
      </c>
      <c r="G1349" s="14">
        <v>1.6677649999999999</v>
      </c>
      <c r="H1349" s="14">
        <v>0.28971390000000002</v>
      </c>
      <c r="R1349" s="11">
        <f t="shared" si="42"/>
        <v>2.5589555837525488E-3</v>
      </c>
      <c r="Z1349" s="11">
        <f t="shared" si="43"/>
        <v>3.2052958441379157E-3</v>
      </c>
    </row>
    <row r="1350" spans="1:26" x14ac:dyDescent="0.2">
      <c r="A1350" s="45">
        <v>261</v>
      </c>
      <c r="B1350" s="45">
        <v>1999</v>
      </c>
      <c r="C1350" s="17">
        <v>0</v>
      </c>
      <c r="D1350" s="14">
        <v>0.1068094</v>
      </c>
      <c r="E1350" s="14">
        <v>0.44842860000000001</v>
      </c>
      <c r="F1350" s="14">
        <v>2.7430300000000001E-2</v>
      </c>
      <c r="G1350" s="14">
        <v>2.2911060000000001</v>
      </c>
      <c r="H1350" s="14">
        <v>0.18987309999999999</v>
      </c>
      <c r="R1350" s="11">
        <f t="shared" si="42"/>
        <v>8.5290366010177014E-4</v>
      </c>
      <c r="Z1350" s="11">
        <f t="shared" si="43"/>
        <v>1.0546752139966151E-3</v>
      </c>
    </row>
    <row r="1351" spans="1:26" x14ac:dyDescent="0.2">
      <c r="A1351" s="45">
        <v>261</v>
      </c>
      <c r="B1351" s="45">
        <v>2000</v>
      </c>
      <c r="C1351" s="17">
        <v>0</v>
      </c>
      <c r="D1351" s="14">
        <v>0.4928053</v>
      </c>
      <c r="E1351" s="14">
        <v>0.51420049999999995</v>
      </c>
      <c r="F1351" s="14">
        <v>5.29361E-2</v>
      </c>
      <c r="G1351" s="14">
        <v>2.4125920000000001</v>
      </c>
      <c r="H1351" s="14">
        <v>0.25522220000000001</v>
      </c>
      <c r="R1351" s="11">
        <f t="shared" si="42"/>
        <v>5.2098603965598648E-4</v>
      </c>
      <c r="Z1351" s="11">
        <f t="shared" si="43"/>
        <v>6.5761276349560421E-4</v>
      </c>
    </row>
    <row r="1352" spans="1:26" x14ac:dyDescent="0.2">
      <c r="A1352" s="45">
        <v>261</v>
      </c>
      <c r="B1352" s="45">
        <v>2001</v>
      </c>
      <c r="C1352" s="17">
        <v>0</v>
      </c>
      <c r="D1352" s="14">
        <v>0.41296070000000001</v>
      </c>
      <c r="E1352" s="14">
        <v>0.46561940000000002</v>
      </c>
      <c r="F1352" s="14">
        <v>3.5930700000000003E-2</v>
      </c>
      <c r="G1352" s="14">
        <v>2.1510289999999999</v>
      </c>
      <c r="H1352" s="14">
        <v>0.29989159999999998</v>
      </c>
      <c r="R1352" s="11">
        <f t="shared" si="42"/>
        <v>9.7142385103392292E-4</v>
      </c>
      <c r="Z1352" s="11">
        <f t="shared" si="43"/>
        <v>1.2140354823280449E-3</v>
      </c>
    </row>
    <row r="1353" spans="1:26" x14ac:dyDescent="0.2">
      <c r="A1353" s="45">
        <v>261</v>
      </c>
      <c r="B1353" s="45">
        <v>2002</v>
      </c>
      <c r="C1353" s="17">
        <v>0</v>
      </c>
      <c r="D1353" s="14">
        <v>0.43309819999999999</v>
      </c>
      <c r="E1353" s="14">
        <v>0.48939280000000002</v>
      </c>
      <c r="F1353" s="14">
        <v>5.6642100000000001E-2</v>
      </c>
      <c r="G1353" s="14">
        <v>3.4182079999999999</v>
      </c>
      <c r="H1353" s="14">
        <v>0.30681609999999998</v>
      </c>
      <c r="R1353" s="11">
        <f t="shared" si="42"/>
        <v>1.0563833046873676E-4</v>
      </c>
      <c r="Z1353" s="11">
        <f t="shared" si="43"/>
        <v>1.3072140905914396E-4</v>
      </c>
    </row>
    <row r="1354" spans="1:26" x14ac:dyDescent="0.2">
      <c r="A1354" s="45">
        <v>261</v>
      </c>
      <c r="B1354" s="45">
        <v>2003</v>
      </c>
      <c r="C1354" s="17">
        <v>0</v>
      </c>
      <c r="D1354" s="14">
        <v>0.44181540000000002</v>
      </c>
      <c r="E1354" s="14">
        <v>0.45116270000000003</v>
      </c>
      <c r="F1354" s="14">
        <v>2.9457199999999999E-2</v>
      </c>
      <c r="G1354" s="14">
        <v>2.259998</v>
      </c>
      <c r="H1354" s="14">
        <v>0.3128783</v>
      </c>
      <c r="R1354" s="11">
        <f t="shared" si="42"/>
        <v>8.7831558200846785E-4</v>
      </c>
      <c r="Z1354" s="11">
        <f t="shared" si="43"/>
        <v>1.0887429343025645E-3</v>
      </c>
    </row>
    <row r="1355" spans="1:26" x14ac:dyDescent="0.2">
      <c r="A1355" s="45">
        <v>261</v>
      </c>
      <c r="B1355" s="45">
        <v>2004</v>
      </c>
      <c r="C1355" s="17">
        <v>0</v>
      </c>
      <c r="D1355" s="14">
        <v>0.48222120000000002</v>
      </c>
      <c r="E1355" s="14">
        <v>0.46473910000000002</v>
      </c>
      <c r="F1355" s="14">
        <v>6.4355700000000002E-2</v>
      </c>
      <c r="G1355" s="14">
        <v>3.595507</v>
      </c>
      <c r="H1355" s="14">
        <v>0.35752889999999998</v>
      </c>
      <c r="R1355" s="11">
        <f t="shared" si="42"/>
        <v>7.7606571013527506E-5</v>
      </c>
      <c r="Z1355" s="11">
        <f t="shared" si="43"/>
        <v>9.6185552731101057E-5</v>
      </c>
    </row>
    <row r="1356" spans="1:26" x14ac:dyDescent="0.2">
      <c r="A1356" s="45">
        <v>262</v>
      </c>
      <c r="B1356" s="45">
        <v>1995</v>
      </c>
      <c r="C1356" s="17">
        <v>0</v>
      </c>
      <c r="D1356" s="14">
        <v>0.13329750000000001</v>
      </c>
      <c r="E1356" s="14">
        <v>0.5707856</v>
      </c>
      <c r="F1356" s="14">
        <v>6.1645999999999999E-2</v>
      </c>
      <c r="G1356" s="14">
        <v>2.1575929999999999</v>
      </c>
      <c r="H1356" s="14">
        <v>0.3171254</v>
      </c>
      <c r="R1356" s="11">
        <f t="shared" si="42"/>
        <v>6.7181992767549375E-4</v>
      </c>
      <c r="Z1356" s="11">
        <f t="shared" si="43"/>
        <v>8.6051035762161503E-4</v>
      </c>
    </row>
    <row r="1357" spans="1:26" x14ac:dyDescent="0.2">
      <c r="A1357" s="45">
        <v>262</v>
      </c>
      <c r="B1357" s="45">
        <v>1996</v>
      </c>
      <c r="C1357" s="17">
        <v>0</v>
      </c>
      <c r="D1357" s="14">
        <v>0.1889266</v>
      </c>
      <c r="E1357" s="14">
        <v>0.6100951</v>
      </c>
      <c r="F1357" s="14">
        <v>6.6556299999999999E-2</v>
      </c>
      <c r="G1357" s="14">
        <v>2.667227</v>
      </c>
      <c r="H1357" s="14">
        <v>0.3382713</v>
      </c>
      <c r="R1357" s="11">
        <f t="shared" si="42"/>
        <v>2.709155193482133E-4</v>
      </c>
      <c r="Z1357" s="11">
        <f t="shared" si="43"/>
        <v>3.4502145113261584E-4</v>
      </c>
    </row>
    <row r="1358" spans="1:26" x14ac:dyDescent="0.2">
      <c r="A1358" s="45">
        <v>262</v>
      </c>
      <c r="B1358" s="45">
        <v>1997</v>
      </c>
      <c r="C1358" s="17">
        <v>0</v>
      </c>
      <c r="D1358" s="14">
        <v>0.26435999999999998</v>
      </c>
      <c r="E1358" s="14">
        <v>0.70093360000000005</v>
      </c>
      <c r="F1358" s="14">
        <v>5.8042499999999997E-2</v>
      </c>
      <c r="G1358" s="14">
        <v>2.9328560000000001</v>
      </c>
      <c r="H1358" s="14">
        <v>0.305282</v>
      </c>
      <c r="R1358" s="11">
        <f t="shared" si="42"/>
        <v>1.6643886031844987E-4</v>
      </c>
      <c r="Z1358" s="11">
        <f t="shared" si="43"/>
        <v>2.0992358519160485E-4</v>
      </c>
    </row>
    <row r="1359" spans="1:26" x14ac:dyDescent="0.2">
      <c r="A1359" s="45">
        <v>262</v>
      </c>
      <c r="B1359" s="45">
        <v>1998</v>
      </c>
      <c r="C1359" s="17">
        <v>0</v>
      </c>
      <c r="D1359" s="14">
        <v>8.8379200000000005E-2</v>
      </c>
      <c r="E1359" s="14">
        <v>0.66953790000000002</v>
      </c>
      <c r="F1359" s="14">
        <v>6.8145399999999995E-2</v>
      </c>
      <c r="G1359" s="14">
        <v>1.473419</v>
      </c>
      <c r="H1359" s="14">
        <v>0.3124847</v>
      </c>
      <c r="R1359" s="11">
        <f t="shared" si="42"/>
        <v>1.6421106563724002E-3</v>
      </c>
      <c r="Z1359" s="11">
        <f t="shared" si="43"/>
        <v>2.1532391083934925E-3</v>
      </c>
    </row>
    <row r="1360" spans="1:26" x14ac:dyDescent="0.2">
      <c r="A1360" s="45">
        <v>262</v>
      </c>
      <c r="B1360" s="45">
        <v>1999</v>
      </c>
      <c r="C1360" s="17">
        <v>0</v>
      </c>
      <c r="D1360" s="14">
        <v>0.1228665</v>
      </c>
      <c r="E1360" s="14">
        <v>0.68788990000000005</v>
      </c>
      <c r="F1360" s="14">
        <v>5.7714500000000002E-2</v>
      </c>
      <c r="G1360" s="14">
        <v>1.2912969999999999</v>
      </c>
      <c r="H1360" s="14">
        <v>0.2934869</v>
      </c>
      <c r="R1360" s="11">
        <f t="shared" si="42"/>
        <v>2.3216619022968345E-3</v>
      </c>
      <c r="Z1360" s="11">
        <f t="shared" si="43"/>
        <v>3.0318214621868778E-3</v>
      </c>
    </row>
    <row r="1361" spans="1:26" x14ac:dyDescent="0.2">
      <c r="A1361" s="45">
        <v>262</v>
      </c>
      <c r="B1361" s="45">
        <v>2000</v>
      </c>
      <c r="C1361" s="17">
        <v>0</v>
      </c>
      <c r="D1361" s="14">
        <v>0.1198249</v>
      </c>
      <c r="E1361" s="14">
        <v>0.54047020000000001</v>
      </c>
      <c r="F1361" s="14">
        <v>5.0946499999999999E-2</v>
      </c>
      <c r="G1361" s="14">
        <v>0.67865299999999995</v>
      </c>
      <c r="H1361" s="14">
        <v>0.27494839999999998</v>
      </c>
      <c r="R1361" s="11">
        <f t="shared" si="42"/>
        <v>8.0153212336971664E-3</v>
      </c>
      <c r="Z1361" s="11">
        <f t="shared" si="43"/>
        <v>1.0478770057021136E-2</v>
      </c>
    </row>
    <row r="1362" spans="1:26" x14ac:dyDescent="0.2">
      <c r="A1362" s="45">
        <v>262</v>
      </c>
      <c r="B1362" s="45">
        <v>2002</v>
      </c>
      <c r="C1362" s="17">
        <v>0</v>
      </c>
      <c r="D1362" s="14">
        <v>0.14021249999999999</v>
      </c>
      <c r="E1362" s="14">
        <v>0.5622085</v>
      </c>
      <c r="F1362" s="14">
        <v>4.63398E-2</v>
      </c>
      <c r="G1362" s="14">
        <v>0.97973449999999995</v>
      </c>
      <c r="H1362" s="14">
        <v>0.30014380000000002</v>
      </c>
      <c r="R1362" s="11">
        <f t="shared" si="42"/>
        <v>5.0019486972265586E-3</v>
      </c>
      <c r="Z1362" s="11">
        <f t="shared" si="43"/>
        <v>6.4828472506022698E-3</v>
      </c>
    </row>
    <row r="1363" spans="1:26" x14ac:dyDescent="0.2">
      <c r="A1363" s="45">
        <v>262</v>
      </c>
      <c r="B1363" s="45">
        <v>2003</v>
      </c>
      <c r="C1363" s="17">
        <v>0</v>
      </c>
      <c r="D1363" s="14">
        <v>0.14543449999999999</v>
      </c>
      <c r="E1363" s="14">
        <v>0.57613080000000005</v>
      </c>
      <c r="F1363" s="14">
        <v>5.3199999999999997E-2</v>
      </c>
      <c r="G1363" s="14">
        <v>1.3443799999999999</v>
      </c>
      <c r="H1363" s="14">
        <v>0.28891650000000002</v>
      </c>
      <c r="R1363" s="11">
        <f t="shared" si="42"/>
        <v>2.6013276322718773E-3</v>
      </c>
      <c r="Z1363" s="11">
        <f t="shared" si="43"/>
        <v>3.3674162811769743E-3</v>
      </c>
    </row>
    <row r="1364" spans="1:26" x14ac:dyDescent="0.2">
      <c r="A1364" s="45">
        <v>262</v>
      </c>
      <c r="B1364" s="45">
        <v>2004</v>
      </c>
      <c r="C1364" s="17">
        <v>0</v>
      </c>
      <c r="D1364" s="14">
        <v>0.1795139</v>
      </c>
      <c r="E1364" s="14">
        <v>0.57000360000000005</v>
      </c>
      <c r="F1364" s="14">
        <v>4.1390499999999997E-2</v>
      </c>
      <c r="G1364" s="14">
        <v>1.601369</v>
      </c>
      <c r="H1364" s="14">
        <v>0.331903</v>
      </c>
      <c r="R1364" s="11">
        <f t="shared" si="42"/>
        <v>1.9165870373078649E-3</v>
      </c>
      <c r="Z1364" s="11">
        <f t="shared" si="43"/>
        <v>2.4433275270344256E-3</v>
      </c>
    </row>
    <row r="1365" spans="1:26" x14ac:dyDescent="0.2">
      <c r="A1365" s="45">
        <v>263</v>
      </c>
      <c r="B1365" s="45">
        <v>1995</v>
      </c>
      <c r="C1365" s="17">
        <v>0</v>
      </c>
      <c r="D1365" s="14">
        <v>0.53117389999999998</v>
      </c>
      <c r="E1365" s="14">
        <v>3.6112000000000002E-3</v>
      </c>
      <c r="F1365" s="14">
        <v>2.8132999999999998E-2</v>
      </c>
      <c r="G1365" s="14">
        <v>0.63406379999999996</v>
      </c>
      <c r="H1365" s="14">
        <v>0.42435709999999999</v>
      </c>
      <c r="R1365" s="11">
        <f t="shared" si="42"/>
        <v>2.2221886361132853E-2</v>
      </c>
      <c r="Z1365" s="11">
        <f t="shared" si="43"/>
        <v>2.792686231797236E-2</v>
      </c>
    </row>
    <row r="1366" spans="1:26" x14ac:dyDescent="0.2">
      <c r="A1366" s="45">
        <v>263</v>
      </c>
      <c r="B1366" s="45">
        <v>1996</v>
      </c>
      <c r="C1366" s="17">
        <v>0</v>
      </c>
      <c r="D1366" s="14">
        <v>0.49503930000000002</v>
      </c>
      <c r="E1366" s="14">
        <v>4.8260200000000003E-2</v>
      </c>
      <c r="F1366" s="14">
        <v>4.3217699999999998E-2</v>
      </c>
      <c r="G1366" s="14">
        <v>0.68418730000000005</v>
      </c>
      <c r="H1366" s="14">
        <v>0.41806320000000002</v>
      </c>
      <c r="R1366" s="11">
        <f t="shared" si="42"/>
        <v>1.7129662591391613E-2</v>
      </c>
      <c r="Z1366" s="11">
        <f t="shared" si="43"/>
        <v>2.1827594007734773E-2</v>
      </c>
    </row>
    <row r="1367" spans="1:26" x14ac:dyDescent="0.2">
      <c r="A1367" s="45">
        <v>263</v>
      </c>
      <c r="B1367" s="45">
        <v>1997</v>
      </c>
      <c r="C1367" s="17">
        <v>0</v>
      </c>
      <c r="D1367" s="14">
        <v>0.52680499999999997</v>
      </c>
      <c r="E1367" s="14">
        <v>9.5292299999999996E-2</v>
      </c>
      <c r="F1367" s="14">
        <v>5.7141400000000002E-2</v>
      </c>
      <c r="G1367" s="14">
        <v>1.033531</v>
      </c>
      <c r="H1367" s="14">
        <v>0.4253112</v>
      </c>
      <c r="R1367" s="11">
        <f t="shared" ref="R1367:R1430" si="44">1/(1+EXP(-(K$2+$M$2*E1367+$N$2*F1367+$O$2*G1367)))</f>
        <v>8.2755506105934972E-3</v>
      </c>
      <c r="Z1367" s="11">
        <f t="shared" si="43"/>
        <v>1.0627216130664465E-2</v>
      </c>
    </row>
    <row r="1368" spans="1:26" x14ac:dyDescent="0.2">
      <c r="A1368" s="45">
        <v>263</v>
      </c>
      <c r="B1368" s="45">
        <v>1998</v>
      </c>
      <c r="C1368" s="17">
        <v>0</v>
      </c>
      <c r="D1368" s="14">
        <v>0.55700590000000005</v>
      </c>
      <c r="E1368" s="14">
        <v>0.13427939999999999</v>
      </c>
      <c r="F1368" s="14">
        <v>5.7462199999999998E-2</v>
      </c>
      <c r="G1368" s="14">
        <v>0.78576509999999999</v>
      </c>
      <c r="H1368" s="14">
        <v>0.40635779999999999</v>
      </c>
      <c r="R1368" s="11">
        <f t="shared" si="44"/>
        <v>1.1537413608525707E-2</v>
      </c>
      <c r="Z1368" s="11">
        <f t="shared" si="43"/>
        <v>1.4905411353956545E-2</v>
      </c>
    </row>
    <row r="1369" spans="1:26" x14ac:dyDescent="0.2">
      <c r="A1369" s="45">
        <v>263</v>
      </c>
      <c r="B1369" s="45">
        <v>1999</v>
      </c>
      <c r="C1369" s="17">
        <v>0</v>
      </c>
      <c r="D1369" s="14">
        <v>0.5213776</v>
      </c>
      <c r="E1369" s="14">
        <v>0.14885670000000001</v>
      </c>
      <c r="F1369" s="14">
        <v>4.7785800000000003E-2</v>
      </c>
      <c r="G1369" s="14">
        <v>0.459287</v>
      </c>
      <c r="H1369" s="14">
        <v>0.45156259999999998</v>
      </c>
      <c r="R1369" s="11">
        <f t="shared" si="44"/>
        <v>2.0350773239464916E-2</v>
      </c>
      <c r="Z1369" s="11">
        <f t="shared" si="43"/>
        <v>2.6217115019222446E-2</v>
      </c>
    </row>
    <row r="1370" spans="1:26" x14ac:dyDescent="0.2">
      <c r="A1370" s="45">
        <v>263</v>
      </c>
      <c r="B1370" s="45">
        <v>2000</v>
      </c>
      <c r="C1370" s="17">
        <v>0</v>
      </c>
      <c r="D1370" s="14">
        <v>0.48752200000000001</v>
      </c>
      <c r="E1370" s="14">
        <v>0.1635067</v>
      </c>
      <c r="F1370" s="14">
        <v>4.14483E-2</v>
      </c>
      <c r="G1370" s="14">
        <v>0.32149450000000002</v>
      </c>
      <c r="H1370" s="14">
        <v>0.42891859999999998</v>
      </c>
      <c r="R1370" s="11">
        <f t="shared" si="44"/>
        <v>2.5954887095004625E-2</v>
      </c>
      <c r="Z1370" s="11">
        <f t="shared" si="43"/>
        <v>3.3328163699692645E-2</v>
      </c>
    </row>
    <row r="1371" spans="1:26" x14ac:dyDescent="0.2">
      <c r="A1371" s="45">
        <v>263</v>
      </c>
      <c r="B1371" s="45">
        <v>2001</v>
      </c>
      <c r="C1371" s="17">
        <v>0</v>
      </c>
      <c r="D1371" s="14">
        <v>0.46047709999999997</v>
      </c>
      <c r="E1371" s="14">
        <v>0.13379659999999999</v>
      </c>
      <c r="F1371" s="14">
        <v>4.9335799999999999E-2</v>
      </c>
      <c r="G1371" s="14">
        <v>0.24207129999999999</v>
      </c>
      <c r="H1371" s="14">
        <v>0.36739280000000002</v>
      </c>
      <c r="R1371" s="11">
        <f t="shared" si="44"/>
        <v>2.8792566398193175E-2</v>
      </c>
      <c r="Z1371" s="11">
        <f t="shared" si="43"/>
        <v>3.7198265079993256E-2</v>
      </c>
    </row>
    <row r="1372" spans="1:26" x14ac:dyDescent="0.2">
      <c r="A1372" s="45">
        <v>264</v>
      </c>
      <c r="B1372" s="45">
        <v>1995</v>
      </c>
      <c r="C1372" s="17">
        <v>0</v>
      </c>
      <c r="D1372" s="14">
        <v>5.8148499999999999E-2</v>
      </c>
      <c r="E1372" s="14">
        <v>-0.15330550000000001</v>
      </c>
      <c r="F1372" s="14">
        <v>4.4525000000000002E-2</v>
      </c>
      <c r="G1372" s="14">
        <v>0.32252429999999999</v>
      </c>
      <c r="H1372" s="14">
        <v>0.29625390000000001</v>
      </c>
      <c r="R1372" s="11">
        <f t="shared" si="44"/>
        <v>3.9517277637071524E-2</v>
      </c>
      <c r="Z1372" s="11">
        <f t="shared" si="43"/>
        <v>5.0143765959108202E-2</v>
      </c>
    </row>
    <row r="1373" spans="1:26" x14ac:dyDescent="0.2">
      <c r="A1373" s="45">
        <v>264</v>
      </c>
      <c r="B1373" s="45">
        <v>1996</v>
      </c>
      <c r="C1373" s="17">
        <v>1</v>
      </c>
      <c r="D1373" s="14">
        <v>2.3043999999999999E-2</v>
      </c>
      <c r="E1373" s="14">
        <v>-0.26934989999999998</v>
      </c>
      <c r="F1373" s="14">
        <v>2.7171000000000001E-3</v>
      </c>
      <c r="G1373" s="14">
        <v>0.15356639999999999</v>
      </c>
      <c r="H1373" s="14">
        <v>0.33865889999999998</v>
      </c>
      <c r="R1373" s="11">
        <f t="shared" si="44"/>
        <v>8.1788369653064699E-2</v>
      </c>
      <c r="Z1373" s="11">
        <f t="shared" si="43"/>
        <v>9.9433220559442939E-2</v>
      </c>
    </row>
    <row r="1374" spans="1:26" x14ac:dyDescent="0.2">
      <c r="A1374" s="45">
        <v>265</v>
      </c>
      <c r="B1374" s="45">
        <v>1995</v>
      </c>
      <c r="C1374" s="17">
        <v>0</v>
      </c>
      <c r="D1374" s="14">
        <v>0.2334135</v>
      </c>
      <c r="E1374" s="14">
        <v>0.50828110000000004</v>
      </c>
      <c r="F1374" s="14">
        <v>8.4744E-2</v>
      </c>
      <c r="G1374" s="14">
        <v>2.5092729999999999</v>
      </c>
      <c r="H1374" s="14">
        <v>0.42478260000000001</v>
      </c>
      <c r="R1374" s="11">
        <f t="shared" si="44"/>
        <v>3.4932347215913846E-4</v>
      </c>
      <c r="Z1374" s="11">
        <f t="shared" si="43"/>
        <v>4.5154126180035127E-4</v>
      </c>
    </row>
    <row r="1375" spans="1:26" x14ac:dyDescent="0.2">
      <c r="A1375" s="45">
        <v>265</v>
      </c>
      <c r="B1375" s="45">
        <v>1996</v>
      </c>
      <c r="C1375" s="17">
        <v>0</v>
      </c>
      <c r="D1375" s="14">
        <v>0.2597756</v>
      </c>
      <c r="E1375" s="14">
        <v>0.52651130000000002</v>
      </c>
      <c r="F1375" s="14">
        <v>7.4379700000000007E-2</v>
      </c>
      <c r="G1375" s="14">
        <v>3.2107329999999998</v>
      </c>
      <c r="H1375" s="14">
        <v>0.44117590000000001</v>
      </c>
      <c r="R1375" s="11">
        <f t="shared" si="44"/>
        <v>1.2087800543252569E-4</v>
      </c>
      <c r="Z1375" s="11">
        <f t="shared" si="43"/>
        <v>1.5265842191206411E-4</v>
      </c>
    </row>
    <row r="1376" spans="1:26" x14ac:dyDescent="0.2">
      <c r="A1376" s="45">
        <v>265</v>
      </c>
      <c r="B1376" s="45">
        <v>1997</v>
      </c>
      <c r="C1376" s="17">
        <v>0</v>
      </c>
      <c r="D1376" s="14">
        <v>0.2202395</v>
      </c>
      <c r="E1376" s="14">
        <v>0.52721839999999998</v>
      </c>
      <c r="F1376" s="14">
        <v>8.4431900000000004E-2</v>
      </c>
      <c r="G1376" s="14">
        <v>3.9881769999999999</v>
      </c>
      <c r="H1376" s="14">
        <v>0.42054809999999998</v>
      </c>
      <c r="R1376" s="11">
        <f t="shared" si="44"/>
        <v>3.2281808920426619E-5</v>
      </c>
      <c r="Z1376" s="11">
        <f t="shared" si="43"/>
        <v>4.0410606126559576E-5</v>
      </c>
    </row>
    <row r="1377" spans="1:26" x14ac:dyDescent="0.2">
      <c r="A1377" s="45">
        <v>265</v>
      </c>
      <c r="B1377" s="45">
        <v>1998</v>
      </c>
      <c r="C1377" s="17">
        <v>0</v>
      </c>
      <c r="D1377" s="14">
        <v>0.14013049999999999</v>
      </c>
      <c r="E1377" s="14">
        <v>0.43521890000000002</v>
      </c>
      <c r="F1377" s="14">
        <v>7.7569299999999994E-2</v>
      </c>
      <c r="G1377" s="14">
        <v>2.603545</v>
      </c>
      <c r="H1377" s="14">
        <v>0.36689240000000001</v>
      </c>
      <c r="R1377" s="11">
        <f t="shared" si="44"/>
        <v>3.5403193591057434E-4</v>
      </c>
      <c r="Z1377" s="11">
        <f t="shared" si="43"/>
        <v>4.5286656862191747E-4</v>
      </c>
    </row>
    <row r="1378" spans="1:26" x14ac:dyDescent="0.2">
      <c r="A1378" s="45">
        <v>265</v>
      </c>
      <c r="B1378" s="45">
        <v>1999</v>
      </c>
      <c r="C1378" s="17">
        <v>0</v>
      </c>
      <c r="D1378" s="14">
        <v>2.3312300000000001E-2</v>
      </c>
      <c r="E1378" s="14">
        <v>0.4156627</v>
      </c>
      <c r="F1378" s="14">
        <v>8.4030499999999994E-2</v>
      </c>
      <c r="G1378" s="14">
        <v>1.450105</v>
      </c>
      <c r="H1378" s="14">
        <v>0.3972002</v>
      </c>
      <c r="R1378" s="11">
        <f t="shared" si="44"/>
        <v>2.1698989133169489E-3</v>
      </c>
      <c r="Z1378" s="11">
        <f t="shared" si="43"/>
        <v>2.8585818271379551E-3</v>
      </c>
    </row>
    <row r="1379" spans="1:26" x14ac:dyDescent="0.2">
      <c r="A1379" s="45">
        <v>265</v>
      </c>
      <c r="B1379" s="45">
        <v>2000</v>
      </c>
      <c r="C1379" s="17">
        <v>0</v>
      </c>
      <c r="D1379" s="14">
        <v>0.1187926</v>
      </c>
      <c r="E1379" s="14">
        <v>0.4288225</v>
      </c>
      <c r="F1379" s="14">
        <v>2.4740700000000001E-2</v>
      </c>
      <c r="G1379" s="14">
        <v>0.76126349999999998</v>
      </c>
      <c r="H1379" s="14">
        <v>0.33841500000000002</v>
      </c>
      <c r="R1379" s="11">
        <f t="shared" si="44"/>
        <v>1.0170507399161675E-2</v>
      </c>
      <c r="Z1379" s="11">
        <f t="shared" si="43"/>
        <v>1.2936461347736725E-2</v>
      </c>
    </row>
    <row r="1380" spans="1:26" x14ac:dyDescent="0.2">
      <c r="A1380" s="45">
        <v>265</v>
      </c>
      <c r="B1380" s="45">
        <v>2001</v>
      </c>
      <c r="C1380" s="17">
        <v>0</v>
      </c>
      <c r="D1380" s="14">
        <v>0.21991450000000001</v>
      </c>
      <c r="E1380" s="14">
        <v>0.49546269999999998</v>
      </c>
      <c r="F1380" s="14">
        <v>6.7125400000000002E-2</v>
      </c>
      <c r="G1380" s="14">
        <v>1.412852</v>
      </c>
      <c r="H1380" s="14">
        <v>0.32891379999999998</v>
      </c>
      <c r="R1380" s="11">
        <f t="shared" si="44"/>
        <v>2.3468252881789658E-3</v>
      </c>
      <c r="Z1380" s="11">
        <f t="shared" si="43"/>
        <v>3.05990068106992E-3</v>
      </c>
    </row>
    <row r="1381" spans="1:26" x14ac:dyDescent="0.2">
      <c r="A1381" s="45">
        <v>265</v>
      </c>
      <c r="B1381" s="45">
        <v>2002</v>
      </c>
      <c r="C1381" s="17">
        <v>0</v>
      </c>
      <c r="D1381" s="14">
        <v>0.18866640000000001</v>
      </c>
      <c r="E1381" s="14">
        <v>0.47094049999999998</v>
      </c>
      <c r="F1381" s="14">
        <v>6.9478700000000004E-2</v>
      </c>
      <c r="G1381" s="14">
        <v>1.0317419999999999</v>
      </c>
      <c r="H1381" s="14">
        <v>0.3549736</v>
      </c>
      <c r="R1381" s="11">
        <f t="shared" si="44"/>
        <v>4.3719007080088006E-3</v>
      </c>
      <c r="Z1381" s="11">
        <f t="shared" si="43"/>
        <v>5.7507312365052349E-3</v>
      </c>
    </row>
    <row r="1382" spans="1:26" x14ac:dyDescent="0.2">
      <c r="A1382" s="45">
        <v>265</v>
      </c>
      <c r="B1382" s="45">
        <v>2003</v>
      </c>
      <c r="C1382" s="17">
        <v>0</v>
      </c>
      <c r="D1382" s="14">
        <v>0.1976426</v>
      </c>
      <c r="E1382" s="14">
        <v>0.54471429999999998</v>
      </c>
      <c r="F1382" s="14">
        <v>7.6577199999999998E-2</v>
      </c>
      <c r="G1382" s="14">
        <v>2.140218</v>
      </c>
      <c r="H1382" s="14">
        <v>0.41008749999999999</v>
      </c>
      <c r="R1382" s="11">
        <f t="shared" si="44"/>
        <v>6.3662889594576569E-4</v>
      </c>
      <c r="Z1382" s="11">
        <f t="shared" si="43"/>
        <v>8.2505542482893212E-4</v>
      </c>
    </row>
    <row r="1383" spans="1:26" x14ac:dyDescent="0.2">
      <c r="A1383" s="45">
        <v>265</v>
      </c>
      <c r="B1383" s="45">
        <v>2004</v>
      </c>
      <c r="C1383" s="17">
        <v>0</v>
      </c>
      <c r="D1383" s="14">
        <v>0.22319259999999999</v>
      </c>
      <c r="E1383" s="14">
        <v>0.58076099999999997</v>
      </c>
      <c r="F1383" s="14">
        <v>6.7690200000000006E-2</v>
      </c>
      <c r="G1383" s="14">
        <v>2.1680090000000001</v>
      </c>
      <c r="H1383" s="14">
        <v>0.35477570000000003</v>
      </c>
      <c r="R1383" s="11">
        <f t="shared" si="44"/>
        <v>6.2054022077259578E-4</v>
      </c>
      <c r="Z1383" s="11">
        <f t="shared" si="43"/>
        <v>7.9887387349742919E-4</v>
      </c>
    </row>
    <row r="1384" spans="1:26" x14ac:dyDescent="0.2">
      <c r="A1384" s="45">
        <v>266</v>
      </c>
      <c r="B1384" s="45">
        <v>1995</v>
      </c>
      <c r="C1384" s="17">
        <v>0</v>
      </c>
      <c r="D1384" s="14">
        <v>0.23434479999999999</v>
      </c>
      <c r="E1384" s="14">
        <v>0.1731615</v>
      </c>
      <c r="F1384" s="14">
        <v>1.6323799999999999E-2</v>
      </c>
      <c r="G1384" s="14">
        <v>0.3585991</v>
      </c>
      <c r="H1384" s="14">
        <v>0.48145700000000002</v>
      </c>
      <c r="R1384" s="11">
        <f t="shared" si="44"/>
        <v>2.9389343182555615E-2</v>
      </c>
      <c r="Z1384" s="11">
        <f t="shared" si="43"/>
        <v>3.6943137783366824E-2</v>
      </c>
    </row>
    <row r="1385" spans="1:26" x14ac:dyDescent="0.2">
      <c r="A1385" s="45">
        <v>266</v>
      </c>
      <c r="B1385" s="45">
        <v>1996</v>
      </c>
      <c r="C1385" s="17">
        <v>0</v>
      </c>
      <c r="D1385" s="14">
        <v>0.2263328</v>
      </c>
      <c r="E1385" s="14">
        <v>0.15268950000000001</v>
      </c>
      <c r="F1385" s="14">
        <v>9.2014000000000002E-3</v>
      </c>
      <c r="G1385" s="14">
        <v>0.14302960000000001</v>
      </c>
      <c r="H1385" s="14">
        <v>0.4381989</v>
      </c>
      <c r="R1385" s="11">
        <f t="shared" si="44"/>
        <v>4.4488172876386158E-2</v>
      </c>
      <c r="Z1385" s="11">
        <f t="shared" si="43"/>
        <v>5.5605817108217853E-2</v>
      </c>
    </row>
    <row r="1386" spans="1:26" x14ac:dyDescent="0.2">
      <c r="A1386" s="45">
        <v>267</v>
      </c>
      <c r="B1386" s="45">
        <v>1995</v>
      </c>
      <c r="C1386" s="17">
        <v>0</v>
      </c>
      <c r="D1386" s="14">
        <v>0.13928789999999999</v>
      </c>
      <c r="E1386" s="14">
        <v>-0.65829029999999999</v>
      </c>
      <c r="F1386" s="14">
        <v>3.08797E-2</v>
      </c>
      <c r="G1386" s="14">
        <v>3.5464769999999999</v>
      </c>
      <c r="H1386" s="14">
        <v>0.16962530000000001</v>
      </c>
      <c r="R1386" s="11">
        <f t="shared" si="44"/>
        <v>5.6114917675256152E-4</v>
      </c>
      <c r="Z1386" s="11">
        <f t="shared" si="43"/>
        <v>6.5176753615362815E-4</v>
      </c>
    </row>
    <row r="1387" spans="1:26" x14ac:dyDescent="0.2">
      <c r="A1387" s="45">
        <v>267</v>
      </c>
      <c r="B1387" s="45">
        <v>1996</v>
      </c>
      <c r="C1387" s="17">
        <v>0</v>
      </c>
      <c r="D1387" s="14">
        <v>0.12255539999999999</v>
      </c>
      <c r="E1387" s="14">
        <v>-0.78042270000000002</v>
      </c>
      <c r="F1387" s="14">
        <v>2.22522E-2</v>
      </c>
      <c r="G1387" s="14">
        <v>2.3702830000000001</v>
      </c>
      <c r="H1387" s="14">
        <v>0.17435049999999999</v>
      </c>
      <c r="R1387" s="11">
        <f t="shared" si="44"/>
        <v>4.6603587154276163E-3</v>
      </c>
      <c r="Z1387" s="11">
        <f t="shared" si="43"/>
        <v>5.4887186640137095E-3</v>
      </c>
    </row>
    <row r="1388" spans="1:26" x14ac:dyDescent="0.2">
      <c r="A1388" s="45">
        <v>267</v>
      </c>
      <c r="B1388" s="45">
        <v>1997</v>
      </c>
      <c r="C1388" s="17">
        <v>0</v>
      </c>
      <c r="D1388" s="14">
        <v>0.1433603</v>
      </c>
      <c r="E1388" s="14">
        <v>-0.86903699999999995</v>
      </c>
      <c r="F1388" s="14">
        <v>2.1079899999999999E-2</v>
      </c>
      <c r="G1388" s="14">
        <v>3.0251640000000002</v>
      </c>
      <c r="H1388" s="14">
        <v>0.1736955</v>
      </c>
      <c r="R1388" s="11">
        <f t="shared" si="44"/>
        <v>1.8898204349605729E-3</v>
      </c>
      <c r="Z1388" s="11">
        <f t="shared" si="43"/>
        <v>2.1862770223424733E-3</v>
      </c>
    </row>
    <row r="1389" spans="1:26" x14ac:dyDescent="0.2">
      <c r="A1389" s="45">
        <v>267</v>
      </c>
      <c r="B1389" s="45">
        <v>1998</v>
      </c>
      <c r="C1389" s="17">
        <v>0</v>
      </c>
      <c r="D1389" s="14">
        <v>0.15429989999999999</v>
      </c>
      <c r="E1389" s="14">
        <v>-0.90004189999999995</v>
      </c>
      <c r="F1389" s="14">
        <v>1.7999999999999999E-2</v>
      </c>
      <c r="G1389" s="14">
        <v>2.0298020000000001</v>
      </c>
      <c r="H1389" s="14">
        <v>0.16884460000000001</v>
      </c>
      <c r="R1389" s="11">
        <f t="shared" si="44"/>
        <v>9.8200481888969567E-3</v>
      </c>
      <c r="Z1389" s="11">
        <f t="shared" si="43"/>
        <v>1.1553872790379019E-2</v>
      </c>
    </row>
    <row r="1390" spans="1:26" x14ac:dyDescent="0.2">
      <c r="A1390" s="45">
        <v>267</v>
      </c>
      <c r="B1390" s="45">
        <v>1999</v>
      </c>
      <c r="C1390" s="17">
        <v>0</v>
      </c>
      <c r="D1390" s="14">
        <v>0.14999390000000001</v>
      </c>
      <c r="E1390" s="14">
        <v>-1.041169</v>
      </c>
      <c r="F1390" s="14">
        <v>1.9992E-3</v>
      </c>
      <c r="G1390" s="14">
        <v>0.80828420000000001</v>
      </c>
      <c r="H1390" s="14">
        <v>0.15964329999999999</v>
      </c>
      <c r="R1390" s="11">
        <f t="shared" si="44"/>
        <v>8.8373041634012314E-2</v>
      </c>
      <c r="Z1390" s="11">
        <f t="shared" si="43"/>
        <v>0.10336611636762434</v>
      </c>
    </row>
    <row r="1391" spans="1:26" x14ac:dyDescent="0.2">
      <c r="A1391" s="45">
        <v>267</v>
      </c>
      <c r="B1391" s="45">
        <v>2000</v>
      </c>
      <c r="C1391" s="17">
        <v>0</v>
      </c>
      <c r="D1391" s="14">
        <v>-5.2328800000000002E-2</v>
      </c>
      <c r="E1391" s="14">
        <v>-1.875254</v>
      </c>
      <c r="F1391" s="14">
        <v>-0.254492</v>
      </c>
      <c r="G1391" s="14">
        <v>0.2491708</v>
      </c>
      <c r="H1391" s="14">
        <v>0.1375093</v>
      </c>
      <c r="R1391" s="11">
        <f t="shared" si="44"/>
        <v>0.86078211065293708</v>
      </c>
      <c r="Z1391" s="11">
        <f t="shared" si="43"/>
        <v>0.85428002568505401</v>
      </c>
    </row>
    <row r="1392" spans="1:26" x14ac:dyDescent="0.2">
      <c r="A1392" s="45">
        <v>267</v>
      </c>
      <c r="B1392" s="45">
        <v>2001</v>
      </c>
      <c r="C1392" s="17">
        <v>0</v>
      </c>
      <c r="D1392" s="14">
        <v>2.5602099999999999E-2</v>
      </c>
      <c r="E1392" s="14">
        <v>-2.3462160000000001</v>
      </c>
      <c r="F1392" s="14">
        <v>1.0134900000000001E-2</v>
      </c>
      <c r="G1392" s="14">
        <v>0.75204550000000003</v>
      </c>
      <c r="H1392" s="14">
        <v>0.1648143</v>
      </c>
      <c r="R1392" s="11">
        <f t="shared" si="44"/>
        <v>0.39853934412382153</v>
      </c>
      <c r="Z1392" s="11">
        <f t="shared" si="43"/>
        <v>0.43165884790062675</v>
      </c>
    </row>
    <row r="1393" spans="1:26" x14ac:dyDescent="0.2">
      <c r="A1393" s="45">
        <v>267</v>
      </c>
      <c r="B1393" s="45">
        <v>2002</v>
      </c>
      <c r="C1393" s="17">
        <v>0</v>
      </c>
      <c r="D1393" s="14">
        <v>0.112758</v>
      </c>
      <c r="E1393" s="14">
        <v>-2.18573</v>
      </c>
      <c r="F1393" s="14">
        <v>3.7360499999999998E-2</v>
      </c>
      <c r="G1393" s="14">
        <v>4.9652969999999996</v>
      </c>
      <c r="H1393" s="14">
        <v>0.19108330000000001</v>
      </c>
      <c r="R1393" s="11">
        <f t="shared" si="44"/>
        <v>5.118856690668938E-4</v>
      </c>
      <c r="Z1393" s="11">
        <f t="shared" si="43"/>
        <v>5.4980753100654356E-4</v>
      </c>
    </row>
    <row r="1394" spans="1:26" x14ac:dyDescent="0.2">
      <c r="A1394" s="45">
        <v>267</v>
      </c>
      <c r="B1394" s="45">
        <v>2003</v>
      </c>
      <c r="C1394" s="17">
        <v>0</v>
      </c>
      <c r="D1394" s="14">
        <v>0.48796060000000002</v>
      </c>
      <c r="E1394" s="14">
        <v>-1.2705299999999999</v>
      </c>
      <c r="F1394" s="14">
        <v>3.7902999999999999E-2</v>
      </c>
      <c r="G1394" s="14">
        <v>8.6156849999999991</v>
      </c>
      <c r="H1394" s="14">
        <v>0.12445290000000001</v>
      </c>
      <c r="R1394" s="11">
        <f t="shared" si="44"/>
        <v>4.0104427196778139E-7</v>
      </c>
      <c r="Z1394" s="11">
        <f t="shared" si="43"/>
        <v>4.1034764736040718E-7</v>
      </c>
    </row>
    <row r="1395" spans="1:26" x14ac:dyDescent="0.2">
      <c r="A1395" s="45">
        <v>267</v>
      </c>
      <c r="B1395" s="45">
        <v>2004</v>
      </c>
      <c r="C1395" s="17">
        <v>0</v>
      </c>
      <c r="D1395" s="14">
        <v>0.35557329999999998</v>
      </c>
      <c r="E1395" s="14">
        <v>-1.2758879999999999</v>
      </c>
      <c r="F1395" s="14">
        <v>3.4634199999999997E-2</v>
      </c>
      <c r="G1395" s="14">
        <v>6.2715129999999997</v>
      </c>
      <c r="H1395" s="14">
        <v>0.1251015</v>
      </c>
      <c r="R1395" s="11">
        <f t="shared" si="44"/>
        <v>1.7390019503529699E-5</v>
      </c>
      <c r="Z1395" s="11">
        <f t="shared" si="43"/>
        <v>1.8682490219407732E-5</v>
      </c>
    </row>
    <row r="1396" spans="1:26" x14ac:dyDescent="0.2">
      <c r="A1396" s="45">
        <v>268</v>
      </c>
      <c r="B1396" s="45">
        <v>1997</v>
      </c>
      <c r="C1396" s="17">
        <v>0</v>
      </c>
      <c r="D1396" s="14">
        <v>0.53479569999999998</v>
      </c>
      <c r="E1396" s="14">
        <v>0.29395979999999999</v>
      </c>
      <c r="F1396" s="14">
        <v>6.6770999999999997E-2</v>
      </c>
      <c r="G1396" s="14">
        <v>6.8570190000000002</v>
      </c>
      <c r="H1396" s="14">
        <v>0.24216389999999999</v>
      </c>
      <c r="R1396" s="11">
        <f t="shared" si="44"/>
        <v>5.3966809650590323E-7</v>
      </c>
      <c r="Z1396" s="11">
        <f t="shared" si="43"/>
        <v>6.2011393679098239E-7</v>
      </c>
    </row>
    <row r="1397" spans="1:26" x14ac:dyDescent="0.2">
      <c r="A1397" s="45">
        <v>268</v>
      </c>
      <c r="B1397" s="45">
        <v>1998</v>
      </c>
      <c r="C1397" s="17">
        <v>0</v>
      </c>
      <c r="D1397" s="14">
        <v>0.33789960000000002</v>
      </c>
      <c r="E1397" s="14">
        <v>0.27852510000000003</v>
      </c>
      <c r="F1397" s="14">
        <v>6.9689899999999999E-2</v>
      </c>
      <c r="G1397" s="14">
        <v>4.4592280000000004</v>
      </c>
      <c r="H1397" s="14">
        <v>0.24576980000000001</v>
      </c>
      <c r="R1397" s="11">
        <f t="shared" si="44"/>
        <v>2.4615460710912783E-5</v>
      </c>
      <c r="Z1397" s="11">
        <f t="shared" si="43"/>
        <v>2.9873881094893606E-5</v>
      </c>
    </row>
    <row r="1398" spans="1:26" x14ac:dyDescent="0.2">
      <c r="A1398" s="45">
        <v>268</v>
      </c>
      <c r="B1398" s="45">
        <v>1999</v>
      </c>
      <c r="C1398" s="17">
        <v>0</v>
      </c>
      <c r="D1398" s="14">
        <v>0.26685490000000001</v>
      </c>
      <c r="E1398" s="14">
        <v>0.20284749999999999</v>
      </c>
      <c r="F1398" s="14">
        <v>7.2326000000000001E-2</v>
      </c>
      <c r="G1398" s="14">
        <v>1.9534590000000001</v>
      </c>
      <c r="H1398" s="14">
        <v>0.1951164</v>
      </c>
      <c r="R1398" s="11">
        <f t="shared" si="44"/>
        <v>1.456906770506871E-3</v>
      </c>
      <c r="Z1398" s="11">
        <f t="shared" si="43"/>
        <v>1.866877341489658E-3</v>
      </c>
    </row>
    <row r="1399" spans="1:26" x14ac:dyDescent="0.2">
      <c r="A1399" s="45">
        <v>268</v>
      </c>
      <c r="B1399" s="45">
        <v>2000</v>
      </c>
      <c r="C1399" s="17">
        <v>0</v>
      </c>
      <c r="D1399" s="14">
        <v>0.23154659999999999</v>
      </c>
      <c r="E1399" s="14">
        <v>0.24036099999999999</v>
      </c>
      <c r="F1399" s="14">
        <v>4.1126500000000003E-2</v>
      </c>
      <c r="G1399" s="14">
        <v>1.7508269999999999</v>
      </c>
      <c r="H1399" s="14">
        <v>0.20236119999999999</v>
      </c>
      <c r="R1399" s="11">
        <f t="shared" si="44"/>
        <v>2.4430856882149774E-3</v>
      </c>
      <c r="Z1399" s="11">
        <f t="shared" si="43"/>
        <v>3.0684449966184475E-3</v>
      </c>
    </row>
    <row r="1400" spans="1:26" x14ac:dyDescent="0.2">
      <c r="A1400" s="45">
        <v>268</v>
      </c>
      <c r="B1400" s="45">
        <v>2001</v>
      </c>
      <c r="C1400" s="17">
        <v>0</v>
      </c>
      <c r="D1400" s="14">
        <v>0.24619460000000001</v>
      </c>
      <c r="E1400" s="14">
        <v>0.1578445</v>
      </c>
      <c r="F1400" s="14">
        <v>5.3611800000000001E-2</v>
      </c>
      <c r="G1400" s="14">
        <v>2.0414439999999998</v>
      </c>
      <c r="H1400" s="14">
        <v>0.16511690000000001</v>
      </c>
      <c r="R1400" s="11">
        <f t="shared" si="44"/>
        <v>1.5700714149557834E-3</v>
      </c>
      <c r="Z1400" s="11">
        <f t="shared" si="43"/>
        <v>1.9743875829472822E-3</v>
      </c>
    </row>
    <row r="1401" spans="1:26" x14ac:dyDescent="0.2">
      <c r="A1401" s="45">
        <v>268</v>
      </c>
      <c r="B1401" s="45">
        <v>2002</v>
      </c>
      <c r="C1401" s="17">
        <v>0</v>
      </c>
      <c r="D1401" s="14">
        <v>0.24687819999999999</v>
      </c>
      <c r="E1401" s="14">
        <v>0.2065131</v>
      </c>
      <c r="F1401" s="14">
        <v>5.52097E-2</v>
      </c>
      <c r="G1401" s="14">
        <v>1.407076</v>
      </c>
      <c r="H1401" s="14">
        <v>0.1689157</v>
      </c>
      <c r="R1401" s="11">
        <f t="shared" si="44"/>
        <v>3.9594432934555246E-3</v>
      </c>
      <c r="Z1401" s="11">
        <f t="shared" si="43"/>
        <v>5.060610179716098E-3</v>
      </c>
    </row>
    <row r="1402" spans="1:26" x14ac:dyDescent="0.2">
      <c r="A1402" s="45">
        <v>269</v>
      </c>
      <c r="B1402" s="45">
        <v>1995</v>
      </c>
      <c r="C1402" s="17">
        <v>0</v>
      </c>
      <c r="D1402" s="14">
        <v>7.3587799999999995E-2</v>
      </c>
      <c r="E1402" s="14">
        <v>0.48237459999999999</v>
      </c>
      <c r="F1402" s="14">
        <v>7.37593E-2</v>
      </c>
      <c r="G1402" s="14">
        <v>2.1393110000000002</v>
      </c>
      <c r="H1402" s="14">
        <v>0.33655230000000003</v>
      </c>
      <c r="R1402" s="11">
        <f t="shared" si="44"/>
        <v>7.1389702934276434E-4</v>
      </c>
      <c r="Z1402" s="11">
        <f t="shared" si="43"/>
        <v>9.2108928055414734E-4</v>
      </c>
    </row>
    <row r="1403" spans="1:26" x14ac:dyDescent="0.2">
      <c r="A1403" s="45">
        <v>269</v>
      </c>
      <c r="B1403" s="45">
        <v>1996</v>
      </c>
      <c r="C1403" s="17">
        <v>0</v>
      </c>
      <c r="D1403" s="14">
        <v>6.1244100000000003E-2</v>
      </c>
      <c r="E1403" s="14">
        <v>0.49017179999999999</v>
      </c>
      <c r="F1403" s="14">
        <v>5.4827800000000003E-2</v>
      </c>
      <c r="G1403" s="14">
        <v>2.5790959999999998</v>
      </c>
      <c r="H1403" s="14">
        <v>0.31583410000000001</v>
      </c>
      <c r="R1403" s="11">
        <f t="shared" si="44"/>
        <v>4.0760691764414137E-4</v>
      </c>
      <c r="Z1403" s="11">
        <f t="shared" si="43"/>
        <v>5.1300618987940385E-4</v>
      </c>
    </row>
    <row r="1404" spans="1:26" x14ac:dyDescent="0.2">
      <c r="A1404" s="45">
        <v>269</v>
      </c>
      <c r="B1404" s="45">
        <v>1997</v>
      </c>
      <c r="C1404" s="17">
        <v>0</v>
      </c>
      <c r="D1404" s="14">
        <v>9.4918699999999995E-2</v>
      </c>
      <c r="E1404" s="14">
        <v>0.54116129999999996</v>
      </c>
      <c r="F1404" s="14">
        <v>9.4923800000000003E-2</v>
      </c>
      <c r="G1404" s="14">
        <v>3.4664220000000001</v>
      </c>
      <c r="H1404" s="14">
        <v>0.3444506</v>
      </c>
      <c r="R1404" s="11">
        <f t="shared" si="44"/>
        <v>6.6802232991490957E-5</v>
      </c>
      <c r="Z1404" s="11">
        <f t="shared" si="43"/>
        <v>8.5360401849542353E-5</v>
      </c>
    </row>
    <row r="1405" spans="1:26" x14ac:dyDescent="0.2">
      <c r="A1405" s="45">
        <v>269</v>
      </c>
      <c r="B1405" s="45">
        <v>1998</v>
      </c>
      <c r="C1405" s="17">
        <v>0</v>
      </c>
      <c r="D1405" s="14">
        <v>4.6629499999999997E-2</v>
      </c>
      <c r="E1405" s="14">
        <v>0.50812330000000006</v>
      </c>
      <c r="F1405" s="14">
        <v>8.9618100000000006E-2</v>
      </c>
      <c r="G1405" s="14">
        <v>2.7248540000000001</v>
      </c>
      <c r="H1405" s="14">
        <v>0.34442810000000001</v>
      </c>
      <c r="R1405" s="11">
        <f t="shared" si="44"/>
        <v>2.3836471913376572E-4</v>
      </c>
      <c r="Z1405" s="11">
        <f t="shared" si="43"/>
        <v>3.0789091991211535E-4</v>
      </c>
    </row>
    <row r="1406" spans="1:26" x14ac:dyDescent="0.2">
      <c r="A1406" s="45">
        <v>269</v>
      </c>
      <c r="B1406" s="45">
        <v>1999</v>
      </c>
      <c r="C1406" s="17">
        <v>0</v>
      </c>
      <c r="D1406" s="14">
        <v>0.13631699999999999</v>
      </c>
      <c r="E1406" s="14">
        <v>0.49012790000000001</v>
      </c>
      <c r="F1406" s="14">
        <v>0.10697909999999999</v>
      </c>
      <c r="G1406" s="14">
        <v>1.6974320000000001</v>
      </c>
      <c r="H1406" s="14">
        <v>0.32052819999999999</v>
      </c>
      <c r="R1406" s="11">
        <f t="shared" si="44"/>
        <v>1.0939317089299063E-3</v>
      </c>
      <c r="Z1406" s="11">
        <f t="shared" si="43"/>
        <v>1.4647130541311604E-3</v>
      </c>
    </row>
    <row r="1407" spans="1:26" x14ac:dyDescent="0.2">
      <c r="A1407" s="45">
        <v>269</v>
      </c>
      <c r="B1407" s="45">
        <v>2000</v>
      </c>
      <c r="C1407" s="17">
        <v>0</v>
      </c>
      <c r="D1407" s="14">
        <v>-3.8286000000000001E-2</v>
      </c>
      <c r="E1407" s="14">
        <v>0.4772904</v>
      </c>
      <c r="F1407" s="14">
        <v>1.5888900000000001E-2</v>
      </c>
      <c r="G1407" s="14">
        <v>1.810279</v>
      </c>
      <c r="H1407" s="14">
        <v>0.32164680000000001</v>
      </c>
      <c r="R1407" s="11">
        <f t="shared" si="44"/>
        <v>1.9278640443876631E-3</v>
      </c>
      <c r="Z1407" s="11">
        <f t="shared" si="43"/>
        <v>2.3883719284141171E-3</v>
      </c>
    </row>
    <row r="1408" spans="1:26" x14ac:dyDescent="0.2">
      <c r="A1408" s="45">
        <v>269</v>
      </c>
      <c r="B1408" s="45">
        <v>2001</v>
      </c>
      <c r="C1408" s="17">
        <v>0</v>
      </c>
      <c r="D1408" s="14">
        <v>0.11202719999999999</v>
      </c>
      <c r="E1408" s="14">
        <v>0.42716520000000002</v>
      </c>
      <c r="F1408" s="14">
        <v>6.8504200000000001E-2</v>
      </c>
      <c r="G1408" s="14">
        <v>1.7523979999999999</v>
      </c>
      <c r="H1408" s="14">
        <v>0.2334919</v>
      </c>
      <c r="R1408" s="11">
        <f t="shared" si="44"/>
        <v>1.4934618459584638E-3</v>
      </c>
      <c r="Z1408" s="11">
        <f t="shared" si="43"/>
        <v>1.9309353967023172E-3</v>
      </c>
    </row>
    <row r="1409" spans="1:26" x14ac:dyDescent="0.2">
      <c r="A1409" s="45">
        <v>269</v>
      </c>
      <c r="B1409" s="45">
        <v>2002</v>
      </c>
      <c r="C1409" s="17">
        <v>0</v>
      </c>
      <c r="D1409" s="14">
        <v>0.18731039999999999</v>
      </c>
      <c r="E1409" s="14">
        <v>0.41829539999999998</v>
      </c>
      <c r="F1409" s="14">
        <v>6.7271600000000001E-2</v>
      </c>
      <c r="G1409" s="14">
        <v>1.351769</v>
      </c>
      <c r="H1409" s="14">
        <v>0.26299879999999998</v>
      </c>
      <c r="R1409" s="11">
        <f t="shared" si="44"/>
        <v>2.8889549314243964E-3</v>
      </c>
      <c r="Z1409" s="11">
        <f t="shared" si="43"/>
        <v>3.7617079993208301E-3</v>
      </c>
    </row>
    <row r="1410" spans="1:26" x14ac:dyDescent="0.2">
      <c r="A1410" s="45">
        <v>270</v>
      </c>
      <c r="B1410" s="45">
        <v>1995</v>
      </c>
      <c r="C1410" s="17">
        <v>0</v>
      </c>
      <c r="D1410" s="14">
        <v>0.1035959</v>
      </c>
      <c r="E1410" s="14">
        <v>0.75381229999999999</v>
      </c>
      <c r="F1410" s="14">
        <v>3.4118599999999999E-2</v>
      </c>
      <c r="G1410" s="14">
        <v>4.3691180000000003</v>
      </c>
      <c r="H1410" s="14">
        <v>0.25855529999999999</v>
      </c>
      <c r="R1410" s="11">
        <f t="shared" si="44"/>
        <v>1.8924147204495525E-5</v>
      </c>
      <c r="Z1410" s="11">
        <f t="shared" ref="Z1410:Z1473" si="45">1/(1+EXP(-(U$2+$V$2*E1410+$W$2*F1410+$X$2*G1410)))</f>
        <v>2.2718230304926444E-5</v>
      </c>
    </row>
    <row r="1411" spans="1:26" x14ac:dyDescent="0.2">
      <c r="A1411" s="45">
        <v>270</v>
      </c>
      <c r="B1411" s="45">
        <v>1996</v>
      </c>
      <c r="C1411" s="17">
        <v>0</v>
      </c>
      <c r="D1411" s="14">
        <v>6.98492E-2</v>
      </c>
      <c r="E1411" s="14">
        <v>0.85884709999999997</v>
      </c>
      <c r="F1411" s="14">
        <v>6.9964999999999999E-2</v>
      </c>
      <c r="G1411" s="14">
        <v>2.9603419999999998</v>
      </c>
      <c r="H1411" s="14">
        <v>0.2435795</v>
      </c>
      <c r="R1411" s="11">
        <f t="shared" si="44"/>
        <v>1.1511130897234713E-4</v>
      </c>
      <c r="Z1411" s="11">
        <f t="shared" si="45"/>
        <v>1.4731993621143634E-4</v>
      </c>
    </row>
    <row r="1412" spans="1:26" x14ac:dyDescent="0.2">
      <c r="A1412" s="45">
        <v>270</v>
      </c>
      <c r="B1412" s="45">
        <v>1997</v>
      </c>
      <c r="C1412" s="17">
        <v>0</v>
      </c>
      <c r="D1412" s="14">
        <v>-2.5435300000000001E-2</v>
      </c>
      <c r="E1412" s="14">
        <v>0.9196569</v>
      </c>
      <c r="F1412" s="14">
        <v>5.33883E-2</v>
      </c>
      <c r="G1412" s="14">
        <v>2.8152210000000002</v>
      </c>
      <c r="H1412" s="14">
        <v>0.2042011</v>
      </c>
      <c r="R1412" s="11">
        <f t="shared" si="44"/>
        <v>1.5160922939266513E-4</v>
      </c>
      <c r="Z1412" s="11">
        <f t="shared" si="45"/>
        <v>1.9242318364852426E-4</v>
      </c>
    </row>
    <row r="1413" spans="1:26" x14ac:dyDescent="0.2">
      <c r="A1413" s="45">
        <v>270</v>
      </c>
      <c r="B1413" s="45">
        <v>1998</v>
      </c>
      <c r="C1413" s="17">
        <v>0</v>
      </c>
      <c r="D1413" s="14">
        <v>2.8789599999999999E-2</v>
      </c>
      <c r="E1413" s="14">
        <v>0.37896170000000001</v>
      </c>
      <c r="F1413" s="14">
        <v>5.4738099999999998E-2</v>
      </c>
      <c r="G1413" s="14">
        <v>0.55576519999999996</v>
      </c>
      <c r="H1413" s="14">
        <v>0.16461519999999999</v>
      </c>
      <c r="R1413" s="11">
        <f t="shared" si="44"/>
        <v>1.1914512188792898E-2</v>
      </c>
      <c r="Z1413" s="11">
        <f t="shared" si="45"/>
        <v>1.5561814976159761E-2</v>
      </c>
    </row>
    <row r="1414" spans="1:26" x14ac:dyDescent="0.2">
      <c r="A1414" s="45">
        <v>270</v>
      </c>
      <c r="B1414" s="45">
        <v>1999</v>
      </c>
      <c r="C1414" s="17">
        <v>0</v>
      </c>
      <c r="D1414" s="14">
        <v>-1.0466400000000001E-2</v>
      </c>
      <c r="E1414" s="14">
        <v>0.37953629999999999</v>
      </c>
      <c r="F1414" s="14">
        <v>5.6740899999999997E-2</v>
      </c>
      <c r="G1414" s="14">
        <v>0.62681589999999998</v>
      </c>
      <c r="H1414" s="14">
        <v>0.172289</v>
      </c>
      <c r="R1414" s="11">
        <f t="shared" si="44"/>
        <v>1.047644638797765E-2</v>
      </c>
      <c r="Z1414" s="11">
        <f t="shared" si="45"/>
        <v>1.369093025373551E-2</v>
      </c>
    </row>
    <row r="1415" spans="1:26" x14ac:dyDescent="0.2">
      <c r="A1415" s="45">
        <v>270</v>
      </c>
      <c r="B1415" s="45">
        <v>2000</v>
      </c>
      <c r="C1415" s="17">
        <v>0</v>
      </c>
      <c r="D1415" s="14">
        <v>5.5473300000000003E-2</v>
      </c>
      <c r="E1415" s="14">
        <v>0.41246179999999999</v>
      </c>
      <c r="F1415" s="14">
        <v>4.9056799999999998E-2</v>
      </c>
      <c r="G1415" s="14">
        <v>0.4897261</v>
      </c>
      <c r="H1415" s="14">
        <v>0.17217689999999999</v>
      </c>
      <c r="R1415" s="11">
        <f t="shared" si="44"/>
        <v>1.3176746462114385E-2</v>
      </c>
      <c r="Z1415" s="11">
        <f t="shared" si="45"/>
        <v>1.7169018865208142E-2</v>
      </c>
    </row>
    <row r="1416" spans="1:26" x14ac:dyDescent="0.2">
      <c r="A1416" s="45">
        <v>270</v>
      </c>
      <c r="B1416" s="45">
        <v>2001</v>
      </c>
      <c r="C1416" s="17">
        <v>0</v>
      </c>
      <c r="D1416" s="14">
        <v>2.9948200000000001E-2</v>
      </c>
      <c r="E1416" s="14">
        <v>0.40622599999999998</v>
      </c>
      <c r="F1416" s="14">
        <v>3.7238399999999998E-2</v>
      </c>
      <c r="G1416" s="14">
        <v>0.28221089999999999</v>
      </c>
      <c r="H1416" s="14">
        <v>0.11389779999999999</v>
      </c>
      <c r="R1416" s="11">
        <f t="shared" si="44"/>
        <v>2.0198548269577461E-2</v>
      </c>
      <c r="Z1416" s="11">
        <f t="shared" si="45"/>
        <v>2.6125666472180547E-2</v>
      </c>
    </row>
    <row r="1417" spans="1:26" x14ac:dyDescent="0.2">
      <c r="A1417" s="45">
        <v>270</v>
      </c>
      <c r="B1417" s="45">
        <v>2002</v>
      </c>
      <c r="C1417" s="17">
        <v>0</v>
      </c>
      <c r="D1417" s="14">
        <v>0.1413094</v>
      </c>
      <c r="E1417" s="14">
        <v>0.4041671</v>
      </c>
      <c r="F1417" s="14">
        <v>5.7261300000000001E-2</v>
      </c>
      <c r="G1417" s="14">
        <v>0.3575141</v>
      </c>
      <c r="H1417" s="14">
        <v>0.18137639999999999</v>
      </c>
      <c r="R1417" s="11">
        <f t="shared" si="44"/>
        <v>1.5384167587143102E-2</v>
      </c>
      <c r="Z1417" s="11">
        <f t="shared" si="45"/>
        <v>2.0216082874370149E-2</v>
      </c>
    </row>
    <row r="1418" spans="1:26" x14ac:dyDescent="0.2">
      <c r="A1418" s="45">
        <v>270</v>
      </c>
      <c r="B1418" s="45">
        <v>2003</v>
      </c>
      <c r="C1418" s="17">
        <v>0</v>
      </c>
      <c r="D1418" s="14">
        <v>0.1580278</v>
      </c>
      <c r="E1418" s="14">
        <v>0.46846179999999998</v>
      </c>
      <c r="F1418" s="14">
        <v>5.8611499999999997E-2</v>
      </c>
      <c r="G1418" s="14">
        <v>0.53517970000000004</v>
      </c>
      <c r="H1418" s="14">
        <v>0.19824839999999999</v>
      </c>
      <c r="R1418" s="11">
        <f t="shared" si="44"/>
        <v>1.0494794344952856E-2</v>
      </c>
      <c r="Z1418" s="11">
        <f t="shared" si="45"/>
        <v>1.3804384098923782E-2</v>
      </c>
    </row>
    <row r="1419" spans="1:26" x14ac:dyDescent="0.2">
      <c r="A1419" s="45">
        <v>270</v>
      </c>
      <c r="B1419" s="45">
        <v>2004</v>
      </c>
      <c r="C1419" s="17">
        <v>0</v>
      </c>
      <c r="D1419" s="14">
        <v>0.1346743</v>
      </c>
      <c r="E1419" s="14">
        <v>0.481852</v>
      </c>
      <c r="F1419" s="14">
        <v>5.7518199999999998E-2</v>
      </c>
      <c r="G1419" s="14">
        <v>0.66684220000000005</v>
      </c>
      <c r="H1419" s="14">
        <v>0.21613289999999999</v>
      </c>
      <c r="R1419" s="11">
        <f t="shared" si="44"/>
        <v>8.4352364120134898E-3</v>
      </c>
      <c r="Z1419" s="11">
        <f t="shared" si="45"/>
        <v>1.1066047139437917E-2</v>
      </c>
    </row>
    <row r="1420" spans="1:26" x14ac:dyDescent="0.2">
      <c r="A1420" s="45">
        <v>271</v>
      </c>
      <c r="B1420" s="45">
        <v>1995</v>
      </c>
      <c r="C1420" s="17">
        <v>0</v>
      </c>
      <c r="D1420" s="14">
        <v>4.8571099999999999E-2</v>
      </c>
      <c r="E1420" s="14">
        <v>0.62279609999999996</v>
      </c>
      <c r="F1420" s="14">
        <v>0.1070744</v>
      </c>
      <c r="G1420" s="14">
        <v>2.8998330000000001</v>
      </c>
      <c r="H1420" s="14">
        <v>0.43149530000000003</v>
      </c>
      <c r="R1420" s="11">
        <f t="shared" si="44"/>
        <v>1.3277970693868126E-4</v>
      </c>
      <c r="Z1420" s="11">
        <f t="shared" si="45"/>
        <v>1.7399900141261095E-4</v>
      </c>
    </row>
    <row r="1421" spans="1:26" x14ac:dyDescent="0.2">
      <c r="A1421" s="45">
        <v>271</v>
      </c>
      <c r="B1421" s="45">
        <v>1996</v>
      </c>
      <c r="C1421" s="17">
        <v>0</v>
      </c>
      <c r="D1421" s="14">
        <v>7.74648E-2</v>
      </c>
      <c r="E1421" s="14">
        <v>0.57034700000000005</v>
      </c>
      <c r="F1421" s="14">
        <v>9.1863200000000006E-2</v>
      </c>
      <c r="G1421" s="14">
        <v>3.3393679999999999</v>
      </c>
      <c r="H1421" s="14">
        <v>0.4130434</v>
      </c>
      <c r="R1421" s="11">
        <f t="shared" si="44"/>
        <v>8.0337844674749795E-5</v>
      </c>
      <c r="Z1421" s="11">
        <f t="shared" si="45"/>
        <v>1.0278837044307483E-4</v>
      </c>
    </row>
    <row r="1422" spans="1:26" x14ac:dyDescent="0.2">
      <c r="A1422" s="45">
        <v>271</v>
      </c>
      <c r="B1422" s="45">
        <v>1997</v>
      </c>
      <c r="C1422" s="17">
        <v>0</v>
      </c>
      <c r="D1422" s="14">
        <v>9.7972699999999996E-2</v>
      </c>
      <c r="E1422" s="14">
        <v>0.60581269999999998</v>
      </c>
      <c r="F1422" s="14">
        <v>0.1062097</v>
      </c>
      <c r="G1422" s="14">
        <v>3.6567729999999998</v>
      </c>
      <c r="H1422" s="14">
        <v>0.40799770000000002</v>
      </c>
      <c r="R1422" s="11">
        <f t="shared" si="44"/>
        <v>4.1023250073003866E-5</v>
      </c>
      <c r="Z1422" s="11">
        <f t="shared" si="45"/>
        <v>5.2802938028577441E-5</v>
      </c>
    </row>
    <row r="1423" spans="1:26" x14ac:dyDescent="0.2">
      <c r="A1423" s="45">
        <v>271</v>
      </c>
      <c r="B1423" s="45">
        <v>1998</v>
      </c>
      <c r="C1423" s="17">
        <v>0</v>
      </c>
      <c r="D1423" s="14">
        <v>0.12902549999999999</v>
      </c>
      <c r="E1423" s="14">
        <v>0.65169999999999995</v>
      </c>
      <c r="F1423" s="14">
        <v>9.3235399999999996E-2</v>
      </c>
      <c r="G1423" s="14">
        <v>2.9982190000000002</v>
      </c>
      <c r="H1423" s="14">
        <v>0.39592509999999997</v>
      </c>
      <c r="R1423" s="11">
        <f t="shared" si="44"/>
        <v>1.2158181034747247E-4</v>
      </c>
      <c r="Z1423" s="11">
        <f t="shared" si="45"/>
        <v>1.5734349705201145E-4</v>
      </c>
    </row>
    <row r="1424" spans="1:26" x14ac:dyDescent="0.2">
      <c r="A1424" s="45">
        <v>271</v>
      </c>
      <c r="B1424" s="45">
        <v>1999</v>
      </c>
      <c r="C1424" s="17">
        <v>0</v>
      </c>
      <c r="D1424" s="14">
        <v>0.19774659999999999</v>
      </c>
      <c r="E1424" s="14">
        <v>0.77592329999999998</v>
      </c>
      <c r="F1424" s="14">
        <v>8.2027699999999995E-2</v>
      </c>
      <c r="G1424" s="14">
        <v>2.317475</v>
      </c>
      <c r="H1424" s="14">
        <v>0.37247730000000001</v>
      </c>
      <c r="R1424" s="11">
        <f t="shared" si="44"/>
        <v>3.2840185222810235E-4</v>
      </c>
      <c r="Z1424" s="11">
        <f t="shared" si="45"/>
        <v>4.2926680938680159E-4</v>
      </c>
    </row>
    <row r="1425" spans="1:26" x14ac:dyDescent="0.2">
      <c r="A1425" s="45">
        <v>271</v>
      </c>
      <c r="B1425" s="45">
        <v>2000</v>
      </c>
      <c r="C1425" s="17">
        <v>0</v>
      </c>
      <c r="D1425" s="14">
        <v>0.17631450000000001</v>
      </c>
      <c r="E1425" s="14">
        <v>0.79117539999999997</v>
      </c>
      <c r="F1425" s="14">
        <v>8.0651E-2</v>
      </c>
      <c r="G1425" s="14">
        <v>3.0516770000000002</v>
      </c>
      <c r="H1425" s="14">
        <v>0.38081229999999999</v>
      </c>
      <c r="R1425" s="11">
        <f t="shared" si="44"/>
        <v>1.0081438313485902E-4</v>
      </c>
      <c r="Z1425" s="11">
        <f t="shared" si="45"/>
        <v>1.2959575208988907E-4</v>
      </c>
    </row>
    <row r="1426" spans="1:26" x14ac:dyDescent="0.2">
      <c r="A1426" s="45">
        <v>271</v>
      </c>
      <c r="B1426" s="45">
        <v>2001</v>
      </c>
      <c r="C1426" s="17">
        <v>0</v>
      </c>
      <c r="D1426" s="14">
        <v>0.2014493</v>
      </c>
      <c r="E1426" s="14">
        <v>0.8477015</v>
      </c>
      <c r="F1426" s="14">
        <v>0.1028709</v>
      </c>
      <c r="G1426" s="14">
        <v>3.4171909999999999</v>
      </c>
      <c r="H1426" s="14">
        <v>0.39288099999999998</v>
      </c>
      <c r="R1426" s="11">
        <f t="shared" si="44"/>
        <v>4.3420384556467115E-5</v>
      </c>
      <c r="Z1426" s="11">
        <f t="shared" si="45"/>
        <v>5.6496897564320932E-5</v>
      </c>
    </row>
    <row r="1427" spans="1:26" x14ac:dyDescent="0.2">
      <c r="A1427" s="45">
        <v>271</v>
      </c>
      <c r="B1427" s="45">
        <v>2002</v>
      </c>
      <c r="C1427" s="17">
        <v>0</v>
      </c>
      <c r="D1427" s="14">
        <v>0.24065349999999999</v>
      </c>
      <c r="E1427" s="14">
        <v>0.90312709999999996</v>
      </c>
      <c r="F1427" s="14">
        <v>0.106709</v>
      </c>
      <c r="G1427" s="14">
        <v>3.4022579999999998</v>
      </c>
      <c r="H1427" s="14">
        <v>0.35419099999999998</v>
      </c>
      <c r="R1427" s="11">
        <f t="shared" si="44"/>
        <v>3.9782958564052711E-5</v>
      </c>
      <c r="Z1427" s="11">
        <f t="shared" si="45"/>
        <v>5.2043030114086493E-5</v>
      </c>
    </row>
    <row r="1428" spans="1:26" x14ac:dyDescent="0.2">
      <c r="A1428" s="45">
        <v>271</v>
      </c>
      <c r="B1428" s="45">
        <v>2003</v>
      </c>
      <c r="C1428" s="17">
        <v>0</v>
      </c>
      <c r="D1428" s="14">
        <v>0.17046729999999999</v>
      </c>
      <c r="E1428" s="14">
        <v>0.9413686</v>
      </c>
      <c r="F1428" s="14">
        <v>9.9513599999999994E-2</v>
      </c>
      <c r="G1428" s="14">
        <v>3.3649330000000002</v>
      </c>
      <c r="H1428" s="14">
        <v>0.3557034</v>
      </c>
      <c r="R1428" s="11">
        <f t="shared" si="44"/>
        <v>4.2303487479344392E-5</v>
      </c>
      <c r="Z1428" s="11">
        <f t="shared" si="45"/>
        <v>5.5132305845119833E-5</v>
      </c>
    </row>
    <row r="1429" spans="1:26" x14ac:dyDescent="0.2">
      <c r="A1429" s="45">
        <v>271</v>
      </c>
      <c r="B1429" s="45">
        <v>2004</v>
      </c>
      <c r="C1429" s="17">
        <v>0</v>
      </c>
      <c r="D1429" s="14">
        <v>3.6675000000000002E-3</v>
      </c>
      <c r="E1429" s="14">
        <v>0.93353249999999999</v>
      </c>
      <c r="F1429" s="14">
        <v>0.111499</v>
      </c>
      <c r="G1429" s="14">
        <v>3.8405840000000002</v>
      </c>
      <c r="H1429" s="14">
        <v>0.3735561</v>
      </c>
      <c r="R1429" s="11">
        <f t="shared" si="44"/>
        <v>1.8218195719092874E-5</v>
      </c>
      <c r="Z1429" s="11">
        <f t="shared" si="45"/>
        <v>2.3721359247781505E-5</v>
      </c>
    </row>
    <row r="1430" spans="1:26" x14ac:dyDescent="0.2">
      <c r="A1430" s="45">
        <v>272</v>
      </c>
      <c r="B1430" s="45">
        <v>1996</v>
      </c>
      <c r="C1430" s="17">
        <v>0</v>
      </c>
      <c r="D1430" s="14">
        <v>0.3059171</v>
      </c>
      <c r="E1430" s="14">
        <v>0.48186760000000001</v>
      </c>
      <c r="F1430" s="14">
        <v>6.7819299999999999E-2</v>
      </c>
      <c r="G1430" s="14">
        <v>3.1813039999999999</v>
      </c>
      <c r="H1430" s="14">
        <v>0.40705809999999998</v>
      </c>
      <c r="R1430" s="11">
        <f t="shared" si="44"/>
        <v>1.4245811262804424E-4</v>
      </c>
      <c r="Z1430" s="11">
        <f t="shared" si="45"/>
        <v>1.7878872909509808E-4</v>
      </c>
    </row>
    <row r="1431" spans="1:26" x14ac:dyDescent="0.2">
      <c r="A1431" s="45">
        <v>272</v>
      </c>
      <c r="B1431" s="45">
        <v>1997</v>
      </c>
      <c r="C1431" s="17">
        <v>0</v>
      </c>
      <c r="D1431" s="14">
        <v>0.34109859999999997</v>
      </c>
      <c r="E1431" s="14">
        <v>0.50165800000000005</v>
      </c>
      <c r="F1431" s="14">
        <v>6.4013299999999995E-2</v>
      </c>
      <c r="G1431" s="14">
        <v>4.1432869999999999</v>
      </c>
      <c r="H1431" s="14">
        <v>0.39516469999999998</v>
      </c>
      <c r="R1431" s="11">
        <f t="shared" ref="R1431:R1494" si="46">1/(1+EXP(-(K$2+$M$2*E1431+$N$2*F1431+$O$2*G1431)))</f>
        <v>3.0809340298259721E-5</v>
      </c>
      <c r="Z1431" s="11">
        <f t="shared" si="45"/>
        <v>3.7764840769373806E-5</v>
      </c>
    </row>
    <row r="1432" spans="1:26" x14ac:dyDescent="0.2">
      <c r="A1432" s="45">
        <v>272</v>
      </c>
      <c r="B1432" s="45">
        <v>1998</v>
      </c>
      <c r="C1432" s="17">
        <v>0</v>
      </c>
      <c r="D1432" s="14">
        <v>0.2790937</v>
      </c>
      <c r="E1432" s="14">
        <v>0.52994450000000004</v>
      </c>
      <c r="F1432" s="14">
        <v>5.2148E-2</v>
      </c>
      <c r="G1432" s="14">
        <v>3.7537630000000002</v>
      </c>
      <c r="H1432" s="14">
        <v>0.33856570000000002</v>
      </c>
      <c r="R1432" s="11">
        <f t="shared" si="46"/>
        <v>6.048004673069185E-5</v>
      </c>
      <c r="Z1432" s="11">
        <f t="shared" si="45"/>
        <v>7.4120256882966194E-5</v>
      </c>
    </row>
    <row r="1433" spans="1:26" x14ac:dyDescent="0.2">
      <c r="A1433" s="45">
        <v>272</v>
      </c>
      <c r="B1433" s="45">
        <v>1999</v>
      </c>
      <c r="C1433" s="17">
        <v>0</v>
      </c>
      <c r="D1433" s="14">
        <v>0.24068690000000001</v>
      </c>
      <c r="E1433" s="14">
        <v>0.54233629999999999</v>
      </c>
      <c r="F1433" s="14">
        <v>5.0318300000000003E-2</v>
      </c>
      <c r="G1433" s="14">
        <v>4.4764989999999996</v>
      </c>
      <c r="H1433" s="14">
        <v>0.35907299999999998</v>
      </c>
      <c r="R1433" s="11">
        <f t="shared" si="46"/>
        <v>1.9053007723944316E-5</v>
      </c>
      <c r="Z1433" s="11">
        <f t="shared" si="45"/>
        <v>2.2956920054283379E-5</v>
      </c>
    </row>
    <row r="1434" spans="1:26" x14ac:dyDescent="0.2">
      <c r="A1434" s="45">
        <v>272</v>
      </c>
      <c r="B1434" s="45">
        <v>2000</v>
      </c>
      <c r="C1434" s="17">
        <v>0</v>
      </c>
      <c r="D1434" s="14">
        <v>0.28041129999999997</v>
      </c>
      <c r="E1434" s="14">
        <v>0.45368799999999998</v>
      </c>
      <c r="F1434" s="14">
        <v>6.5382899999999994E-2</v>
      </c>
      <c r="G1434" s="14">
        <v>4.6774380000000004</v>
      </c>
      <c r="H1434" s="14">
        <v>0.41550619999999999</v>
      </c>
      <c r="R1434" s="11">
        <f t="shared" si="46"/>
        <v>1.3949011972624301E-5</v>
      </c>
      <c r="Z1434" s="11">
        <f t="shared" si="45"/>
        <v>1.6889447918600042E-5</v>
      </c>
    </row>
    <row r="1435" spans="1:26" x14ac:dyDescent="0.2">
      <c r="A1435" s="45">
        <v>272</v>
      </c>
      <c r="B1435" s="45">
        <v>2001</v>
      </c>
      <c r="C1435" s="17">
        <v>0</v>
      </c>
      <c r="D1435" s="14">
        <v>0.26931480000000002</v>
      </c>
      <c r="E1435" s="14">
        <v>0.4589877</v>
      </c>
      <c r="F1435" s="14">
        <v>3.2943699999999999E-2</v>
      </c>
      <c r="G1435" s="14">
        <v>1.773164</v>
      </c>
      <c r="H1435" s="14">
        <v>0.35703439999999997</v>
      </c>
      <c r="R1435" s="11">
        <f t="shared" si="46"/>
        <v>1.8327990146271532E-3</v>
      </c>
      <c r="Z1435" s="11">
        <f t="shared" si="45"/>
        <v>2.3029794272844259E-3</v>
      </c>
    </row>
    <row r="1436" spans="1:26" x14ac:dyDescent="0.2">
      <c r="A1436" s="45">
        <v>272</v>
      </c>
      <c r="B1436" s="45">
        <v>2002</v>
      </c>
      <c r="C1436" s="17">
        <v>0</v>
      </c>
      <c r="D1436" s="14">
        <v>0.19966619999999999</v>
      </c>
      <c r="E1436" s="14">
        <v>0.19068060000000001</v>
      </c>
      <c r="F1436" s="14">
        <v>3.7967599999999997E-2</v>
      </c>
      <c r="G1436" s="14">
        <v>1.417921</v>
      </c>
      <c r="H1436" s="14">
        <v>0.28828740000000003</v>
      </c>
      <c r="R1436" s="11">
        <f t="shared" si="46"/>
        <v>4.5683439323010366E-3</v>
      </c>
      <c r="Z1436" s="11">
        <f t="shared" si="45"/>
        <v>5.751933126010798E-3</v>
      </c>
    </row>
    <row r="1437" spans="1:26" x14ac:dyDescent="0.2">
      <c r="A1437" s="45">
        <v>272</v>
      </c>
      <c r="B1437" s="45">
        <v>2003</v>
      </c>
      <c r="C1437" s="17">
        <v>0</v>
      </c>
      <c r="D1437" s="14">
        <v>0.21620710000000001</v>
      </c>
      <c r="E1437" s="14">
        <v>0.2141557</v>
      </c>
      <c r="F1437" s="14">
        <v>4.3656100000000003E-2</v>
      </c>
      <c r="G1437" s="14">
        <v>1.8749499999999999</v>
      </c>
      <c r="H1437" s="14">
        <v>0.31015409999999999</v>
      </c>
      <c r="R1437" s="11">
        <f t="shared" si="46"/>
        <v>2.0415946474942521E-3</v>
      </c>
      <c r="Z1437" s="11">
        <f t="shared" si="45"/>
        <v>2.5604658138271038E-3</v>
      </c>
    </row>
    <row r="1438" spans="1:26" x14ac:dyDescent="0.2">
      <c r="A1438" s="45">
        <v>272</v>
      </c>
      <c r="B1438" s="45">
        <v>2004</v>
      </c>
      <c r="C1438" s="17">
        <v>0</v>
      </c>
      <c r="D1438" s="14">
        <v>0.2173117</v>
      </c>
      <c r="E1438" s="14">
        <v>0.22902610000000001</v>
      </c>
      <c r="F1438" s="14">
        <v>5.28847E-2</v>
      </c>
      <c r="G1438" s="14">
        <v>1.484675</v>
      </c>
      <c r="H1438" s="14">
        <v>0.30883369999999999</v>
      </c>
      <c r="R1438" s="11">
        <f t="shared" si="46"/>
        <v>3.4515222734715586E-3</v>
      </c>
      <c r="Z1438" s="11">
        <f t="shared" si="45"/>
        <v>4.3995857583828575E-3</v>
      </c>
    </row>
    <row r="1439" spans="1:26" x14ac:dyDescent="0.2">
      <c r="A1439" s="45">
        <v>273</v>
      </c>
      <c r="B1439" s="45">
        <v>1995</v>
      </c>
      <c r="C1439" s="17">
        <v>0</v>
      </c>
      <c r="D1439" s="14">
        <v>0.3096544</v>
      </c>
      <c r="E1439" s="14">
        <v>-0.234043</v>
      </c>
      <c r="F1439" s="14">
        <v>5.5721899999999998E-2</v>
      </c>
      <c r="G1439" s="14">
        <v>1.140301</v>
      </c>
      <c r="H1439" s="14">
        <v>0.42513600000000001</v>
      </c>
      <c r="R1439" s="11">
        <f t="shared" si="46"/>
        <v>1.1361785281190442E-2</v>
      </c>
      <c r="Z1439" s="11">
        <f t="shared" si="45"/>
        <v>1.4366447959261383E-2</v>
      </c>
    </row>
    <row r="1440" spans="1:26" x14ac:dyDescent="0.2">
      <c r="A1440" s="45">
        <v>273</v>
      </c>
      <c r="B1440" s="45">
        <v>1996</v>
      </c>
      <c r="C1440" s="17">
        <v>0</v>
      </c>
      <c r="D1440" s="14">
        <v>0.2084627</v>
      </c>
      <c r="E1440" s="14">
        <v>-9.0012499999999995E-2</v>
      </c>
      <c r="F1440" s="14">
        <v>4.5408700000000003E-2</v>
      </c>
      <c r="G1440" s="14">
        <v>1.1716740000000001</v>
      </c>
      <c r="H1440" s="14">
        <v>0.32685009999999998</v>
      </c>
      <c r="R1440" s="11">
        <f t="shared" si="46"/>
        <v>9.5369753302084297E-3</v>
      </c>
      <c r="Z1440" s="11">
        <f t="shared" si="45"/>
        <v>1.2014898906136018E-2</v>
      </c>
    </row>
    <row r="1441" spans="1:26" x14ac:dyDescent="0.2">
      <c r="A1441" s="45">
        <v>273</v>
      </c>
      <c r="B1441" s="45">
        <v>1997</v>
      </c>
      <c r="C1441" s="17">
        <v>0</v>
      </c>
      <c r="D1441" s="14">
        <v>0.28330820000000001</v>
      </c>
      <c r="E1441" s="14">
        <v>2.0287999999999999E-3</v>
      </c>
      <c r="F1441" s="14">
        <v>6.7850400000000005E-2</v>
      </c>
      <c r="G1441" s="14">
        <v>1.6740919999999999</v>
      </c>
      <c r="H1441" s="14">
        <v>0.34326630000000002</v>
      </c>
      <c r="R1441" s="11">
        <f t="shared" si="46"/>
        <v>3.1506558520875941E-3</v>
      </c>
      <c r="Z1441" s="11">
        <f t="shared" si="45"/>
        <v>4.0176728815725796E-3</v>
      </c>
    </row>
    <row r="1442" spans="1:26" x14ac:dyDescent="0.2">
      <c r="A1442" s="45">
        <v>273</v>
      </c>
      <c r="B1442" s="45">
        <v>1998</v>
      </c>
      <c r="C1442" s="17">
        <v>0</v>
      </c>
      <c r="D1442" s="14">
        <v>0.1969977</v>
      </c>
      <c r="E1442" s="14">
        <v>4.5185599999999999E-2</v>
      </c>
      <c r="F1442" s="14">
        <v>5.3298400000000003E-2</v>
      </c>
      <c r="G1442" s="14">
        <v>0.31005470000000002</v>
      </c>
      <c r="H1442" s="14">
        <v>0.25319130000000001</v>
      </c>
      <c r="R1442" s="11">
        <f t="shared" si="46"/>
        <v>2.8481221199470524E-2</v>
      </c>
      <c r="Z1442" s="11">
        <f t="shared" si="45"/>
        <v>3.6753907205366858E-2</v>
      </c>
    </row>
    <row r="1443" spans="1:26" x14ac:dyDescent="0.2">
      <c r="A1443" s="45">
        <v>273</v>
      </c>
      <c r="B1443" s="45">
        <v>1999</v>
      </c>
      <c r="C1443" s="17">
        <v>0</v>
      </c>
      <c r="D1443" s="14">
        <v>0.1062864</v>
      </c>
      <c r="E1443" s="14">
        <v>4.9900600000000003E-2</v>
      </c>
      <c r="F1443" s="14">
        <v>2.9797199999999999E-2</v>
      </c>
      <c r="G1443" s="14">
        <v>0.23540720000000001</v>
      </c>
      <c r="H1443" s="14">
        <v>0.23966879999999999</v>
      </c>
      <c r="R1443" s="11">
        <f t="shared" si="46"/>
        <v>3.8069600551545894E-2</v>
      </c>
      <c r="Z1443" s="11">
        <f t="shared" si="45"/>
        <v>4.8179941106299688E-2</v>
      </c>
    </row>
    <row r="1444" spans="1:26" x14ac:dyDescent="0.2">
      <c r="A1444" s="45">
        <v>273</v>
      </c>
      <c r="B1444" s="45">
        <v>2000</v>
      </c>
      <c r="C1444" s="17">
        <v>0</v>
      </c>
      <c r="D1444" s="14">
        <v>0.14881720000000001</v>
      </c>
      <c r="E1444" s="14">
        <v>7.8081700000000004E-2</v>
      </c>
      <c r="F1444" s="14">
        <v>4.7823499999999998E-2</v>
      </c>
      <c r="G1444" s="14">
        <v>0.39657880000000001</v>
      </c>
      <c r="H1444" s="14">
        <v>0.23525109999999999</v>
      </c>
      <c r="R1444" s="11">
        <f t="shared" si="46"/>
        <v>2.4806323431602342E-2</v>
      </c>
      <c r="Z1444" s="11">
        <f t="shared" si="45"/>
        <v>3.1883869125736201E-2</v>
      </c>
    </row>
    <row r="1445" spans="1:26" x14ac:dyDescent="0.2">
      <c r="A1445" s="45">
        <v>273</v>
      </c>
      <c r="B1445" s="45">
        <v>2001</v>
      </c>
      <c r="C1445" s="17">
        <v>0</v>
      </c>
      <c r="D1445" s="14">
        <v>0.14729320000000001</v>
      </c>
      <c r="E1445" s="14">
        <v>-0.49496780000000001</v>
      </c>
      <c r="F1445" s="14">
        <v>3.3684199999999997E-2</v>
      </c>
      <c r="G1445" s="14">
        <v>0.16464670000000001</v>
      </c>
      <c r="H1445" s="14">
        <v>0.33085510000000001</v>
      </c>
      <c r="R1445" s="11">
        <f t="shared" si="46"/>
        <v>8.6621292167307976E-2</v>
      </c>
      <c r="Z1445" s="11">
        <f t="shared" si="45"/>
        <v>0.10683900281728138</v>
      </c>
    </row>
    <row r="1446" spans="1:26" x14ac:dyDescent="0.2">
      <c r="A1446" s="45">
        <v>273</v>
      </c>
      <c r="B1446" s="45">
        <v>2002</v>
      </c>
      <c r="C1446" s="17">
        <v>0</v>
      </c>
      <c r="D1446" s="14">
        <v>-0.71983410000000003</v>
      </c>
      <c r="E1446" s="14">
        <v>-0.53443779999999996</v>
      </c>
      <c r="F1446" s="14">
        <v>4.5596200000000003E-2</v>
      </c>
      <c r="G1446" s="14">
        <v>0.17510890000000001</v>
      </c>
      <c r="H1446" s="14">
        <v>0.32652490000000001</v>
      </c>
      <c r="R1446" s="11">
        <f t="shared" si="46"/>
        <v>8.2400309228786051E-2</v>
      </c>
      <c r="Z1446" s="11">
        <f t="shared" si="45"/>
        <v>0.10249267707874909</v>
      </c>
    </row>
    <row r="1447" spans="1:26" x14ac:dyDescent="0.2">
      <c r="A1447" s="45">
        <v>273</v>
      </c>
      <c r="B1447" s="45">
        <v>2003</v>
      </c>
      <c r="C1447" s="17">
        <v>0</v>
      </c>
      <c r="D1447" s="14">
        <v>0.2125572</v>
      </c>
      <c r="E1447" s="14">
        <v>-0.49721989999999999</v>
      </c>
      <c r="F1447" s="14">
        <v>5.5160099999999997E-2</v>
      </c>
      <c r="G1447" s="14">
        <v>0.42576700000000001</v>
      </c>
      <c r="H1447" s="14">
        <v>0.34411639999999999</v>
      </c>
      <c r="R1447" s="11">
        <f t="shared" si="46"/>
        <v>5.0199965358167925E-2</v>
      </c>
      <c r="Z1447" s="11">
        <f t="shared" si="45"/>
        <v>6.3192059384873919E-2</v>
      </c>
    </row>
    <row r="1448" spans="1:26" x14ac:dyDescent="0.2">
      <c r="A1448" s="45">
        <v>273</v>
      </c>
      <c r="B1448" s="45">
        <v>2004</v>
      </c>
      <c r="C1448" s="17">
        <v>0</v>
      </c>
      <c r="D1448" s="14">
        <v>0.22548029999999999</v>
      </c>
      <c r="E1448" s="14">
        <v>-0.39803820000000001</v>
      </c>
      <c r="F1448" s="14">
        <v>6.4145599999999997E-2</v>
      </c>
      <c r="G1448" s="14">
        <v>1.0620259999999999</v>
      </c>
      <c r="H1448" s="14">
        <v>0.39134449999999998</v>
      </c>
      <c r="R1448" s="11">
        <f t="shared" si="46"/>
        <v>1.521317177635241E-2</v>
      </c>
      <c r="Z1448" s="11">
        <f t="shared" si="45"/>
        <v>1.9273314082896724E-2</v>
      </c>
    </row>
    <row r="1449" spans="1:26" x14ac:dyDescent="0.2">
      <c r="A1449" s="45">
        <v>274</v>
      </c>
      <c r="B1449" s="45">
        <v>2004</v>
      </c>
      <c r="C1449" s="17">
        <v>0</v>
      </c>
      <c r="D1449" s="14">
        <v>0.25222519999999998</v>
      </c>
      <c r="E1449" s="14">
        <v>0.81613930000000001</v>
      </c>
      <c r="F1449" s="14">
        <v>6.80732E-2</v>
      </c>
      <c r="G1449" s="14">
        <v>3.5255969999999999</v>
      </c>
      <c r="H1449" s="14">
        <v>0.26122610000000002</v>
      </c>
      <c r="R1449" s="11">
        <f t="shared" si="46"/>
        <v>5.0521940547058578E-5</v>
      </c>
      <c r="Z1449" s="11">
        <f t="shared" si="45"/>
        <v>6.366733516926883E-5</v>
      </c>
    </row>
    <row r="1450" spans="1:26" x14ac:dyDescent="0.2">
      <c r="A1450" s="45">
        <v>275</v>
      </c>
      <c r="B1450" s="45">
        <v>1995</v>
      </c>
      <c r="C1450" s="17">
        <v>0</v>
      </c>
      <c r="D1450" s="14">
        <v>9.0367699999999995E-2</v>
      </c>
      <c r="E1450" s="14">
        <v>0.4343168</v>
      </c>
      <c r="F1450" s="14">
        <v>5.4695100000000003E-2</v>
      </c>
      <c r="G1450" s="14">
        <v>1.6712629999999999</v>
      </c>
      <c r="H1450" s="14">
        <v>0.1651724</v>
      </c>
      <c r="R1450" s="11">
        <f t="shared" si="46"/>
        <v>1.8777408677915824E-3</v>
      </c>
      <c r="Z1450" s="11">
        <f t="shared" si="45"/>
        <v>2.4051189621954092E-3</v>
      </c>
    </row>
    <row r="1451" spans="1:26" x14ac:dyDescent="0.2">
      <c r="A1451" s="45">
        <v>275</v>
      </c>
      <c r="B1451" s="45">
        <v>1996</v>
      </c>
      <c r="C1451" s="17">
        <v>0</v>
      </c>
      <c r="D1451" s="14">
        <v>5.41658E-2</v>
      </c>
      <c r="E1451" s="14">
        <v>0.15769230000000001</v>
      </c>
      <c r="F1451" s="14">
        <v>4.1683499999999998E-2</v>
      </c>
      <c r="G1451" s="14">
        <v>1.534518</v>
      </c>
      <c r="H1451" s="14">
        <v>0.1647411</v>
      </c>
      <c r="R1451" s="11">
        <f t="shared" si="46"/>
        <v>3.8662671146880399E-3</v>
      </c>
      <c r="Z1451" s="11">
        <f t="shared" si="45"/>
        <v>4.8656884269904742E-3</v>
      </c>
    </row>
    <row r="1452" spans="1:26" x14ac:dyDescent="0.2">
      <c r="A1452" s="45">
        <v>275</v>
      </c>
      <c r="B1452" s="45">
        <v>1997</v>
      </c>
      <c r="C1452" s="17">
        <v>0</v>
      </c>
      <c r="D1452" s="14">
        <v>4.3891600000000003E-2</v>
      </c>
      <c r="E1452" s="14">
        <v>0.16062129999999999</v>
      </c>
      <c r="F1452" s="14">
        <v>6.1511799999999998E-2</v>
      </c>
      <c r="G1452" s="14">
        <v>1.703551</v>
      </c>
      <c r="H1452" s="14">
        <v>0.20424229999999999</v>
      </c>
      <c r="R1452" s="11">
        <f t="shared" si="46"/>
        <v>2.5128326167407184E-3</v>
      </c>
      <c r="Z1452" s="11">
        <f t="shared" si="45"/>
        <v>3.2035890309928196E-3</v>
      </c>
    </row>
    <row r="1453" spans="1:26" x14ac:dyDescent="0.2">
      <c r="A1453" s="45">
        <v>275</v>
      </c>
      <c r="B1453" s="45">
        <v>1998</v>
      </c>
      <c r="C1453" s="17">
        <v>0</v>
      </c>
      <c r="D1453" s="14">
        <v>2.6822700000000001E-2</v>
      </c>
      <c r="E1453" s="14">
        <v>-5.7755800000000003E-2</v>
      </c>
      <c r="F1453" s="14">
        <v>6.1057199999999999E-2</v>
      </c>
      <c r="G1453" s="14">
        <v>1.3456680000000001</v>
      </c>
      <c r="H1453" s="14">
        <v>0.15178430000000001</v>
      </c>
      <c r="R1453" s="11">
        <f t="shared" si="46"/>
        <v>6.1060697546392612E-3</v>
      </c>
      <c r="Z1453" s="11">
        <f t="shared" si="45"/>
        <v>7.7770552030421531E-3</v>
      </c>
    </row>
    <row r="1454" spans="1:26" x14ac:dyDescent="0.2">
      <c r="A1454" s="45">
        <v>275</v>
      </c>
      <c r="B1454" s="45">
        <v>1999</v>
      </c>
      <c r="C1454" s="17">
        <v>0</v>
      </c>
      <c r="D1454" s="14">
        <v>2.74457E-2</v>
      </c>
      <c r="E1454" s="14">
        <v>1.12085E-2</v>
      </c>
      <c r="F1454" s="14">
        <v>3.5859700000000001E-2</v>
      </c>
      <c r="G1454" s="14">
        <v>0.47547590000000001</v>
      </c>
      <c r="H1454" s="14">
        <v>9.8662899999999998E-2</v>
      </c>
      <c r="R1454" s="11">
        <f t="shared" si="46"/>
        <v>2.6485036143705731E-2</v>
      </c>
      <c r="Z1454" s="11">
        <f t="shared" si="45"/>
        <v>3.3572989023909552E-2</v>
      </c>
    </row>
    <row r="1455" spans="1:26" x14ac:dyDescent="0.2">
      <c r="A1455" s="45">
        <v>275</v>
      </c>
      <c r="B1455" s="45">
        <v>2000</v>
      </c>
      <c r="C1455" s="17">
        <v>0</v>
      </c>
      <c r="D1455" s="14">
        <v>3.8560499999999998E-2</v>
      </c>
      <c r="E1455" s="14">
        <v>2.2856899999999999E-2</v>
      </c>
      <c r="F1455" s="14">
        <v>4.9891999999999999E-2</v>
      </c>
      <c r="G1455" s="14">
        <v>0.55262449999999996</v>
      </c>
      <c r="H1455" s="14">
        <v>0.1187338</v>
      </c>
      <c r="R1455" s="11">
        <f t="shared" si="46"/>
        <v>2.0704972283096049E-2</v>
      </c>
      <c r="Z1455" s="11">
        <f t="shared" si="45"/>
        <v>2.6550248422573228E-2</v>
      </c>
    </row>
    <row r="1456" spans="1:26" x14ac:dyDescent="0.2">
      <c r="A1456" s="45">
        <v>275</v>
      </c>
      <c r="B1456" s="45">
        <v>2001</v>
      </c>
      <c r="C1456" s="17">
        <v>0</v>
      </c>
      <c r="D1456" s="14">
        <v>3.5391199999999998E-2</v>
      </c>
      <c r="E1456" s="14">
        <v>5.1256000000000003E-2</v>
      </c>
      <c r="F1456" s="14">
        <v>5.2603499999999997E-2</v>
      </c>
      <c r="G1456" s="14">
        <v>0.6027747</v>
      </c>
      <c r="H1456" s="14">
        <v>0.12292790000000001</v>
      </c>
      <c r="R1456" s="11">
        <f t="shared" si="46"/>
        <v>1.7997509258634733E-2</v>
      </c>
      <c r="Z1456" s="11">
        <f t="shared" si="45"/>
        <v>2.3143702469048837E-2</v>
      </c>
    </row>
    <row r="1457" spans="1:26" x14ac:dyDescent="0.2">
      <c r="A1457" s="45">
        <v>275</v>
      </c>
      <c r="B1457" s="45">
        <v>2002</v>
      </c>
      <c r="C1457" s="17">
        <v>0</v>
      </c>
      <c r="D1457" s="14">
        <v>2.60062E-2</v>
      </c>
      <c r="E1457" s="14">
        <v>7.5293100000000002E-2</v>
      </c>
      <c r="F1457" s="14">
        <v>5.2896699999999998E-2</v>
      </c>
      <c r="G1457" s="14">
        <v>0.78956660000000001</v>
      </c>
      <c r="H1457" s="14">
        <v>0.13763819999999999</v>
      </c>
      <c r="R1457" s="11">
        <f t="shared" si="46"/>
        <v>1.2941032237650247E-2</v>
      </c>
      <c r="Z1457" s="11">
        <f t="shared" si="45"/>
        <v>1.661602180678335E-2</v>
      </c>
    </row>
    <row r="1458" spans="1:26" x14ac:dyDescent="0.2">
      <c r="A1458" s="45">
        <v>275</v>
      </c>
      <c r="B1458" s="45">
        <v>2003</v>
      </c>
      <c r="C1458" s="17">
        <v>0</v>
      </c>
      <c r="D1458" s="14">
        <v>5.8085499999999998E-2</v>
      </c>
      <c r="E1458" s="14">
        <v>9.4380800000000001E-2</v>
      </c>
      <c r="F1458" s="14">
        <v>4.8204200000000003E-2</v>
      </c>
      <c r="G1458" s="14">
        <v>1.121661</v>
      </c>
      <c r="H1458" s="14">
        <v>0.15551419999999999</v>
      </c>
      <c r="R1458" s="11">
        <f t="shared" si="46"/>
        <v>7.7385771692609845E-3</v>
      </c>
      <c r="Z1458" s="11">
        <f t="shared" si="45"/>
        <v>9.848101816873114E-3</v>
      </c>
    </row>
    <row r="1459" spans="1:26" x14ac:dyDescent="0.2">
      <c r="A1459" s="45">
        <v>275</v>
      </c>
      <c r="B1459" s="45">
        <v>2004</v>
      </c>
      <c r="C1459" s="17">
        <v>0</v>
      </c>
      <c r="D1459" s="14">
        <v>8.8965299999999997E-2</v>
      </c>
      <c r="E1459" s="14">
        <v>0.10574600000000001</v>
      </c>
      <c r="F1459" s="14">
        <v>5.78703E-2</v>
      </c>
      <c r="G1459" s="14">
        <v>1.5774049999999999</v>
      </c>
      <c r="H1459" s="14">
        <v>0.15757869999999999</v>
      </c>
      <c r="R1459" s="11">
        <f t="shared" si="46"/>
        <v>3.4227419211697828E-3</v>
      </c>
      <c r="Z1459" s="11">
        <f t="shared" si="45"/>
        <v>4.3534711258003669E-3</v>
      </c>
    </row>
    <row r="1460" spans="1:26" x14ac:dyDescent="0.2">
      <c r="A1460" s="45">
        <v>276</v>
      </c>
      <c r="B1460" s="45">
        <v>2002</v>
      </c>
      <c r="C1460" s="17">
        <v>0</v>
      </c>
      <c r="D1460" s="14">
        <v>9.5161599999999999E-2</v>
      </c>
      <c r="E1460" s="14">
        <v>0.1198607</v>
      </c>
      <c r="F1460" s="14">
        <v>2.7246200000000002E-2</v>
      </c>
      <c r="G1460" s="14">
        <v>0.20028509999999999</v>
      </c>
      <c r="H1460" s="14">
        <v>0.25421490000000002</v>
      </c>
      <c r="R1460" s="11">
        <f t="shared" si="46"/>
        <v>3.7152160230417453E-2</v>
      </c>
      <c r="Z1460" s="11">
        <f t="shared" si="45"/>
        <v>4.7079207959373801E-2</v>
      </c>
    </row>
    <row r="1461" spans="1:26" x14ac:dyDescent="0.2">
      <c r="A1461" s="45">
        <v>276</v>
      </c>
      <c r="B1461" s="45">
        <v>2003</v>
      </c>
      <c r="C1461" s="17">
        <v>0</v>
      </c>
      <c r="D1461" s="14">
        <v>0.12898180000000001</v>
      </c>
      <c r="E1461" s="14">
        <v>0.1584546</v>
      </c>
      <c r="F1461" s="14">
        <v>4.7031700000000003E-2</v>
      </c>
      <c r="G1461" s="14">
        <v>0.40490900000000002</v>
      </c>
      <c r="H1461" s="14">
        <v>0.31152609999999997</v>
      </c>
      <c r="R1461" s="11">
        <f t="shared" si="46"/>
        <v>2.1981171934945625E-2</v>
      </c>
      <c r="Z1461" s="11">
        <f t="shared" si="45"/>
        <v>2.8328908112512048E-2</v>
      </c>
    </row>
    <row r="1462" spans="1:26" x14ac:dyDescent="0.2">
      <c r="A1462" s="45">
        <v>276</v>
      </c>
      <c r="B1462" s="45">
        <v>2004</v>
      </c>
      <c r="C1462" s="17">
        <v>0</v>
      </c>
      <c r="D1462" s="14">
        <v>0.17132610000000001</v>
      </c>
      <c r="E1462" s="14">
        <v>0.18431169999999999</v>
      </c>
      <c r="F1462" s="14">
        <v>5.4196000000000001E-2</v>
      </c>
      <c r="G1462" s="14">
        <v>0.33259460000000002</v>
      </c>
      <c r="H1462" s="14">
        <v>0.29149819999999999</v>
      </c>
      <c r="R1462" s="11">
        <f t="shared" si="46"/>
        <v>2.2422618099163499E-2</v>
      </c>
      <c r="Z1462" s="11">
        <f t="shared" si="45"/>
        <v>2.9129324450937015E-2</v>
      </c>
    </row>
    <row r="1463" spans="1:26" x14ac:dyDescent="0.2">
      <c r="A1463" s="45">
        <v>277</v>
      </c>
      <c r="B1463" s="45">
        <v>1997</v>
      </c>
      <c r="C1463" s="17">
        <v>0</v>
      </c>
      <c r="D1463" s="14">
        <v>3.5773600000000003E-2</v>
      </c>
      <c r="E1463" s="14">
        <v>1.7212499999999999E-2</v>
      </c>
      <c r="F1463" s="14">
        <v>5.7371900000000003E-2</v>
      </c>
      <c r="G1463" s="14">
        <v>2.9545689999999998</v>
      </c>
      <c r="H1463" s="14">
        <v>0.23712820000000001</v>
      </c>
      <c r="R1463" s="11">
        <f t="shared" si="46"/>
        <v>4.3670798389753619E-4</v>
      </c>
      <c r="Z1463" s="11">
        <f t="shared" si="45"/>
        <v>5.3746289497932237E-4</v>
      </c>
    </row>
    <row r="1464" spans="1:26" x14ac:dyDescent="0.2">
      <c r="A1464" s="45">
        <v>277</v>
      </c>
      <c r="B1464" s="45">
        <v>1998</v>
      </c>
      <c r="C1464" s="17">
        <v>0</v>
      </c>
      <c r="D1464" s="14">
        <v>-3.3647999999999998E-3</v>
      </c>
      <c r="E1464" s="14">
        <v>3.9152399999999997E-2</v>
      </c>
      <c r="F1464" s="14">
        <v>4.7760299999999999E-2</v>
      </c>
      <c r="G1464" s="14">
        <v>0.36060360000000002</v>
      </c>
      <c r="H1464" s="14">
        <v>0.20314989999999999</v>
      </c>
      <c r="R1464" s="11">
        <f t="shared" si="46"/>
        <v>2.7730555536076132E-2</v>
      </c>
      <c r="Z1464" s="11">
        <f t="shared" si="45"/>
        <v>3.5591560356826257E-2</v>
      </c>
    </row>
    <row r="1465" spans="1:26" x14ac:dyDescent="0.2">
      <c r="A1465" s="45">
        <v>277</v>
      </c>
      <c r="B1465" s="45">
        <v>1999</v>
      </c>
      <c r="C1465" s="17">
        <v>0</v>
      </c>
      <c r="D1465" s="14">
        <v>0.30596699999999999</v>
      </c>
      <c r="E1465" s="14">
        <v>8.9963000000000001E-2</v>
      </c>
      <c r="F1465" s="14">
        <v>3.2089899999999998E-2</v>
      </c>
      <c r="G1465" s="14">
        <v>0.79700720000000003</v>
      </c>
      <c r="H1465" s="14">
        <v>0.18374289999999999</v>
      </c>
      <c r="R1465" s="11">
        <f t="shared" si="46"/>
        <v>1.4758326559427104E-2</v>
      </c>
      <c r="Z1465" s="11">
        <f t="shared" si="45"/>
        <v>1.8631370807809459E-2</v>
      </c>
    </row>
    <row r="1466" spans="1:26" x14ac:dyDescent="0.2">
      <c r="A1466" s="45">
        <v>277</v>
      </c>
      <c r="B1466" s="45">
        <v>2000</v>
      </c>
      <c r="C1466" s="17">
        <v>0</v>
      </c>
      <c r="D1466" s="14">
        <v>0.17504459999999999</v>
      </c>
      <c r="E1466" s="14">
        <v>0.17139480000000001</v>
      </c>
      <c r="F1466" s="14">
        <v>4.08537E-2</v>
      </c>
      <c r="G1466" s="14">
        <v>0.6066066</v>
      </c>
      <c r="H1466" s="14">
        <v>0.16382969999999999</v>
      </c>
      <c r="R1466" s="11">
        <f t="shared" si="46"/>
        <v>1.6525876339796231E-2</v>
      </c>
      <c r="Z1466" s="11">
        <f t="shared" si="45"/>
        <v>2.1144213461463137E-2</v>
      </c>
    </row>
    <row r="1467" spans="1:26" x14ac:dyDescent="0.2">
      <c r="A1467" s="45">
        <v>277</v>
      </c>
      <c r="B1467" s="45">
        <v>2001</v>
      </c>
      <c r="C1467" s="17">
        <v>0</v>
      </c>
      <c r="D1467" s="14">
        <v>0.1926197</v>
      </c>
      <c r="E1467" s="14">
        <v>0.1369998</v>
      </c>
      <c r="F1467" s="14">
        <v>3.5041700000000002E-2</v>
      </c>
      <c r="G1467" s="14">
        <v>0.27615390000000001</v>
      </c>
      <c r="H1467" s="14">
        <v>0.1452532</v>
      </c>
      <c r="R1467" s="11">
        <f t="shared" si="46"/>
        <v>3.0381912310195987E-2</v>
      </c>
      <c r="Z1467" s="11">
        <f t="shared" si="45"/>
        <v>3.8769700984285019E-2</v>
      </c>
    </row>
    <row r="1468" spans="1:26" x14ac:dyDescent="0.2">
      <c r="A1468" s="45">
        <v>277</v>
      </c>
      <c r="B1468" s="45">
        <v>2002</v>
      </c>
      <c r="C1468" s="17">
        <v>0</v>
      </c>
      <c r="D1468" s="14">
        <v>0.1230319</v>
      </c>
      <c r="E1468" s="14">
        <v>5.9874700000000003E-2</v>
      </c>
      <c r="F1468" s="14">
        <v>4.5137900000000002E-2</v>
      </c>
      <c r="G1468" s="14">
        <v>0.32176969999999999</v>
      </c>
      <c r="H1468" s="14">
        <v>0.1763747</v>
      </c>
      <c r="R1468" s="11">
        <f t="shared" si="46"/>
        <v>2.9188245089494746E-2</v>
      </c>
      <c r="Z1468" s="11">
        <f t="shared" si="45"/>
        <v>3.7425509296046357E-2</v>
      </c>
    </row>
    <row r="1469" spans="1:26" x14ac:dyDescent="0.2">
      <c r="A1469" s="45">
        <v>277</v>
      </c>
      <c r="B1469" s="45">
        <v>2003</v>
      </c>
      <c r="C1469" s="17">
        <v>0</v>
      </c>
      <c r="D1469" s="14">
        <v>7.3428999999999994E-2</v>
      </c>
      <c r="E1469" s="14">
        <v>2.0519099999999998E-2</v>
      </c>
      <c r="F1469" s="14">
        <v>4.5816299999999997E-2</v>
      </c>
      <c r="G1469" s="14">
        <v>0.33842410000000001</v>
      </c>
      <c r="H1469" s="14">
        <v>0.15598670000000001</v>
      </c>
      <c r="R1469" s="11">
        <f t="shared" si="46"/>
        <v>2.9912506925567416E-2</v>
      </c>
      <c r="Z1469" s="11">
        <f t="shared" si="45"/>
        <v>3.8303353575585911E-2</v>
      </c>
    </row>
    <row r="1470" spans="1:26" x14ac:dyDescent="0.2">
      <c r="A1470" s="45">
        <v>277</v>
      </c>
      <c r="B1470" s="45">
        <v>2004</v>
      </c>
      <c r="C1470" s="17">
        <v>0</v>
      </c>
      <c r="D1470" s="14">
        <v>0.10728939999999999</v>
      </c>
      <c r="E1470" s="14">
        <v>4.2527500000000003E-2</v>
      </c>
      <c r="F1470" s="14">
        <v>2.1659999999999999E-2</v>
      </c>
      <c r="G1470" s="14">
        <v>1.013609</v>
      </c>
      <c r="H1470" s="14">
        <v>0.14080129999999999</v>
      </c>
      <c r="R1470" s="11">
        <f t="shared" si="46"/>
        <v>1.2202301750544728E-2</v>
      </c>
      <c r="Z1470" s="11">
        <f t="shared" si="45"/>
        <v>1.5189866655090986E-2</v>
      </c>
    </row>
    <row r="1471" spans="1:26" x14ac:dyDescent="0.2">
      <c r="A1471" s="45">
        <v>278</v>
      </c>
      <c r="B1471" s="45">
        <v>1995</v>
      </c>
      <c r="C1471" s="17">
        <v>0</v>
      </c>
      <c r="D1471" s="14">
        <v>0.18353839999999999</v>
      </c>
      <c r="E1471" s="14">
        <v>0.3734188</v>
      </c>
      <c r="F1471" s="14">
        <v>6.6791199999999995E-2</v>
      </c>
      <c r="G1471" s="14">
        <v>9.3119449999999997</v>
      </c>
      <c r="H1471" s="14">
        <v>0.5340009</v>
      </c>
      <c r="R1471" s="11">
        <f t="shared" si="46"/>
        <v>9.61286570706378E-9</v>
      </c>
      <c r="Z1471" s="11">
        <f t="shared" si="45"/>
        <v>1.0493235254517313E-8</v>
      </c>
    </row>
    <row r="1472" spans="1:26" x14ac:dyDescent="0.2">
      <c r="A1472" s="45">
        <v>278</v>
      </c>
      <c r="B1472" s="45">
        <v>1996</v>
      </c>
      <c r="C1472" s="17">
        <v>0</v>
      </c>
      <c r="D1472" s="14">
        <v>0.23874680000000001</v>
      </c>
      <c r="E1472" s="14">
        <v>0.40074549999999998</v>
      </c>
      <c r="F1472" s="14">
        <v>7.3288699999999998E-2</v>
      </c>
      <c r="G1472" s="14">
        <v>7.0470079999999999</v>
      </c>
      <c r="H1472" s="14">
        <v>0.57328100000000004</v>
      </c>
      <c r="R1472" s="11">
        <f t="shared" si="46"/>
        <v>3.2401346610050832E-7</v>
      </c>
      <c r="Z1472" s="11">
        <f t="shared" si="45"/>
        <v>3.7411116332269921E-7</v>
      </c>
    </row>
    <row r="1473" spans="1:26" x14ac:dyDescent="0.2">
      <c r="A1473" s="45">
        <v>278</v>
      </c>
      <c r="B1473" s="45">
        <v>1997</v>
      </c>
      <c r="C1473" s="17">
        <v>0</v>
      </c>
      <c r="D1473" s="14">
        <v>0.2197654</v>
      </c>
      <c r="E1473" s="14">
        <v>0.40558860000000002</v>
      </c>
      <c r="F1473" s="14">
        <v>8.04343E-2</v>
      </c>
      <c r="G1473" s="14">
        <v>10.75517</v>
      </c>
      <c r="H1473" s="14">
        <v>0.53564979999999995</v>
      </c>
      <c r="R1473" s="11">
        <f t="shared" si="46"/>
        <v>8.2471274864358901E-10</v>
      </c>
      <c r="Z1473" s="11">
        <f t="shared" si="45"/>
        <v>8.828609633388606E-10</v>
      </c>
    </row>
    <row r="1474" spans="1:26" x14ac:dyDescent="0.2">
      <c r="A1474" s="45">
        <v>278</v>
      </c>
      <c r="B1474" s="45">
        <v>1998</v>
      </c>
      <c r="C1474" s="17">
        <v>0</v>
      </c>
      <c r="D1474" s="14">
        <v>0.18685640000000001</v>
      </c>
      <c r="E1474" s="14">
        <v>0.47088629999999998</v>
      </c>
      <c r="F1474" s="14">
        <v>9.3429999999999999E-2</v>
      </c>
      <c r="G1474" s="14">
        <v>18.914529999999999</v>
      </c>
      <c r="H1474" s="14">
        <v>0.57070419999999999</v>
      </c>
      <c r="R1474" s="11">
        <f t="shared" si="46"/>
        <v>1.5237646155494614E-15</v>
      </c>
      <c r="Z1474" s="11">
        <f t="shared" ref="Z1474:Z1537" si="47">1/(1+EXP(-(U$2+$V$2*E1474+$W$2*F1474+$X$2*G1474)))</f>
        <v>1.3806127867877675E-15</v>
      </c>
    </row>
    <row r="1475" spans="1:26" x14ac:dyDescent="0.2">
      <c r="A1475" s="45">
        <v>278</v>
      </c>
      <c r="B1475" s="45">
        <v>1999</v>
      </c>
      <c r="C1475" s="17">
        <v>0</v>
      </c>
      <c r="D1475" s="14">
        <v>0.19791909999999999</v>
      </c>
      <c r="E1475" s="14">
        <v>0.48913810000000002</v>
      </c>
      <c r="F1475" s="14">
        <v>8.9363999999999999E-2</v>
      </c>
      <c r="G1475" s="14">
        <v>27.542770000000001</v>
      </c>
      <c r="H1475" s="14">
        <v>0.57048209999999999</v>
      </c>
      <c r="R1475" s="11">
        <f t="shared" si="46"/>
        <v>1.6368389848308516E-21</v>
      </c>
      <c r="Z1475" s="11">
        <f t="shared" si="47"/>
        <v>1.2231113413884606E-21</v>
      </c>
    </row>
    <row r="1476" spans="1:26" x14ac:dyDescent="0.2">
      <c r="A1476" s="45">
        <v>278</v>
      </c>
      <c r="B1476" s="45">
        <v>2000</v>
      </c>
      <c r="C1476" s="17">
        <v>0</v>
      </c>
      <c r="D1476" s="14">
        <v>0.1870203</v>
      </c>
      <c r="E1476" s="14">
        <v>0.49645109999999998</v>
      </c>
      <c r="F1476" s="14">
        <v>7.7915399999999996E-2</v>
      </c>
      <c r="G1476" s="14">
        <v>17.55969</v>
      </c>
      <c r="H1476" s="14">
        <v>0.50274649999999999</v>
      </c>
      <c r="R1476" s="11">
        <f t="shared" si="46"/>
        <v>1.4399300560217606E-14</v>
      </c>
      <c r="Z1476" s="11">
        <f t="shared" si="47"/>
        <v>1.3283430335425642E-14</v>
      </c>
    </row>
    <row r="1477" spans="1:26" x14ac:dyDescent="0.2">
      <c r="A1477" s="45">
        <v>278</v>
      </c>
      <c r="B1477" s="45">
        <v>2001</v>
      </c>
      <c r="C1477" s="17">
        <v>0</v>
      </c>
      <c r="D1477" s="14">
        <v>0.16782649999999999</v>
      </c>
      <c r="E1477" s="14">
        <v>0.50296529999999995</v>
      </c>
      <c r="F1477" s="14">
        <v>7.3828900000000003E-2</v>
      </c>
      <c r="G1477" s="14">
        <v>14.154170000000001</v>
      </c>
      <c r="H1477" s="14">
        <v>0.54501940000000004</v>
      </c>
      <c r="R1477" s="11">
        <f t="shared" si="46"/>
        <v>3.3523368869454736E-12</v>
      </c>
      <c r="Z1477" s="11">
        <f t="shared" si="47"/>
        <v>3.3229837041043771E-12</v>
      </c>
    </row>
    <row r="1478" spans="1:26" x14ac:dyDescent="0.2">
      <c r="A1478" s="45">
        <v>278</v>
      </c>
      <c r="B1478" s="45">
        <v>2002</v>
      </c>
      <c r="C1478" s="17">
        <v>0</v>
      </c>
      <c r="D1478" s="14">
        <v>0.14929310000000001</v>
      </c>
      <c r="E1478" s="14">
        <v>0.55329660000000003</v>
      </c>
      <c r="F1478" s="14">
        <v>7.48973E-2</v>
      </c>
      <c r="G1478" s="14">
        <v>4.7817800000000004</v>
      </c>
      <c r="H1478" s="14">
        <v>0.47590369999999999</v>
      </c>
      <c r="R1478" s="11">
        <f t="shared" si="46"/>
        <v>9.4706272261195527E-6</v>
      </c>
      <c r="Z1478" s="11">
        <f t="shared" si="47"/>
        <v>1.1569724716407274E-5</v>
      </c>
    </row>
    <row r="1479" spans="1:26" x14ac:dyDescent="0.2">
      <c r="A1479" s="45">
        <v>278</v>
      </c>
      <c r="B1479" s="45">
        <v>2003</v>
      </c>
      <c r="C1479" s="17">
        <v>0</v>
      </c>
      <c r="D1479" s="14">
        <v>0.13180710000000001</v>
      </c>
      <c r="E1479" s="14">
        <v>0.59694449999999999</v>
      </c>
      <c r="F1479" s="14">
        <v>7.84305E-2</v>
      </c>
      <c r="G1479" s="14">
        <v>6.7333920000000003</v>
      </c>
      <c r="H1479" s="14">
        <v>0.46682170000000001</v>
      </c>
      <c r="R1479" s="11">
        <f t="shared" si="46"/>
        <v>3.8535103401021038E-7</v>
      </c>
      <c r="Z1479" s="11">
        <f t="shared" si="47"/>
        <v>4.5294400925375473E-7</v>
      </c>
    </row>
    <row r="1480" spans="1:26" x14ac:dyDescent="0.2">
      <c r="A1480" s="45">
        <v>278</v>
      </c>
      <c r="B1480" s="45">
        <v>2004</v>
      </c>
      <c r="C1480" s="17">
        <v>0</v>
      </c>
      <c r="D1480" s="14">
        <v>0.1213902</v>
      </c>
      <c r="E1480" s="14">
        <v>0.65804339999999995</v>
      </c>
      <c r="F1480" s="14">
        <v>7.2194499999999995E-2</v>
      </c>
      <c r="G1480" s="14">
        <v>6.1687620000000001</v>
      </c>
      <c r="H1480" s="14">
        <v>0.47319929999999999</v>
      </c>
      <c r="R1480" s="11">
        <f t="shared" si="46"/>
        <v>9.114058891533993E-7</v>
      </c>
      <c r="Z1480" s="11">
        <f t="shared" si="47"/>
        <v>1.0814073339447276E-6</v>
      </c>
    </row>
    <row r="1481" spans="1:26" x14ac:dyDescent="0.2">
      <c r="A1481" s="45">
        <v>279</v>
      </c>
      <c r="B1481" s="45">
        <v>1995</v>
      </c>
      <c r="C1481" s="17">
        <v>0</v>
      </c>
      <c r="D1481" s="14">
        <v>0.23379720000000001</v>
      </c>
      <c r="E1481" s="14">
        <v>0.1152393</v>
      </c>
      <c r="F1481" s="14">
        <v>4.6764800000000002E-2</v>
      </c>
      <c r="G1481" s="14">
        <v>3.22</v>
      </c>
      <c r="H1481" s="14">
        <v>0.17568619999999999</v>
      </c>
      <c r="R1481" s="11">
        <f t="shared" si="46"/>
        <v>2.7009019187982221E-4</v>
      </c>
      <c r="Z1481" s="11">
        <f t="shared" si="47"/>
        <v>3.2872229702476127E-4</v>
      </c>
    </row>
    <row r="1482" spans="1:26" x14ac:dyDescent="0.2">
      <c r="A1482" s="45">
        <v>279</v>
      </c>
      <c r="B1482" s="45">
        <v>1996</v>
      </c>
      <c r="C1482" s="17">
        <v>0</v>
      </c>
      <c r="D1482" s="14">
        <v>0.21476310000000001</v>
      </c>
      <c r="E1482" s="14">
        <v>0.1369022</v>
      </c>
      <c r="F1482" s="14">
        <v>4.8189599999999999E-2</v>
      </c>
      <c r="G1482" s="14">
        <v>2.9532829999999999</v>
      </c>
      <c r="H1482" s="14">
        <v>0.1475805</v>
      </c>
      <c r="R1482" s="11">
        <f t="shared" si="46"/>
        <v>3.9574638017774908E-4</v>
      </c>
      <c r="Z1482" s="11">
        <f t="shared" si="47"/>
        <v>4.8540507975333713E-4</v>
      </c>
    </row>
    <row r="1483" spans="1:26" x14ac:dyDescent="0.2">
      <c r="A1483" s="45">
        <v>279</v>
      </c>
      <c r="B1483" s="45">
        <v>1997</v>
      </c>
      <c r="C1483" s="17">
        <v>0</v>
      </c>
      <c r="D1483" s="14">
        <v>0.23664959999999999</v>
      </c>
      <c r="E1483" s="14">
        <v>-2.5876900000000001E-2</v>
      </c>
      <c r="F1483" s="14">
        <v>1.4050200000000001E-2</v>
      </c>
      <c r="G1483" s="14">
        <v>1.698472</v>
      </c>
      <c r="H1483" s="14">
        <v>0.20013130000000001</v>
      </c>
      <c r="R1483" s="11">
        <f t="shared" si="46"/>
        <v>4.8451778443601512E-3</v>
      </c>
      <c r="Z1483" s="11">
        <f t="shared" si="47"/>
        <v>5.9019950504320632E-3</v>
      </c>
    </row>
    <row r="1484" spans="1:26" x14ac:dyDescent="0.2">
      <c r="A1484" s="45">
        <v>279</v>
      </c>
      <c r="B1484" s="45">
        <v>1998</v>
      </c>
      <c r="C1484" s="17">
        <v>0</v>
      </c>
      <c r="D1484" s="14">
        <v>0.215915</v>
      </c>
      <c r="E1484" s="14">
        <v>-0.20815120000000001</v>
      </c>
      <c r="F1484" s="14">
        <v>3.3295999999999999E-2</v>
      </c>
      <c r="G1484" s="14">
        <v>2.420064</v>
      </c>
      <c r="H1484" s="14">
        <v>0.1534179</v>
      </c>
      <c r="R1484" s="11">
        <f t="shared" si="46"/>
        <v>1.719918610763007E-3</v>
      </c>
      <c r="Z1484" s="11">
        <f t="shared" si="47"/>
        <v>2.0832301487291702E-3</v>
      </c>
    </row>
    <row r="1485" spans="1:26" x14ac:dyDescent="0.2">
      <c r="A1485" s="45">
        <v>279</v>
      </c>
      <c r="B1485" s="45">
        <v>2000</v>
      </c>
      <c r="C1485" s="17">
        <v>0</v>
      </c>
      <c r="D1485" s="14">
        <v>0.16255339999999999</v>
      </c>
      <c r="E1485" s="14">
        <v>-0.44794929999999999</v>
      </c>
      <c r="F1485" s="14">
        <v>2.54367E-2</v>
      </c>
      <c r="G1485" s="14">
        <v>1.363785</v>
      </c>
      <c r="H1485" s="14">
        <v>0.1486796</v>
      </c>
      <c r="R1485" s="11">
        <f t="shared" si="46"/>
        <v>1.3803432311115244E-2</v>
      </c>
      <c r="Z1485" s="11">
        <f t="shared" si="47"/>
        <v>1.6818194849368626E-2</v>
      </c>
    </row>
    <row r="1486" spans="1:26" x14ac:dyDescent="0.2">
      <c r="A1486" s="45">
        <v>280</v>
      </c>
      <c r="B1486" s="45">
        <v>1995</v>
      </c>
      <c r="C1486" s="17">
        <v>0</v>
      </c>
      <c r="D1486" s="14">
        <v>0.1854124</v>
      </c>
      <c r="E1486" s="14">
        <v>0.60753710000000005</v>
      </c>
      <c r="F1486" s="14">
        <v>6.2825800000000001E-2</v>
      </c>
      <c r="G1486" s="14">
        <v>2.0745779999999998</v>
      </c>
      <c r="H1486" s="14">
        <v>0.41908909999999999</v>
      </c>
      <c r="R1486" s="11">
        <f t="shared" si="46"/>
        <v>7.2007800119240617E-4</v>
      </c>
      <c r="Z1486" s="11">
        <f t="shared" si="47"/>
        <v>9.2605388853738162E-4</v>
      </c>
    </row>
    <row r="1487" spans="1:26" x14ac:dyDescent="0.2">
      <c r="A1487" s="45">
        <v>280</v>
      </c>
      <c r="B1487" s="45">
        <v>1996</v>
      </c>
      <c r="C1487" s="17">
        <v>0</v>
      </c>
      <c r="D1487" s="14">
        <v>0.20234659999999999</v>
      </c>
      <c r="E1487" s="14">
        <v>0.59496519999999997</v>
      </c>
      <c r="F1487" s="14">
        <v>6.6884600000000002E-2</v>
      </c>
      <c r="G1487" s="14">
        <v>2.5504009999999999</v>
      </c>
      <c r="H1487" s="14">
        <v>0.41491299999999998</v>
      </c>
      <c r="R1487" s="11">
        <f t="shared" si="46"/>
        <v>3.3271675703340861E-4</v>
      </c>
      <c r="Z1487" s="11">
        <f t="shared" si="47"/>
        <v>4.2470566795827766E-4</v>
      </c>
    </row>
    <row r="1488" spans="1:26" x14ac:dyDescent="0.2">
      <c r="A1488" s="45">
        <v>280</v>
      </c>
      <c r="B1488" s="45">
        <v>1997</v>
      </c>
      <c r="C1488" s="17">
        <v>0</v>
      </c>
      <c r="D1488" s="14">
        <v>0.1923067</v>
      </c>
      <c r="E1488" s="14">
        <v>0.55705590000000005</v>
      </c>
      <c r="F1488" s="14">
        <v>8.5747599999999993E-2</v>
      </c>
      <c r="G1488" s="14">
        <v>2.1751740000000002</v>
      </c>
      <c r="H1488" s="14">
        <v>0.38974039999999999</v>
      </c>
      <c r="R1488" s="11">
        <f t="shared" si="46"/>
        <v>5.4964287380420036E-4</v>
      </c>
      <c r="Z1488" s="11">
        <f t="shared" si="47"/>
        <v>7.1746434689857086E-4</v>
      </c>
    </row>
    <row r="1489" spans="1:26" x14ac:dyDescent="0.2">
      <c r="A1489" s="45">
        <v>280</v>
      </c>
      <c r="B1489" s="45">
        <v>1998</v>
      </c>
      <c r="C1489" s="17">
        <v>0</v>
      </c>
      <c r="D1489" s="14">
        <v>0.17916899999999999</v>
      </c>
      <c r="E1489" s="14">
        <v>0.55710360000000003</v>
      </c>
      <c r="F1489" s="14">
        <v>8.1701099999999999E-2</v>
      </c>
      <c r="G1489" s="14">
        <v>2.1807859999999999</v>
      </c>
      <c r="H1489" s="14">
        <v>0.34889530000000002</v>
      </c>
      <c r="R1489" s="11">
        <f t="shared" si="46"/>
        <v>5.6262388254401372E-4</v>
      </c>
      <c r="Z1489" s="11">
        <f t="shared" si="47"/>
        <v>7.3188657553479013E-4</v>
      </c>
    </row>
    <row r="1490" spans="1:26" x14ac:dyDescent="0.2">
      <c r="A1490" s="45">
        <v>281</v>
      </c>
      <c r="B1490" s="45">
        <v>2001</v>
      </c>
      <c r="C1490" s="17">
        <v>0</v>
      </c>
      <c r="D1490" s="14">
        <v>0.2298375</v>
      </c>
      <c r="E1490" s="14">
        <v>0.50252140000000001</v>
      </c>
      <c r="F1490" s="14">
        <v>7.6724000000000001E-2</v>
      </c>
      <c r="G1490" s="14">
        <v>2.9007000000000001</v>
      </c>
      <c r="H1490" s="14">
        <v>0.51492910000000003</v>
      </c>
      <c r="R1490" s="11">
        <f t="shared" si="46"/>
        <v>2.0132042044886271E-4</v>
      </c>
      <c r="Z1490" s="11">
        <f t="shared" si="47"/>
        <v>2.5626763224747228E-4</v>
      </c>
    </row>
    <row r="1491" spans="1:26" x14ac:dyDescent="0.2">
      <c r="A1491" s="45">
        <v>281</v>
      </c>
      <c r="B1491" s="45">
        <v>2002</v>
      </c>
      <c r="C1491" s="17">
        <v>0</v>
      </c>
      <c r="D1491" s="14">
        <v>0.26622020000000002</v>
      </c>
      <c r="E1491" s="14">
        <v>0.5258891</v>
      </c>
      <c r="F1491" s="14">
        <v>8.8365299999999994E-2</v>
      </c>
      <c r="G1491" s="14">
        <v>3.05647</v>
      </c>
      <c r="H1491" s="14">
        <v>0.50330810000000004</v>
      </c>
      <c r="R1491" s="11">
        <f t="shared" si="46"/>
        <v>1.3832832604495065E-4</v>
      </c>
      <c r="Z1491" s="11">
        <f t="shared" si="47"/>
        <v>1.7730716606919542E-4</v>
      </c>
    </row>
    <row r="1492" spans="1:26" x14ac:dyDescent="0.2">
      <c r="A1492" s="45">
        <v>281</v>
      </c>
      <c r="B1492" s="45">
        <v>2003</v>
      </c>
      <c r="C1492" s="17">
        <v>0</v>
      </c>
      <c r="D1492" s="14">
        <v>0.1978337</v>
      </c>
      <c r="E1492" s="14">
        <v>0.54735040000000001</v>
      </c>
      <c r="F1492" s="14">
        <v>7.9312300000000002E-2</v>
      </c>
      <c r="G1492" s="14">
        <v>3.0364140000000002</v>
      </c>
      <c r="H1492" s="14">
        <v>0.5133626</v>
      </c>
      <c r="R1492" s="11">
        <f t="shared" si="46"/>
        <v>1.4882795436590871E-4</v>
      </c>
      <c r="Z1492" s="11">
        <f t="shared" si="47"/>
        <v>1.8957776998412926E-4</v>
      </c>
    </row>
    <row r="1493" spans="1:26" x14ac:dyDescent="0.2">
      <c r="A1493" s="45">
        <v>281</v>
      </c>
      <c r="B1493" s="45">
        <v>2004</v>
      </c>
      <c r="C1493" s="17">
        <v>0</v>
      </c>
      <c r="D1493" s="14">
        <v>0.25537500000000002</v>
      </c>
      <c r="E1493" s="14">
        <v>0.57429589999999997</v>
      </c>
      <c r="F1493" s="14">
        <v>6.0458600000000001E-2</v>
      </c>
      <c r="G1493" s="14">
        <v>3.4672909999999999</v>
      </c>
      <c r="H1493" s="14">
        <v>0.56347659999999999</v>
      </c>
      <c r="R1493" s="11">
        <f t="shared" si="46"/>
        <v>8.3750782771382926E-5</v>
      </c>
      <c r="Z1493" s="11">
        <f t="shared" si="47"/>
        <v>1.0415237765789735E-4</v>
      </c>
    </row>
    <row r="1494" spans="1:26" x14ac:dyDescent="0.2">
      <c r="A1494" s="45">
        <v>282</v>
      </c>
      <c r="B1494" s="45">
        <v>1999</v>
      </c>
      <c r="C1494" s="17">
        <v>0</v>
      </c>
      <c r="D1494" s="14">
        <v>-5.47302E-2</v>
      </c>
      <c r="E1494" s="14">
        <v>-4.28867E-2</v>
      </c>
      <c r="F1494" s="14">
        <v>4.2929500000000002E-2</v>
      </c>
      <c r="G1494" s="14">
        <v>0.52107999999999999</v>
      </c>
      <c r="H1494" s="14">
        <v>0.11969920000000001</v>
      </c>
      <c r="R1494" s="11">
        <f t="shared" si="46"/>
        <v>2.521190172046596E-2</v>
      </c>
      <c r="Z1494" s="11">
        <f t="shared" si="47"/>
        <v>3.2061335705414695E-2</v>
      </c>
    </row>
    <row r="1495" spans="1:26" x14ac:dyDescent="0.2">
      <c r="A1495" s="45">
        <v>282</v>
      </c>
      <c r="B1495" s="45">
        <v>2000</v>
      </c>
      <c r="C1495" s="17">
        <v>0</v>
      </c>
      <c r="D1495" s="14">
        <v>-2.39504E-2</v>
      </c>
      <c r="E1495" s="14">
        <v>-4.6770300000000001E-2</v>
      </c>
      <c r="F1495" s="14">
        <v>5.35208E-2</v>
      </c>
      <c r="G1495" s="14">
        <v>0.81312640000000003</v>
      </c>
      <c r="H1495" s="14">
        <v>0.120366</v>
      </c>
      <c r="R1495" s="11">
        <f t="shared" ref="R1495:R1558" si="48">1/(1+EXP(-(K$2+$M$2*E1495+$N$2*F1495+$O$2*G1495)))</f>
        <v>1.4783044491488456E-2</v>
      </c>
      <c r="Z1495" s="11">
        <f t="shared" si="47"/>
        <v>1.8893229598779249E-2</v>
      </c>
    </row>
    <row r="1496" spans="1:26" x14ac:dyDescent="0.2">
      <c r="A1496" s="45">
        <v>282</v>
      </c>
      <c r="B1496" s="45">
        <v>2001</v>
      </c>
      <c r="C1496" s="17">
        <v>0</v>
      </c>
      <c r="D1496" s="14">
        <v>-3.2894800000000002E-2</v>
      </c>
      <c r="E1496" s="14">
        <v>-5.1886500000000002E-2</v>
      </c>
      <c r="F1496" s="14">
        <v>5.1035499999999998E-2</v>
      </c>
      <c r="G1496" s="14">
        <v>0.71327450000000003</v>
      </c>
      <c r="H1496" s="14">
        <v>0.1075827</v>
      </c>
      <c r="R1496" s="11">
        <f t="shared" si="48"/>
        <v>1.7759101241887044E-2</v>
      </c>
      <c r="Z1496" s="11">
        <f t="shared" si="47"/>
        <v>2.267738101501748E-2</v>
      </c>
    </row>
    <row r="1497" spans="1:26" x14ac:dyDescent="0.2">
      <c r="A1497" s="45">
        <v>282</v>
      </c>
      <c r="B1497" s="45">
        <v>2002</v>
      </c>
      <c r="C1497" s="17">
        <v>0</v>
      </c>
      <c r="D1497" s="14">
        <v>-8.0850599999999995E-2</v>
      </c>
      <c r="E1497" s="14">
        <v>-3.1018899999999999E-2</v>
      </c>
      <c r="F1497" s="14">
        <v>3.9364900000000001E-2</v>
      </c>
      <c r="G1497" s="14">
        <v>0.60669139999999999</v>
      </c>
      <c r="H1497" s="14">
        <v>0.124602</v>
      </c>
      <c r="R1497" s="11">
        <f t="shared" si="48"/>
        <v>2.2311773167232551E-2</v>
      </c>
      <c r="Z1497" s="11">
        <f t="shared" si="47"/>
        <v>2.8275112871260083E-2</v>
      </c>
    </row>
    <row r="1498" spans="1:26" x14ac:dyDescent="0.2">
      <c r="A1498" s="45">
        <v>282</v>
      </c>
      <c r="B1498" s="45">
        <v>2003</v>
      </c>
      <c r="C1498" s="17">
        <v>0</v>
      </c>
      <c r="D1498" s="14">
        <v>5.2970000000000003E-4</v>
      </c>
      <c r="E1498" s="14">
        <v>-2.80013E-2</v>
      </c>
      <c r="F1498" s="14">
        <v>4.6283900000000003E-2</v>
      </c>
      <c r="G1498" s="14">
        <v>0.98051889999999997</v>
      </c>
      <c r="H1498" s="14">
        <v>0.13842199999999999</v>
      </c>
      <c r="R1498" s="11">
        <f t="shared" si="48"/>
        <v>1.1709932483106398E-2</v>
      </c>
      <c r="Z1498" s="11">
        <f t="shared" si="47"/>
        <v>1.4846834582161699E-2</v>
      </c>
    </row>
    <row r="1499" spans="1:26" x14ac:dyDescent="0.2">
      <c r="A1499" s="45">
        <v>282</v>
      </c>
      <c r="B1499" s="45">
        <v>2004</v>
      </c>
      <c r="C1499" s="17">
        <v>0</v>
      </c>
      <c r="D1499" s="14">
        <v>-8.7276000000000003E-3</v>
      </c>
      <c r="E1499" s="14">
        <v>-1.2266600000000001E-2</v>
      </c>
      <c r="F1499" s="14">
        <v>5.6019699999999999E-2</v>
      </c>
      <c r="G1499" s="14">
        <v>1.652666</v>
      </c>
      <c r="H1499" s="14">
        <v>0.1523312</v>
      </c>
      <c r="R1499" s="11">
        <f t="shared" si="48"/>
        <v>3.657087647946298E-3</v>
      </c>
      <c r="Z1499" s="11">
        <f t="shared" si="47"/>
        <v>4.6179405410004624E-3</v>
      </c>
    </row>
    <row r="1500" spans="1:26" x14ac:dyDescent="0.2">
      <c r="A1500" s="45">
        <v>283</v>
      </c>
      <c r="B1500" s="45">
        <v>1995</v>
      </c>
      <c r="C1500" s="17">
        <v>0</v>
      </c>
      <c r="D1500" s="14">
        <v>5.4248999999999999E-2</v>
      </c>
      <c r="E1500" s="14">
        <v>0.22241620000000001</v>
      </c>
      <c r="F1500" s="14">
        <v>1.17074E-2</v>
      </c>
      <c r="G1500" s="14">
        <v>0.8099847</v>
      </c>
      <c r="H1500" s="14">
        <v>0.12309870000000001</v>
      </c>
      <c r="R1500" s="11">
        <f t="shared" si="48"/>
        <v>1.4045484656804861E-2</v>
      </c>
      <c r="Z1500" s="11">
        <f t="shared" si="47"/>
        <v>1.7519182286033094E-2</v>
      </c>
    </row>
    <row r="1501" spans="1:26" x14ac:dyDescent="0.2">
      <c r="A1501" s="45">
        <v>283</v>
      </c>
      <c r="B1501" s="45">
        <v>1996</v>
      </c>
      <c r="C1501" s="17">
        <v>0</v>
      </c>
      <c r="D1501" s="14">
        <v>0.1883368</v>
      </c>
      <c r="E1501" s="14">
        <v>0.24194740000000001</v>
      </c>
      <c r="F1501" s="14">
        <v>6.7704000000000002E-3</v>
      </c>
      <c r="G1501" s="14">
        <v>1.1587149999999999</v>
      </c>
      <c r="H1501" s="14">
        <v>0.14578260000000001</v>
      </c>
      <c r="R1501" s="11">
        <f t="shared" si="48"/>
        <v>8.1954149320564093E-3</v>
      </c>
      <c r="Z1501" s="11">
        <f t="shared" si="47"/>
        <v>1.012587958472224E-2</v>
      </c>
    </row>
    <row r="1502" spans="1:26" x14ac:dyDescent="0.2">
      <c r="A1502" s="45">
        <v>283</v>
      </c>
      <c r="B1502" s="45">
        <v>1997</v>
      </c>
      <c r="C1502" s="17">
        <v>0</v>
      </c>
      <c r="D1502" s="14">
        <v>0.1230735</v>
      </c>
      <c r="E1502" s="14">
        <v>0.3126796</v>
      </c>
      <c r="F1502" s="14">
        <v>1.5757299999999998E-2</v>
      </c>
      <c r="G1502" s="14">
        <v>1.7591190000000001</v>
      </c>
      <c r="H1502" s="14">
        <v>0.16277420000000001</v>
      </c>
      <c r="R1502" s="11">
        <f t="shared" si="48"/>
        <v>2.6580937425560399E-3</v>
      </c>
      <c r="Z1502" s="11">
        <f t="shared" si="47"/>
        <v>3.2773180217452839E-3</v>
      </c>
    </row>
    <row r="1503" spans="1:26" x14ac:dyDescent="0.2">
      <c r="A1503" s="45">
        <v>284</v>
      </c>
      <c r="B1503" s="45">
        <v>1995</v>
      </c>
      <c r="C1503" s="17">
        <v>0</v>
      </c>
      <c r="D1503" s="14">
        <v>0.32000840000000003</v>
      </c>
      <c r="E1503" s="14">
        <v>0.2492143</v>
      </c>
      <c r="F1503" s="14">
        <v>7.99179E-2</v>
      </c>
      <c r="G1503" s="14">
        <v>5.5910580000000003</v>
      </c>
      <c r="H1503" s="14">
        <v>0.3006819</v>
      </c>
      <c r="R1503" s="11">
        <f t="shared" si="48"/>
        <v>3.8982270276387019E-6</v>
      </c>
      <c r="Z1503" s="11">
        <f t="shared" si="47"/>
        <v>4.648715765932643E-6</v>
      </c>
    </row>
    <row r="1504" spans="1:26" x14ac:dyDescent="0.2">
      <c r="A1504" s="45">
        <v>284</v>
      </c>
      <c r="B1504" s="45">
        <v>1996</v>
      </c>
      <c r="C1504" s="17">
        <v>0</v>
      </c>
      <c r="D1504" s="14">
        <v>0.3118899</v>
      </c>
      <c r="E1504" s="14">
        <v>0.29249550000000002</v>
      </c>
      <c r="F1504" s="14">
        <v>7.5550699999999998E-2</v>
      </c>
      <c r="G1504" s="14">
        <v>6.487215</v>
      </c>
      <c r="H1504" s="14">
        <v>0.30729469999999998</v>
      </c>
      <c r="R1504" s="11">
        <f t="shared" si="48"/>
        <v>9.0884197858517219E-7</v>
      </c>
      <c r="Z1504" s="11">
        <f t="shared" si="47"/>
        <v>1.060409222015614E-6</v>
      </c>
    </row>
    <row r="1505" spans="1:26" x14ac:dyDescent="0.2">
      <c r="A1505" s="45">
        <v>284</v>
      </c>
      <c r="B1505" s="45">
        <v>1997</v>
      </c>
      <c r="C1505" s="17">
        <v>0</v>
      </c>
      <c r="D1505" s="14">
        <v>0.2936299</v>
      </c>
      <c r="E1505" s="14">
        <v>0.3106525</v>
      </c>
      <c r="F1505" s="14">
        <v>8.8937500000000003E-2</v>
      </c>
      <c r="G1505" s="14">
        <v>7.3001389999999997</v>
      </c>
      <c r="H1505" s="14">
        <v>0.30009479999999999</v>
      </c>
      <c r="R1505" s="11">
        <f t="shared" si="48"/>
        <v>2.177218842157237E-7</v>
      </c>
      <c r="Z1505" s="11">
        <f t="shared" si="47"/>
        <v>2.5243439090595963E-7</v>
      </c>
    </row>
    <row r="1506" spans="1:26" x14ac:dyDescent="0.2">
      <c r="A1506" s="45">
        <v>284</v>
      </c>
      <c r="B1506" s="45">
        <v>1998</v>
      </c>
      <c r="C1506" s="17">
        <v>0</v>
      </c>
      <c r="D1506" s="14">
        <v>0.18560750000000001</v>
      </c>
      <c r="E1506" s="14">
        <v>0.33977010000000002</v>
      </c>
      <c r="F1506" s="14">
        <v>7.0686100000000002E-2</v>
      </c>
      <c r="G1506" s="14">
        <v>4.5885670000000003</v>
      </c>
      <c r="H1506" s="14">
        <v>0.27576040000000002</v>
      </c>
      <c r="R1506" s="11">
        <f t="shared" si="48"/>
        <v>1.8178637254837435E-5</v>
      </c>
      <c r="Z1506" s="11">
        <f t="shared" si="47"/>
        <v>2.2063528417797974E-5</v>
      </c>
    </row>
    <row r="1507" spans="1:26" x14ac:dyDescent="0.2">
      <c r="A1507" s="45">
        <v>284</v>
      </c>
      <c r="B1507" s="45">
        <v>1999</v>
      </c>
      <c r="C1507" s="17">
        <v>0</v>
      </c>
      <c r="D1507" s="14">
        <v>0.17823120000000001</v>
      </c>
      <c r="E1507" s="14">
        <v>0.38664730000000003</v>
      </c>
      <c r="F1507" s="14">
        <v>7.3783699999999994E-2</v>
      </c>
      <c r="G1507" s="14">
        <v>3.2844869999999999</v>
      </c>
      <c r="H1507" s="14">
        <v>0.27848479999999998</v>
      </c>
      <c r="R1507" s="11">
        <f t="shared" si="48"/>
        <v>1.3233928834225064E-4</v>
      </c>
      <c r="Z1507" s="11">
        <f t="shared" si="47"/>
        <v>1.6598235395256833E-4</v>
      </c>
    </row>
    <row r="1508" spans="1:26" x14ac:dyDescent="0.2">
      <c r="A1508" s="45">
        <v>284</v>
      </c>
      <c r="B1508" s="45">
        <v>2000</v>
      </c>
      <c r="C1508" s="17">
        <v>0</v>
      </c>
      <c r="D1508" s="14">
        <v>0.1155403</v>
      </c>
      <c r="E1508" s="14">
        <v>0.40773789999999999</v>
      </c>
      <c r="F1508" s="14">
        <v>5.4752799999999997E-2</v>
      </c>
      <c r="G1508" s="14">
        <v>2.3190430000000002</v>
      </c>
      <c r="H1508" s="14">
        <v>0.26269700000000001</v>
      </c>
      <c r="R1508" s="11">
        <f t="shared" si="48"/>
        <v>6.9568329072109455E-4</v>
      </c>
      <c r="Z1508" s="11">
        <f t="shared" si="47"/>
        <v>8.7799583455415626E-4</v>
      </c>
    </row>
    <row r="1509" spans="1:26" x14ac:dyDescent="0.2">
      <c r="A1509" s="45">
        <v>284</v>
      </c>
      <c r="B1509" s="45">
        <v>2001</v>
      </c>
      <c r="C1509" s="17">
        <v>0</v>
      </c>
      <c r="D1509" s="14">
        <v>0.21632009999999999</v>
      </c>
      <c r="E1509" s="14">
        <v>0.46729559999999998</v>
      </c>
      <c r="F1509" s="14">
        <v>4.9204499999999998E-2</v>
      </c>
      <c r="G1509" s="14">
        <v>3.6727949999999998</v>
      </c>
      <c r="H1509" s="14">
        <v>0.28157310000000002</v>
      </c>
      <c r="R1509" s="11">
        <f t="shared" si="48"/>
        <v>7.7166465567027773E-5</v>
      </c>
      <c r="Z1509" s="11">
        <f t="shared" si="47"/>
        <v>9.4307404571567643E-5</v>
      </c>
    </row>
    <row r="1510" spans="1:26" x14ac:dyDescent="0.2">
      <c r="A1510" s="45">
        <v>284</v>
      </c>
      <c r="B1510" s="45">
        <v>2002</v>
      </c>
      <c r="C1510" s="17">
        <v>0</v>
      </c>
      <c r="D1510" s="14">
        <v>0.27642080000000002</v>
      </c>
      <c r="E1510" s="14">
        <v>0.40121560000000001</v>
      </c>
      <c r="F1510" s="14">
        <v>5.1646400000000002E-2</v>
      </c>
      <c r="G1510" s="14">
        <v>3.1178050000000002</v>
      </c>
      <c r="H1510" s="14">
        <v>0.33085629999999999</v>
      </c>
      <c r="R1510" s="11">
        <f t="shared" si="48"/>
        <v>2.0170738375555823E-4</v>
      </c>
      <c r="Z1510" s="11">
        <f t="shared" si="47"/>
        <v>2.4947043366172763E-4</v>
      </c>
    </row>
    <row r="1511" spans="1:26" x14ac:dyDescent="0.2">
      <c r="A1511" s="45">
        <v>284</v>
      </c>
      <c r="B1511" s="45">
        <v>2003</v>
      </c>
      <c r="C1511" s="17">
        <v>0</v>
      </c>
      <c r="D1511" s="14">
        <v>0.32193709999999998</v>
      </c>
      <c r="E1511" s="14">
        <v>0.424122</v>
      </c>
      <c r="F1511" s="14">
        <v>5.7917000000000003E-2</v>
      </c>
      <c r="G1511" s="14">
        <v>3.9416769999999999</v>
      </c>
      <c r="H1511" s="14">
        <v>0.3443734</v>
      </c>
      <c r="R1511" s="11">
        <f t="shared" si="48"/>
        <v>4.9928247300825875E-5</v>
      </c>
      <c r="Z1511" s="11">
        <f t="shared" si="47"/>
        <v>6.1003325251481589E-5</v>
      </c>
    </row>
    <row r="1512" spans="1:26" x14ac:dyDescent="0.2">
      <c r="A1512" s="45">
        <v>284</v>
      </c>
      <c r="B1512" s="45">
        <v>2004</v>
      </c>
      <c r="C1512" s="17">
        <v>0</v>
      </c>
      <c r="D1512" s="14">
        <v>0.30991790000000002</v>
      </c>
      <c r="E1512" s="14">
        <v>0.43200060000000001</v>
      </c>
      <c r="F1512" s="14">
        <v>6.0513600000000001E-2</v>
      </c>
      <c r="G1512" s="14">
        <v>4.5490589999999997</v>
      </c>
      <c r="H1512" s="14">
        <v>0.33410790000000001</v>
      </c>
      <c r="R1512" s="11">
        <f t="shared" si="48"/>
        <v>1.8365465786736764E-5</v>
      </c>
      <c r="Z1512" s="11">
        <f t="shared" si="47"/>
        <v>2.2194485779205251E-5</v>
      </c>
    </row>
    <row r="1513" spans="1:26" x14ac:dyDescent="0.2">
      <c r="A1513" s="45">
        <v>285</v>
      </c>
      <c r="B1513" s="45">
        <v>1995</v>
      </c>
      <c r="C1513" s="17">
        <v>0</v>
      </c>
      <c r="D1513" s="14">
        <v>1.90349E-2</v>
      </c>
      <c r="E1513" s="14">
        <v>0.208702</v>
      </c>
      <c r="F1513" s="14">
        <v>4.4789900000000001E-2</v>
      </c>
      <c r="G1513" s="14">
        <v>0.38747799999999999</v>
      </c>
      <c r="H1513" s="14">
        <v>0.41008139999999998</v>
      </c>
      <c r="R1513" s="11">
        <f t="shared" si="48"/>
        <v>2.1400814161454385E-2</v>
      </c>
      <c r="Z1513" s="11">
        <f t="shared" si="47"/>
        <v>2.7592886041266508E-2</v>
      </c>
    </row>
    <row r="1514" spans="1:26" x14ac:dyDescent="0.2">
      <c r="A1514" s="45">
        <v>286</v>
      </c>
      <c r="B1514" s="45">
        <v>2004</v>
      </c>
      <c r="C1514" s="17">
        <v>0</v>
      </c>
      <c r="D1514" s="14">
        <v>0.38730720000000002</v>
      </c>
      <c r="E1514" s="14">
        <v>0.26060739999999999</v>
      </c>
      <c r="F1514" s="14">
        <v>6.0041499999999998E-2</v>
      </c>
      <c r="G1514" s="14">
        <v>1.6088180000000001</v>
      </c>
      <c r="H1514" s="14">
        <v>0.4803018</v>
      </c>
      <c r="R1514" s="11">
        <f t="shared" si="48"/>
        <v>2.5566857939672985E-3</v>
      </c>
      <c r="Z1514" s="11">
        <f t="shared" si="47"/>
        <v>3.2734839593229455E-3</v>
      </c>
    </row>
    <row r="1515" spans="1:26" x14ac:dyDescent="0.2">
      <c r="A1515" s="45">
        <v>287</v>
      </c>
      <c r="B1515" s="45">
        <v>1995</v>
      </c>
      <c r="C1515" s="17">
        <v>0</v>
      </c>
      <c r="D1515" s="14">
        <v>3.4210600000000001E-2</v>
      </c>
      <c r="E1515" s="14">
        <v>0.2843947</v>
      </c>
      <c r="F1515" s="14">
        <v>3.7033499999999997E-2</v>
      </c>
      <c r="G1515" s="14">
        <v>0.99150709999999997</v>
      </c>
      <c r="H1515" s="14">
        <v>0.3677629</v>
      </c>
      <c r="R1515" s="11">
        <f t="shared" si="48"/>
        <v>7.8974598402266841E-3</v>
      </c>
      <c r="Z1515" s="11">
        <f t="shared" si="47"/>
        <v>1.0052071085238019E-2</v>
      </c>
    </row>
    <row r="1516" spans="1:26" x14ac:dyDescent="0.2">
      <c r="A1516" s="45">
        <v>287</v>
      </c>
      <c r="B1516" s="45">
        <v>1996</v>
      </c>
      <c r="C1516" s="17">
        <v>0</v>
      </c>
      <c r="D1516" s="14">
        <v>3.9258800000000003E-2</v>
      </c>
      <c r="E1516" s="14">
        <v>0.29859780000000002</v>
      </c>
      <c r="F1516" s="14">
        <v>3.6516399999999997E-2</v>
      </c>
      <c r="G1516" s="14">
        <v>0.80623750000000005</v>
      </c>
      <c r="H1516" s="14">
        <v>0.4037732</v>
      </c>
      <c r="R1516" s="11">
        <f t="shared" si="48"/>
        <v>1.0409668369842346E-2</v>
      </c>
      <c r="Z1516" s="11">
        <f t="shared" si="47"/>
        <v>1.3294757967175224E-2</v>
      </c>
    </row>
    <row r="1517" spans="1:26" x14ac:dyDescent="0.2">
      <c r="A1517" s="45">
        <v>287</v>
      </c>
      <c r="B1517" s="45">
        <v>1997</v>
      </c>
      <c r="C1517" s="17">
        <v>0</v>
      </c>
      <c r="D1517" s="14">
        <v>1.5670699999999999E-2</v>
      </c>
      <c r="E1517" s="14">
        <v>0.2979002</v>
      </c>
      <c r="F1517" s="14">
        <v>6.0203399999999997E-2</v>
      </c>
      <c r="G1517" s="14">
        <v>1.007568</v>
      </c>
      <c r="H1517" s="14">
        <v>0.43648779999999998</v>
      </c>
      <c r="R1517" s="11">
        <f t="shared" si="48"/>
        <v>6.2814414491826334E-3</v>
      </c>
      <c r="Z1517" s="11">
        <f t="shared" si="47"/>
        <v>8.1517190376760879E-3</v>
      </c>
    </row>
    <row r="1518" spans="1:26" x14ac:dyDescent="0.2">
      <c r="A1518" s="45">
        <v>287</v>
      </c>
      <c r="B1518" s="45">
        <v>1998</v>
      </c>
      <c r="C1518" s="17">
        <v>0</v>
      </c>
      <c r="D1518" s="14">
        <v>5.8251400000000002E-2</v>
      </c>
      <c r="E1518" s="14">
        <v>0.3053517</v>
      </c>
      <c r="F1518" s="14">
        <v>5.55941E-2</v>
      </c>
      <c r="G1518" s="14">
        <v>1.064627</v>
      </c>
      <c r="H1518" s="14">
        <v>0.45278879999999999</v>
      </c>
      <c r="R1518" s="11">
        <f t="shared" si="48"/>
        <v>5.8890858396148833E-3</v>
      </c>
      <c r="Z1518" s="11">
        <f t="shared" si="47"/>
        <v>7.6072732496071712E-3</v>
      </c>
    </row>
    <row r="1519" spans="1:26" x14ac:dyDescent="0.2">
      <c r="A1519" s="45">
        <v>287</v>
      </c>
      <c r="B1519" s="45">
        <v>1999</v>
      </c>
      <c r="C1519" s="17">
        <v>0</v>
      </c>
      <c r="D1519" s="14">
        <v>4.6695800000000003E-2</v>
      </c>
      <c r="E1519" s="14">
        <v>0.33949950000000001</v>
      </c>
      <c r="F1519" s="14">
        <v>3.30914E-2</v>
      </c>
      <c r="G1519" s="14">
        <v>0.70179689999999995</v>
      </c>
      <c r="H1519" s="14">
        <v>0.53114280000000003</v>
      </c>
      <c r="R1519" s="11">
        <f t="shared" si="48"/>
        <v>1.1888837984529421E-2</v>
      </c>
      <c r="Z1519" s="11">
        <f t="shared" si="47"/>
        <v>1.5190973657610792E-2</v>
      </c>
    </row>
    <row r="1520" spans="1:26" x14ac:dyDescent="0.2">
      <c r="A1520" s="45">
        <v>287</v>
      </c>
      <c r="B1520" s="45">
        <v>2000</v>
      </c>
      <c r="C1520" s="17">
        <v>0</v>
      </c>
      <c r="D1520" s="14">
        <v>4.13011E-2</v>
      </c>
      <c r="E1520" s="14">
        <v>0.33286060000000001</v>
      </c>
      <c r="F1520" s="14">
        <v>5.4720499999999998E-2</v>
      </c>
      <c r="G1520" s="14">
        <v>0.78681540000000005</v>
      </c>
      <c r="H1520" s="14">
        <v>0.45499840000000003</v>
      </c>
      <c r="R1520" s="11">
        <f t="shared" si="48"/>
        <v>8.8448161180693773E-3</v>
      </c>
      <c r="Z1520" s="11">
        <f t="shared" si="47"/>
        <v>1.1487280744568671E-2</v>
      </c>
    </row>
    <row r="1521" spans="1:26" x14ac:dyDescent="0.2">
      <c r="A1521" s="45">
        <v>287</v>
      </c>
      <c r="B1521" s="45">
        <v>2001</v>
      </c>
      <c r="C1521" s="17">
        <v>0</v>
      </c>
      <c r="D1521" s="14">
        <v>0.121785</v>
      </c>
      <c r="E1521" s="14">
        <v>0.34319280000000002</v>
      </c>
      <c r="F1521" s="14">
        <v>7.4611399999999994E-2</v>
      </c>
      <c r="G1521" s="14">
        <v>1.0669729999999999</v>
      </c>
      <c r="H1521" s="14">
        <v>0.46544390000000002</v>
      </c>
      <c r="R1521" s="11">
        <f t="shared" si="48"/>
        <v>4.7747435664124123E-3</v>
      </c>
      <c r="Z1521" s="11">
        <f t="shared" si="47"/>
        <v>6.2739145646815535E-3</v>
      </c>
    </row>
    <row r="1522" spans="1:26" x14ac:dyDescent="0.2">
      <c r="A1522" s="45">
        <v>287</v>
      </c>
      <c r="B1522" s="45">
        <v>2002</v>
      </c>
      <c r="C1522" s="17">
        <v>0</v>
      </c>
      <c r="D1522" s="14">
        <v>0.1200775</v>
      </c>
      <c r="E1522" s="14">
        <v>0.37365720000000002</v>
      </c>
      <c r="F1522" s="14">
        <v>5.87127E-2</v>
      </c>
      <c r="G1522" s="14">
        <v>1.6158490000000001</v>
      </c>
      <c r="H1522" s="14">
        <v>0.47288550000000001</v>
      </c>
      <c r="R1522" s="11">
        <f t="shared" si="48"/>
        <v>2.168744684072198E-3</v>
      </c>
      <c r="Z1522" s="11">
        <f t="shared" si="47"/>
        <v>2.7843770457179635E-3</v>
      </c>
    </row>
    <row r="1523" spans="1:26" x14ac:dyDescent="0.2">
      <c r="A1523" s="45">
        <v>287</v>
      </c>
      <c r="B1523" s="45">
        <v>2003</v>
      </c>
      <c r="C1523" s="17">
        <v>0</v>
      </c>
      <c r="D1523" s="14">
        <v>4.0202500000000002E-2</v>
      </c>
      <c r="E1523" s="14">
        <v>0.4467875</v>
      </c>
      <c r="F1523" s="14">
        <v>8.6237499999999995E-2</v>
      </c>
      <c r="G1523" s="14">
        <v>3.3795860000000002</v>
      </c>
      <c r="H1523" s="14">
        <v>0.50305549999999999</v>
      </c>
      <c r="R1523" s="11">
        <f t="shared" si="48"/>
        <v>9.4329503548220588E-5</v>
      </c>
      <c r="Z1523" s="11">
        <f t="shared" si="47"/>
        <v>1.1952080946485244E-4</v>
      </c>
    </row>
    <row r="1524" spans="1:26" x14ac:dyDescent="0.2">
      <c r="A1524" s="45">
        <v>288</v>
      </c>
      <c r="B1524" s="45">
        <v>1999</v>
      </c>
      <c r="C1524" s="17">
        <v>0</v>
      </c>
      <c r="D1524" s="14">
        <v>0.26011669999999998</v>
      </c>
      <c r="E1524" s="14">
        <v>-0.10369340000000001</v>
      </c>
      <c r="F1524" s="14">
        <v>4.4922799999999999E-2</v>
      </c>
      <c r="G1524" s="14">
        <v>0.22192339999999999</v>
      </c>
      <c r="H1524" s="14">
        <v>0.2773272</v>
      </c>
      <c r="R1524" s="11">
        <f t="shared" si="48"/>
        <v>4.287274520263671E-2</v>
      </c>
      <c r="Z1524" s="11">
        <f t="shared" si="47"/>
        <v>5.45689193625776E-2</v>
      </c>
    </row>
    <row r="1525" spans="1:26" x14ac:dyDescent="0.2">
      <c r="A1525" s="45">
        <v>288</v>
      </c>
      <c r="B1525" s="45">
        <v>2000</v>
      </c>
      <c r="C1525" s="17">
        <v>0</v>
      </c>
      <c r="D1525" s="14">
        <v>0.28470129999999999</v>
      </c>
      <c r="E1525" s="14">
        <v>-0.13479099999999999</v>
      </c>
      <c r="F1525" s="14">
        <v>5.02021E-2</v>
      </c>
      <c r="G1525" s="14">
        <v>0.23634649999999999</v>
      </c>
      <c r="H1525" s="14">
        <v>0.3159575</v>
      </c>
      <c r="R1525" s="11">
        <f t="shared" si="48"/>
        <v>4.2059616564148264E-2</v>
      </c>
      <c r="Z1525" s="11">
        <f t="shared" si="47"/>
        <v>5.3695761330526004E-2</v>
      </c>
    </row>
    <row r="1526" spans="1:26" x14ac:dyDescent="0.2">
      <c r="A1526" s="45">
        <v>288</v>
      </c>
      <c r="B1526" s="45">
        <v>2001</v>
      </c>
      <c r="C1526" s="17">
        <v>0</v>
      </c>
      <c r="D1526" s="14">
        <v>0.2652159</v>
      </c>
      <c r="E1526" s="14">
        <v>-0.2034338</v>
      </c>
      <c r="F1526" s="14">
        <v>2.2821500000000002E-2</v>
      </c>
      <c r="G1526" s="14">
        <v>0.17922979999999999</v>
      </c>
      <c r="H1526" s="14">
        <v>0.18043600000000001</v>
      </c>
      <c r="R1526" s="11">
        <f t="shared" si="48"/>
        <v>6.2044563098350033E-2</v>
      </c>
      <c r="Z1526" s="11">
        <f t="shared" si="47"/>
        <v>7.7064188808466896E-2</v>
      </c>
    </row>
    <row r="1527" spans="1:26" x14ac:dyDescent="0.2">
      <c r="A1527" s="45">
        <v>288</v>
      </c>
      <c r="B1527" s="45">
        <v>2002</v>
      </c>
      <c r="C1527" s="17">
        <v>0</v>
      </c>
      <c r="D1527" s="14">
        <v>0.52050220000000003</v>
      </c>
      <c r="E1527" s="14">
        <v>-6.8163600000000005E-2</v>
      </c>
      <c r="F1527" s="14">
        <v>2.4897200000000001E-2</v>
      </c>
      <c r="G1527" s="14">
        <v>0.25170700000000001</v>
      </c>
      <c r="H1527" s="14">
        <v>0.1874507</v>
      </c>
      <c r="R1527" s="11">
        <f t="shared" si="48"/>
        <v>4.5449526841364295E-2</v>
      </c>
      <c r="Z1527" s="11">
        <f t="shared" si="47"/>
        <v>5.6948819902727751E-2</v>
      </c>
    </row>
    <row r="1528" spans="1:26" x14ac:dyDescent="0.2">
      <c r="A1528" s="45">
        <v>289</v>
      </c>
      <c r="B1528" s="45">
        <v>1995</v>
      </c>
      <c r="C1528" s="17">
        <v>0</v>
      </c>
      <c r="D1528" s="14">
        <v>0.23929439999999999</v>
      </c>
      <c r="E1528" s="14">
        <v>0.3271212</v>
      </c>
      <c r="F1528" s="14">
        <v>8.5262699999999997E-2</v>
      </c>
      <c r="G1528" s="14">
        <v>2.3999069999999998</v>
      </c>
      <c r="H1528" s="14">
        <v>1.585699</v>
      </c>
      <c r="R1528" s="11">
        <f t="shared" si="48"/>
        <v>5.388056488589162E-4</v>
      </c>
      <c r="Z1528" s="11">
        <f t="shared" si="47"/>
        <v>6.9408490578315104E-4</v>
      </c>
    </row>
    <row r="1529" spans="1:26" x14ac:dyDescent="0.2">
      <c r="A1529" s="45">
        <v>289</v>
      </c>
      <c r="B1529" s="45">
        <v>1996</v>
      </c>
      <c r="C1529" s="17">
        <v>0</v>
      </c>
      <c r="D1529" s="14">
        <v>0.25688620000000001</v>
      </c>
      <c r="E1529" s="14">
        <v>0.40201540000000002</v>
      </c>
      <c r="F1529" s="14">
        <v>4.1371900000000003E-2</v>
      </c>
      <c r="G1529" s="14">
        <v>2.3851140000000002</v>
      </c>
      <c r="H1529" s="14">
        <v>1.431856</v>
      </c>
      <c r="R1529" s="11">
        <f t="shared" si="48"/>
        <v>7.0271567351911377E-4</v>
      </c>
      <c r="Z1529" s="11">
        <f t="shared" si="47"/>
        <v>8.7575778597323399E-4</v>
      </c>
    </row>
    <row r="1530" spans="1:26" x14ac:dyDescent="0.2">
      <c r="A1530" s="45">
        <v>289</v>
      </c>
      <c r="B1530" s="45">
        <v>1997</v>
      </c>
      <c r="C1530" s="17">
        <v>0</v>
      </c>
      <c r="D1530" s="14">
        <v>9.4192899999999996E-2</v>
      </c>
      <c r="E1530" s="14">
        <v>0.34769270000000002</v>
      </c>
      <c r="F1530" s="14">
        <v>4.0103600000000003E-2</v>
      </c>
      <c r="G1530" s="14">
        <v>1.240604</v>
      </c>
      <c r="H1530" s="14">
        <v>1.180518</v>
      </c>
      <c r="R1530" s="11">
        <f t="shared" si="48"/>
        <v>4.7406023931306305E-3</v>
      </c>
      <c r="Z1530" s="11">
        <f t="shared" si="47"/>
        <v>6.0343961706175184E-3</v>
      </c>
    </row>
    <row r="1531" spans="1:26" x14ac:dyDescent="0.2">
      <c r="A1531" s="45">
        <v>289</v>
      </c>
      <c r="B1531" s="45">
        <v>1998</v>
      </c>
      <c r="C1531" s="17">
        <v>0</v>
      </c>
      <c r="D1531" s="14">
        <v>0.1079746</v>
      </c>
      <c r="E1531" s="14">
        <v>0.37865890000000002</v>
      </c>
      <c r="F1531" s="14">
        <v>7.9719799999999993E-2</v>
      </c>
      <c r="G1531" s="14">
        <v>1.706593</v>
      </c>
      <c r="H1531" s="14">
        <v>1.063655</v>
      </c>
      <c r="R1531" s="11">
        <f t="shared" si="48"/>
        <v>1.5758955978209469E-3</v>
      </c>
      <c r="Z1531" s="11">
        <f t="shared" si="47"/>
        <v>2.0549043596172355E-3</v>
      </c>
    </row>
    <row r="1532" spans="1:26" x14ac:dyDescent="0.2">
      <c r="A1532" s="45">
        <v>289</v>
      </c>
      <c r="B1532" s="45">
        <v>1999</v>
      </c>
      <c r="C1532" s="17">
        <v>0</v>
      </c>
      <c r="D1532" s="14">
        <v>9.0150800000000003E-2</v>
      </c>
      <c r="E1532" s="14">
        <v>0.39549990000000002</v>
      </c>
      <c r="F1532" s="14">
        <v>7.5657100000000005E-2</v>
      </c>
      <c r="G1532" s="14">
        <v>0.85655800000000004</v>
      </c>
      <c r="H1532" s="14">
        <v>1.134147</v>
      </c>
      <c r="R1532" s="11">
        <f t="shared" si="48"/>
        <v>6.1280430472638679E-3</v>
      </c>
      <c r="Z1532" s="11">
        <f t="shared" si="47"/>
        <v>8.1070467734458435E-3</v>
      </c>
    </row>
    <row r="1533" spans="1:26" x14ac:dyDescent="0.2">
      <c r="A1533" s="45">
        <v>289</v>
      </c>
      <c r="B1533" s="45">
        <v>2000</v>
      </c>
      <c r="C1533" s="17">
        <v>0</v>
      </c>
      <c r="D1533" s="14">
        <v>8.2532999999999999E-3</v>
      </c>
      <c r="E1533" s="14">
        <v>0.35651359999999999</v>
      </c>
      <c r="F1533" s="14">
        <v>5.1074500000000002E-2</v>
      </c>
      <c r="G1533" s="14">
        <v>1.1295949999999999</v>
      </c>
      <c r="H1533" s="14">
        <v>1.038157</v>
      </c>
      <c r="R1533" s="11">
        <f t="shared" si="48"/>
        <v>5.11464995479182E-3</v>
      </c>
      <c r="Z1533" s="11">
        <f t="shared" si="47"/>
        <v>6.5862283103816106E-3</v>
      </c>
    </row>
    <row r="1534" spans="1:26" x14ac:dyDescent="0.2">
      <c r="A1534" s="45">
        <v>290</v>
      </c>
      <c r="B1534" s="45">
        <v>1995</v>
      </c>
      <c r="C1534" s="17">
        <v>0</v>
      </c>
      <c r="D1534" s="14">
        <v>5.0264999999999997E-3</v>
      </c>
      <c r="E1534" s="14">
        <v>5.88196E-2</v>
      </c>
      <c r="F1534" s="14">
        <v>4.5137299999999998E-2</v>
      </c>
      <c r="G1534" s="14">
        <v>0.5626487</v>
      </c>
      <c r="H1534" s="14">
        <v>0.4035532</v>
      </c>
      <c r="R1534" s="11">
        <f t="shared" si="48"/>
        <v>2.0100782895427004E-2</v>
      </c>
      <c r="Z1534" s="11">
        <f t="shared" si="47"/>
        <v>2.5707607666169516E-2</v>
      </c>
    </row>
    <row r="1535" spans="1:26" x14ac:dyDescent="0.2">
      <c r="A1535" s="45">
        <v>290</v>
      </c>
      <c r="B1535" s="45">
        <v>1996</v>
      </c>
      <c r="C1535" s="17">
        <v>0</v>
      </c>
      <c r="D1535" s="14">
        <v>-8.5094999999999997E-3</v>
      </c>
      <c r="E1535" s="14">
        <v>7.3706400000000005E-2</v>
      </c>
      <c r="F1535" s="14">
        <v>6.2191700000000003E-2</v>
      </c>
      <c r="G1535" s="14">
        <v>0.64097669999999995</v>
      </c>
      <c r="H1535" s="14">
        <v>0.44144729999999999</v>
      </c>
      <c r="R1535" s="11">
        <f t="shared" si="48"/>
        <v>1.5223433151886456E-2</v>
      </c>
      <c r="Z1535" s="11">
        <f t="shared" si="47"/>
        <v>1.9742384948781878E-2</v>
      </c>
    </row>
    <row r="1536" spans="1:26" x14ac:dyDescent="0.2">
      <c r="A1536" s="45">
        <v>290</v>
      </c>
      <c r="B1536" s="45">
        <v>1998</v>
      </c>
      <c r="C1536" s="17">
        <v>0</v>
      </c>
      <c r="D1536" s="14">
        <v>8.6506100000000002E-2</v>
      </c>
      <c r="E1536" s="14">
        <v>0.27655059999999998</v>
      </c>
      <c r="F1536" s="14">
        <v>4.4953899999999998E-2</v>
      </c>
      <c r="G1536" s="14">
        <v>1.139113</v>
      </c>
      <c r="H1536" s="14">
        <v>0.26582539999999999</v>
      </c>
      <c r="R1536" s="11">
        <f t="shared" si="48"/>
        <v>5.9378095055098671E-3</v>
      </c>
      <c r="Z1536" s="11">
        <f t="shared" si="47"/>
        <v>7.5842015573513617E-3</v>
      </c>
    </row>
    <row r="1537" spans="1:26" x14ac:dyDescent="0.2">
      <c r="A1537" s="45">
        <v>290</v>
      </c>
      <c r="B1537" s="45">
        <v>1999</v>
      </c>
      <c r="C1537" s="17">
        <v>0</v>
      </c>
      <c r="D1537" s="14">
        <v>-8.7848399999999993E-2</v>
      </c>
      <c r="E1537" s="14">
        <v>0.25291970000000003</v>
      </c>
      <c r="F1537" s="14">
        <v>5.9802399999999999E-2</v>
      </c>
      <c r="G1537" s="14">
        <v>0.89795749999999996</v>
      </c>
      <c r="H1537" s="14">
        <v>0.2966028</v>
      </c>
      <c r="R1537" s="11">
        <f t="shared" si="48"/>
        <v>7.9977138067805383E-3</v>
      </c>
      <c r="Z1537" s="11">
        <f t="shared" si="47"/>
        <v>1.0379250061403654E-2</v>
      </c>
    </row>
    <row r="1538" spans="1:26" x14ac:dyDescent="0.2">
      <c r="A1538" s="45">
        <v>290</v>
      </c>
      <c r="B1538" s="45">
        <v>2000</v>
      </c>
      <c r="C1538" s="17">
        <v>0</v>
      </c>
      <c r="D1538" s="14">
        <v>-0.1341706</v>
      </c>
      <c r="E1538" s="14">
        <v>0.26084869999999999</v>
      </c>
      <c r="F1538" s="14">
        <v>6.0256900000000002E-2</v>
      </c>
      <c r="G1538" s="14">
        <v>1.038392</v>
      </c>
      <c r="H1538" s="14">
        <v>0.29498289999999999</v>
      </c>
      <c r="R1538" s="11">
        <f t="shared" si="48"/>
        <v>6.3084941854888131E-3</v>
      </c>
      <c r="Z1538" s="11">
        <f t="shared" ref="Z1538:Z1601" si="49">1/(1+EXP(-(U$2+$V$2*E1538+$W$2*F1538+$X$2*G1538)))</f>
        <v>8.1713073153510396E-3</v>
      </c>
    </row>
    <row r="1539" spans="1:26" x14ac:dyDescent="0.2">
      <c r="A1539" s="45">
        <v>290</v>
      </c>
      <c r="B1539" s="45">
        <v>2001</v>
      </c>
      <c r="C1539" s="17">
        <v>0</v>
      </c>
      <c r="D1539" s="14">
        <v>-5.8957000000000002E-2</v>
      </c>
      <c r="E1539" s="14">
        <v>0.31874799999999998</v>
      </c>
      <c r="F1539" s="14">
        <v>6.0906799999999997E-2</v>
      </c>
      <c r="G1539" s="14">
        <v>1.4687619999999999</v>
      </c>
      <c r="H1539" s="14">
        <v>0.28679310000000002</v>
      </c>
      <c r="R1539" s="11">
        <f t="shared" si="48"/>
        <v>2.9156275882983489E-3</v>
      </c>
      <c r="Z1539" s="11">
        <f t="shared" si="49"/>
        <v>3.754262766662598E-3</v>
      </c>
    </row>
    <row r="1540" spans="1:26" x14ac:dyDescent="0.2">
      <c r="A1540" s="45">
        <v>290</v>
      </c>
      <c r="B1540" s="45">
        <v>2002</v>
      </c>
      <c r="C1540" s="17">
        <v>0</v>
      </c>
      <c r="D1540" s="14">
        <v>2.1665899999999998E-2</v>
      </c>
      <c r="E1540" s="14">
        <v>0.22004679999999999</v>
      </c>
      <c r="F1540" s="14">
        <v>6.1917899999999998E-2</v>
      </c>
      <c r="G1540" s="14">
        <v>1.342843</v>
      </c>
      <c r="H1540" s="14">
        <v>0.2546332</v>
      </c>
      <c r="R1540" s="11">
        <f t="shared" si="48"/>
        <v>4.0755699606344004E-3</v>
      </c>
      <c r="Z1540" s="11">
        <f t="shared" si="49"/>
        <v>5.2472300481769948E-3</v>
      </c>
    </row>
    <row r="1541" spans="1:26" x14ac:dyDescent="0.2">
      <c r="A1541" s="45">
        <v>290</v>
      </c>
      <c r="B1541" s="45">
        <v>2003</v>
      </c>
      <c r="C1541" s="17">
        <v>0</v>
      </c>
      <c r="D1541" s="14">
        <v>9.7127900000000003E-2</v>
      </c>
      <c r="E1541" s="14">
        <v>0.3275672</v>
      </c>
      <c r="F1541" s="14">
        <v>5.3192200000000002E-2</v>
      </c>
      <c r="G1541" s="14">
        <v>1.6977359999999999</v>
      </c>
      <c r="H1541" s="14">
        <v>0.28781610000000002</v>
      </c>
      <c r="R1541" s="11">
        <f t="shared" si="48"/>
        <v>2.1273349159391915E-3</v>
      </c>
      <c r="Z1541" s="11">
        <f t="shared" si="49"/>
        <v>2.7097888887552745E-3</v>
      </c>
    </row>
    <row r="1542" spans="1:26" x14ac:dyDescent="0.2">
      <c r="A1542" s="45">
        <v>290</v>
      </c>
      <c r="B1542" s="45">
        <v>2004</v>
      </c>
      <c r="C1542" s="17">
        <v>0</v>
      </c>
      <c r="D1542" s="14">
        <v>6.4619999999999999E-4</v>
      </c>
      <c r="E1542" s="14">
        <v>0.34174130000000003</v>
      </c>
      <c r="F1542" s="14">
        <v>6.0279699999999999E-2</v>
      </c>
      <c r="G1542" s="14">
        <v>1.615367</v>
      </c>
      <c r="H1542" s="14">
        <v>0.29913719999999999</v>
      </c>
      <c r="R1542" s="11">
        <f t="shared" si="48"/>
        <v>2.2450146320438878E-3</v>
      </c>
      <c r="Z1542" s="11">
        <f t="shared" si="49"/>
        <v>2.882812956172375E-3</v>
      </c>
    </row>
    <row r="1543" spans="1:26" x14ac:dyDescent="0.2">
      <c r="A1543" s="45">
        <v>291</v>
      </c>
      <c r="B1543" s="45">
        <v>1995</v>
      </c>
      <c r="C1543" s="17">
        <v>0</v>
      </c>
      <c r="D1543" s="14">
        <v>0.1314553</v>
      </c>
      <c r="E1543" s="14">
        <v>0.39487810000000001</v>
      </c>
      <c r="F1543" s="14">
        <v>7.6064199999999998E-2</v>
      </c>
      <c r="G1543" s="14">
        <v>1.148228</v>
      </c>
      <c r="H1543" s="14">
        <v>0.2199043</v>
      </c>
      <c r="R1543" s="11">
        <f t="shared" si="48"/>
        <v>3.8497539618630662E-3</v>
      </c>
      <c r="Z1543" s="11">
        <f t="shared" si="49"/>
        <v>5.0658831391776418E-3</v>
      </c>
    </row>
    <row r="1544" spans="1:26" x14ac:dyDescent="0.2">
      <c r="A1544" s="45">
        <v>291</v>
      </c>
      <c r="B1544" s="45">
        <v>1996</v>
      </c>
      <c r="C1544" s="17">
        <v>0</v>
      </c>
      <c r="D1544" s="14">
        <v>9.9248900000000001E-2</v>
      </c>
      <c r="E1544" s="14">
        <v>0.32489770000000001</v>
      </c>
      <c r="F1544" s="14">
        <v>4.9255500000000001E-2</v>
      </c>
      <c r="G1544" s="14">
        <v>1.179745</v>
      </c>
      <c r="H1544" s="14">
        <v>0.21520239999999999</v>
      </c>
      <c r="R1544" s="11">
        <f t="shared" si="48"/>
        <v>5.0168835657430546E-3</v>
      </c>
      <c r="Z1544" s="11">
        <f t="shared" si="49"/>
        <v>6.4369430637054807E-3</v>
      </c>
    </row>
    <row r="1545" spans="1:26" x14ac:dyDescent="0.2">
      <c r="A1545" s="45">
        <v>291</v>
      </c>
      <c r="B1545" s="45">
        <v>1997</v>
      </c>
      <c r="C1545" s="17">
        <v>0</v>
      </c>
      <c r="D1545" s="14">
        <v>9.6908099999999997E-2</v>
      </c>
      <c r="E1545" s="14">
        <v>0.34398309999999999</v>
      </c>
      <c r="F1545" s="14">
        <v>4.0975299999999999E-2</v>
      </c>
      <c r="G1545" s="14">
        <v>1.280313</v>
      </c>
      <c r="H1545" s="14">
        <v>0.2099702</v>
      </c>
      <c r="R1545" s="11">
        <f t="shared" si="48"/>
        <v>4.444213856491055E-3</v>
      </c>
      <c r="Z1545" s="11">
        <f t="shared" si="49"/>
        <v>5.6559631364189707E-3</v>
      </c>
    </row>
    <row r="1546" spans="1:26" x14ac:dyDescent="0.2">
      <c r="A1546" s="45">
        <v>291</v>
      </c>
      <c r="B1546" s="45">
        <v>1998</v>
      </c>
      <c r="C1546" s="17">
        <v>0</v>
      </c>
      <c r="D1546" s="14">
        <v>9.6805799999999997E-2</v>
      </c>
      <c r="E1546" s="14">
        <v>0.39018960000000003</v>
      </c>
      <c r="F1546" s="14">
        <v>5.0782000000000001E-2</v>
      </c>
      <c r="G1546" s="14">
        <v>1.370689</v>
      </c>
      <c r="H1546" s="14">
        <v>0.19151009999999999</v>
      </c>
      <c r="R1546" s="11">
        <f t="shared" si="48"/>
        <v>3.3303219465637347E-3</v>
      </c>
      <c r="Z1546" s="11">
        <f t="shared" si="49"/>
        <v>4.2719959668905006E-3</v>
      </c>
    </row>
    <row r="1547" spans="1:26" x14ac:dyDescent="0.2">
      <c r="A1547" s="45">
        <v>291</v>
      </c>
      <c r="B1547" s="45">
        <v>1999</v>
      </c>
      <c r="C1547" s="17">
        <v>0</v>
      </c>
      <c r="D1547" s="14">
        <v>5.47623E-2</v>
      </c>
      <c r="E1547" s="14">
        <v>0.2851341</v>
      </c>
      <c r="F1547" s="14">
        <v>3.84959E-2</v>
      </c>
      <c r="G1547" s="14">
        <v>0.85501039999999995</v>
      </c>
      <c r="H1547" s="14">
        <v>0.1701637</v>
      </c>
      <c r="R1547" s="11">
        <f t="shared" si="48"/>
        <v>9.6745214777868033E-3</v>
      </c>
      <c r="Z1547" s="11">
        <f t="shared" si="49"/>
        <v>1.2359468814145154E-2</v>
      </c>
    </row>
    <row r="1548" spans="1:26" x14ac:dyDescent="0.2">
      <c r="A1548" s="45">
        <v>291</v>
      </c>
      <c r="B1548" s="45">
        <v>2000</v>
      </c>
      <c r="C1548" s="17">
        <v>0</v>
      </c>
      <c r="D1548" s="14">
        <v>6.3605900000000007E-2</v>
      </c>
      <c r="E1548" s="14">
        <v>0.31748120000000002</v>
      </c>
      <c r="F1548" s="14">
        <v>3.7880299999999999E-2</v>
      </c>
      <c r="G1548" s="14">
        <v>0.76780590000000004</v>
      </c>
      <c r="H1548" s="14">
        <v>0.175566</v>
      </c>
      <c r="R1548" s="11">
        <f t="shared" si="48"/>
        <v>1.064799663825745E-2</v>
      </c>
      <c r="Z1548" s="11">
        <f t="shared" si="49"/>
        <v>1.3633306542115194E-2</v>
      </c>
    </row>
    <row r="1549" spans="1:26" x14ac:dyDescent="0.2">
      <c r="A1549" s="45">
        <v>291</v>
      </c>
      <c r="B1549" s="45">
        <v>2001</v>
      </c>
      <c r="C1549" s="17">
        <v>0</v>
      </c>
      <c r="D1549" s="14">
        <v>7.31184E-2</v>
      </c>
      <c r="E1549" s="14">
        <v>0.36118869999999997</v>
      </c>
      <c r="F1549" s="14">
        <v>4.23457E-2</v>
      </c>
      <c r="G1549" s="14">
        <v>1.090814</v>
      </c>
      <c r="H1549" s="14">
        <v>0.15709300000000001</v>
      </c>
      <c r="R1549" s="11">
        <f t="shared" si="48"/>
        <v>5.7907097792337424E-3</v>
      </c>
      <c r="Z1549" s="11">
        <f t="shared" si="49"/>
        <v>7.4100424875397676E-3</v>
      </c>
    </row>
    <row r="1550" spans="1:26" x14ac:dyDescent="0.2">
      <c r="A1550" s="45">
        <v>291</v>
      </c>
      <c r="B1550" s="45">
        <v>2002</v>
      </c>
      <c r="C1550" s="17">
        <v>0</v>
      </c>
      <c r="D1550" s="14">
        <v>7.2351499999999999E-2</v>
      </c>
      <c r="E1550" s="14">
        <v>0.37106519999999998</v>
      </c>
      <c r="F1550" s="14">
        <v>4.3208400000000001E-2</v>
      </c>
      <c r="G1550" s="14">
        <v>1.097893</v>
      </c>
      <c r="H1550" s="14">
        <v>0.18467020000000001</v>
      </c>
      <c r="R1550" s="11">
        <f t="shared" si="48"/>
        <v>5.6063384413097862E-3</v>
      </c>
      <c r="Z1550" s="11">
        <f t="shared" si="49"/>
        <v>7.1808258125111799E-3</v>
      </c>
    </row>
    <row r="1551" spans="1:26" x14ac:dyDescent="0.2">
      <c r="A1551" s="45">
        <v>291</v>
      </c>
      <c r="B1551" s="45">
        <v>2003</v>
      </c>
      <c r="C1551" s="17">
        <v>0</v>
      </c>
      <c r="D1551" s="14">
        <v>6.8810300000000005E-2</v>
      </c>
      <c r="E1551" s="14">
        <v>0.22299160000000001</v>
      </c>
      <c r="F1551" s="14">
        <v>3.43568E-2</v>
      </c>
      <c r="G1551" s="14">
        <v>1.583828</v>
      </c>
      <c r="H1551" s="14">
        <v>0.17813519999999999</v>
      </c>
      <c r="R1551" s="11">
        <f t="shared" si="48"/>
        <v>3.4479827140926293E-3</v>
      </c>
      <c r="Z1551" s="11">
        <f t="shared" si="49"/>
        <v>4.3188290054724694E-3</v>
      </c>
    </row>
    <row r="1552" spans="1:26" x14ac:dyDescent="0.2">
      <c r="A1552" s="45">
        <v>291</v>
      </c>
      <c r="B1552" s="45">
        <v>2004</v>
      </c>
      <c r="C1552" s="17">
        <v>0</v>
      </c>
      <c r="D1552" s="14">
        <v>6.50115E-2</v>
      </c>
      <c r="E1552" s="14">
        <v>0.24428420000000001</v>
      </c>
      <c r="F1552" s="14">
        <v>3.8876300000000003E-2</v>
      </c>
      <c r="G1552" s="14">
        <v>2.183338</v>
      </c>
      <c r="H1552" s="14">
        <v>0.17551810000000001</v>
      </c>
      <c r="R1552" s="11">
        <f t="shared" si="48"/>
        <v>1.2429806342921987E-3</v>
      </c>
      <c r="Z1552" s="11">
        <f t="shared" si="49"/>
        <v>1.5442096816358523E-3</v>
      </c>
    </row>
    <row r="1553" spans="1:26" x14ac:dyDescent="0.2">
      <c r="A1553" s="45">
        <v>292</v>
      </c>
      <c r="B1553" s="45">
        <v>1999</v>
      </c>
      <c r="C1553" s="17">
        <v>0</v>
      </c>
      <c r="D1553" s="14">
        <v>4.4805499999999998E-2</v>
      </c>
      <c r="E1553" s="14">
        <v>0.13233880000000001</v>
      </c>
      <c r="F1553" s="14">
        <v>3.4269500000000001E-2</v>
      </c>
      <c r="G1553" s="14">
        <v>0.59427030000000003</v>
      </c>
      <c r="H1553" s="14">
        <v>8.5428299999999999E-2</v>
      </c>
      <c r="R1553" s="11">
        <f t="shared" si="48"/>
        <v>1.8760753218949319E-2</v>
      </c>
      <c r="Z1553" s="11">
        <f t="shared" si="49"/>
        <v>2.3837538330200109E-2</v>
      </c>
    </row>
    <row r="1554" spans="1:26" x14ac:dyDescent="0.2">
      <c r="A1554" s="45">
        <v>292</v>
      </c>
      <c r="B1554" s="45">
        <v>2000</v>
      </c>
      <c r="C1554" s="17">
        <v>0</v>
      </c>
      <c r="D1554" s="14">
        <v>2.4294400000000001E-2</v>
      </c>
      <c r="E1554" s="14">
        <v>0.1108007</v>
      </c>
      <c r="F1554" s="14">
        <v>2.71991E-2</v>
      </c>
      <c r="G1554" s="14">
        <v>0.52245149999999996</v>
      </c>
      <c r="H1554" s="14">
        <v>8.1409200000000001E-2</v>
      </c>
      <c r="R1554" s="11">
        <f t="shared" si="48"/>
        <v>2.2871517282628675E-2</v>
      </c>
      <c r="Z1554" s="11">
        <f t="shared" si="49"/>
        <v>2.8888538347598681E-2</v>
      </c>
    </row>
    <row r="1555" spans="1:26" x14ac:dyDescent="0.2">
      <c r="A1555" s="45">
        <v>292</v>
      </c>
      <c r="B1555" s="45">
        <v>2001</v>
      </c>
      <c r="C1555" s="17">
        <v>0</v>
      </c>
      <c r="D1555" s="14">
        <v>-4.5897899999999998E-2</v>
      </c>
      <c r="E1555" s="14">
        <v>0.15578339999999999</v>
      </c>
      <c r="F1555" s="14">
        <v>4.0874399999999998E-2</v>
      </c>
      <c r="G1555" s="14">
        <v>0.59896179999999999</v>
      </c>
      <c r="H1555" s="14">
        <v>8.7829900000000002E-2</v>
      </c>
      <c r="R1555" s="11">
        <f t="shared" si="48"/>
        <v>1.7099688003267371E-2</v>
      </c>
      <c r="Z1555" s="11">
        <f t="shared" si="49"/>
        <v>2.1867333490669487E-2</v>
      </c>
    </row>
    <row r="1556" spans="1:26" x14ac:dyDescent="0.2">
      <c r="A1556" s="45">
        <v>292</v>
      </c>
      <c r="B1556" s="45">
        <v>2002</v>
      </c>
      <c r="C1556" s="17">
        <v>0</v>
      </c>
      <c r="D1556" s="14">
        <v>-2.5330999999999999E-3</v>
      </c>
      <c r="E1556" s="14">
        <v>0.15899630000000001</v>
      </c>
      <c r="F1556" s="14">
        <v>2.6792400000000001E-2</v>
      </c>
      <c r="G1556" s="14">
        <v>0.42630000000000001</v>
      </c>
      <c r="H1556" s="14">
        <v>9.8361699999999996E-2</v>
      </c>
      <c r="R1556" s="11">
        <f t="shared" si="48"/>
        <v>2.488419178774149E-2</v>
      </c>
      <c r="Z1556" s="11">
        <f t="shared" si="49"/>
        <v>3.1518397547155297E-2</v>
      </c>
    </row>
    <row r="1557" spans="1:26" x14ac:dyDescent="0.2">
      <c r="A1557" s="45">
        <v>292</v>
      </c>
      <c r="B1557" s="45">
        <v>2003</v>
      </c>
      <c r="C1557" s="17">
        <v>0</v>
      </c>
      <c r="D1557" s="14">
        <v>1.7448000000000002E-2</v>
      </c>
      <c r="E1557" s="14">
        <v>0.15018790000000001</v>
      </c>
      <c r="F1557" s="14">
        <v>3.5018300000000002E-2</v>
      </c>
      <c r="G1557" s="14">
        <v>0.54964230000000003</v>
      </c>
      <c r="H1557" s="14">
        <v>8.4556300000000001E-2</v>
      </c>
      <c r="R1557" s="11">
        <f t="shared" si="48"/>
        <v>1.9495702906386886E-2</v>
      </c>
      <c r="Z1557" s="11">
        <f t="shared" si="49"/>
        <v>2.4819744996164263E-2</v>
      </c>
    </row>
    <row r="1558" spans="1:26" x14ac:dyDescent="0.2">
      <c r="A1558" s="45">
        <v>292</v>
      </c>
      <c r="B1558" s="45">
        <v>2004</v>
      </c>
      <c r="C1558" s="17">
        <v>0</v>
      </c>
      <c r="D1558" s="14">
        <v>2.18677E-2</v>
      </c>
      <c r="E1558" s="14">
        <v>0.15212890000000001</v>
      </c>
      <c r="F1558" s="14">
        <v>4.6522800000000003E-2</v>
      </c>
      <c r="G1558" s="14">
        <v>0.5952134</v>
      </c>
      <c r="H1558" s="14">
        <v>9.4191300000000006E-2</v>
      </c>
      <c r="R1558" s="11">
        <f t="shared" si="48"/>
        <v>1.6539236319126321E-2</v>
      </c>
      <c r="Z1558" s="11">
        <f t="shared" si="49"/>
        <v>2.1249177839412364E-2</v>
      </c>
    </row>
    <row r="1559" spans="1:26" x14ac:dyDescent="0.2">
      <c r="A1559" s="45">
        <v>293</v>
      </c>
      <c r="B1559" s="45">
        <v>1997</v>
      </c>
      <c r="C1559" s="17">
        <v>0</v>
      </c>
      <c r="D1559" s="14">
        <v>-2.1962499999999999E-2</v>
      </c>
      <c r="E1559" s="14">
        <v>4.4517599999999997E-2</v>
      </c>
      <c r="F1559" s="14">
        <v>1.7712800000000001E-2</v>
      </c>
      <c r="G1559" s="14">
        <v>0.51531749999999998</v>
      </c>
      <c r="H1559" s="14">
        <v>0.13266749999999999</v>
      </c>
      <c r="R1559" s="11">
        <f t="shared" ref="R1559:R1622" si="50">1/(1+EXP(-(K$2+$M$2*E1559+$N$2*F1559+$O$2*G1559)))</f>
        <v>2.7355564366417132E-2</v>
      </c>
      <c r="Z1559" s="11">
        <f t="shared" si="49"/>
        <v>3.4182538726016835E-2</v>
      </c>
    </row>
    <row r="1560" spans="1:26" x14ac:dyDescent="0.2">
      <c r="A1560" s="45">
        <v>293</v>
      </c>
      <c r="B1560" s="45">
        <v>1998</v>
      </c>
      <c r="C1560" s="17">
        <v>0</v>
      </c>
      <c r="D1560" s="14">
        <v>-3.2003000000000001E-3</v>
      </c>
      <c r="E1560" s="14">
        <v>2.0909799999999999E-2</v>
      </c>
      <c r="F1560" s="14">
        <v>-0.39454610000000001</v>
      </c>
      <c r="G1560" s="14">
        <v>0.3785673</v>
      </c>
      <c r="H1560" s="14">
        <v>0.1017647</v>
      </c>
      <c r="R1560" s="11">
        <f t="shared" si="50"/>
        <v>0.49470904615183564</v>
      </c>
      <c r="Z1560" s="11">
        <f t="shared" si="49"/>
        <v>0.46827973030276604</v>
      </c>
    </row>
    <row r="1561" spans="1:26" x14ac:dyDescent="0.2">
      <c r="A1561" s="45">
        <v>294</v>
      </c>
      <c r="B1561" s="45">
        <v>1995</v>
      </c>
      <c r="C1561" s="17">
        <v>0</v>
      </c>
      <c r="D1561" s="14">
        <v>0.2141026</v>
      </c>
      <c r="E1561" s="14">
        <v>0.48262929999999998</v>
      </c>
      <c r="F1561" s="14">
        <v>7.1540599999999996E-2</v>
      </c>
      <c r="G1561" s="14">
        <v>4.0326089999999999</v>
      </c>
      <c r="H1561" s="14">
        <v>0.3280633</v>
      </c>
      <c r="R1561" s="11">
        <f t="shared" si="50"/>
        <v>3.5575092947561822E-5</v>
      </c>
      <c r="Z1561" s="11">
        <f t="shared" si="49"/>
        <v>4.3954724840839924E-5</v>
      </c>
    </row>
    <row r="1562" spans="1:26" x14ac:dyDescent="0.2">
      <c r="A1562" s="45">
        <v>294</v>
      </c>
      <c r="B1562" s="45">
        <v>1996</v>
      </c>
      <c r="C1562" s="17">
        <v>0</v>
      </c>
      <c r="D1562" s="14">
        <v>0.1117132</v>
      </c>
      <c r="E1562" s="14">
        <v>0.45874409999999999</v>
      </c>
      <c r="F1562" s="14">
        <v>7.4423600000000006E-2</v>
      </c>
      <c r="G1562" s="14">
        <v>4.1486020000000003</v>
      </c>
      <c r="H1562" s="14">
        <v>0.29650870000000001</v>
      </c>
      <c r="R1562" s="11">
        <f t="shared" si="50"/>
        <v>2.9918407487087771E-5</v>
      </c>
      <c r="Z1562" s="11">
        <f t="shared" si="49"/>
        <v>3.692836072369293E-5</v>
      </c>
    </row>
    <row r="1563" spans="1:26" x14ac:dyDescent="0.2">
      <c r="A1563" s="45">
        <v>294</v>
      </c>
      <c r="B1563" s="45">
        <v>1997</v>
      </c>
      <c r="C1563" s="17">
        <v>0</v>
      </c>
      <c r="D1563" s="14">
        <v>0.14665890000000001</v>
      </c>
      <c r="E1563" s="14">
        <v>0.50150039999999996</v>
      </c>
      <c r="F1563" s="14">
        <v>7.9324800000000001E-2</v>
      </c>
      <c r="G1563" s="14">
        <v>5.8279490000000003</v>
      </c>
      <c r="H1563" s="14">
        <v>0.27542349999999999</v>
      </c>
      <c r="R1563" s="11">
        <f t="shared" si="50"/>
        <v>1.8606591306085301E-6</v>
      </c>
      <c r="Z1563" s="11">
        <f t="shared" si="49"/>
        <v>2.2254184302261824E-6</v>
      </c>
    </row>
    <row r="1564" spans="1:26" x14ac:dyDescent="0.2">
      <c r="A1564" s="45">
        <v>294</v>
      </c>
      <c r="B1564" s="45">
        <v>1998</v>
      </c>
      <c r="C1564" s="17">
        <v>0</v>
      </c>
      <c r="D1564" s="14">
        <v>0.1347305</v>
      </c>
      <c r="E1564" s="14">
        <v>0.5221557</v>
      </c>
      <c r="F1564" s="14">
        <v>7.8257800000000002E-2</v>
      </c>
      <c r="G1564" s="14">
        <v>5.251366</v>
      </c>
      <c r="H1564" s="14">
        <v>0.26992300000000002</v>
      </c>
      <c r="R1564" s="11">
        <f t="shared" si="50"/>
        <v>4.5643183694668834E-6</v>
      </c>
      <c r="Z1564" s="11">
        <f t="shared" si="49"/>
        <v>5.5279289457856064E-6</v>
      </c>
    </row>
    <row r="1565" spans="1:26" x14ac:dyDescent="0.2">
      <c r="A1565" s="45">
        <v>294</v>
      </c>
      <c r="B1565" s="45">
        <v>1999</v>
      </c>
      <c r="C1565" s="17">
        <v>0</v>
      </c>
      <c r="D1565" s="14">
        <v>0.17037849999999999</v>
      </c>
      <c r="E1565" s="14">
        <v>0.50005169999999999</v>
      </c>
      <c r="F1565" s="14">
        <v>6.3525300000000007E-2</v>
      </c>
      <c r="G1565" s="14">
        <v>4.813777</v>
      </c>
      <c r="H1565" s="14">
        <v>0.29905809999999999</v>
      </c>
      <c r="R1565" s="11">
        <f t="shared" si="50"/>
        <v>1.0650301620903483E-5</v>
      </c>
      <c r="Z1565" s="11">
        <f t="shared" si="49"/>
        <v>1.285757907514718E-5</v>
      </c>
    </row>
    <row r="1566" spans="1:26" x14ac:dyDescent="0.2">
      <c r="A1566" s="45">
        <v>294</v>
      </c>
      <c r="B1566" s="45">
        <v>2000</v>
      </c>
      <c r="C1566" s="17">
        <v>0</v>
      </c>
      <c r="D1566" s="14">
        <v>0.19092629999999999</v>
      </c>
      <c r="E1566" s="14">
        <v>0.52320520000000004</v>
      </c>
      <c r="F1566" s="14">
        <v>6.4345600000000003E-2</v>
      </c>
      <c r="G1566" s="14">
        <v>4.3085180000000003</v>
      </c>
      <c r="H1566" s="14">
        <v>0.28988059999999999</v>
      </c>
      <c r="R1566" s="11">
        <f t="shared" si="50"/>
        <v>2.2886025817045476E-5</v>
      </c>
      <c r="Z1566" s="11">
        <f t="shared" si="49"/>
        <v>2.7979198710295554E-5</v>
      </c>
    </row>
    <row r="1567" spans="1:26" x14ac:dyDescent="0.2">
      <c r="A1567" s="45">
        <v>294</v>
      </c>
      <c r="B1567" s="45">
        <v>2001</v>
      </c>
      <c r="C1567" s="17">
        <v>0</v>
      </c>
      <c r="D1567" s="14">
        <v>0.2090562</v>
      </c>
      <c r="E1567" s="14">
        <v>0.58830910000000003</v>
      </c>
      <c r="F1567" s="14">
        <v>6.5201200000000001E-2</v>
      </c>
      <c r="G1567" s="14">
        <v>5.4999019999999996</v>
      </c>
      <c r="H1567" s="14">
        <v>0.26781450000000001</v>
      </c>
      <c r="R1567" s="11">
        <f t="shared" si="50"/>
        <v>3.0970722616925608E-6</v>
      </c>
      <c r="Z1567" s="11">
        <f t="shared" si="49"/>
        <v>3.6991148706826872E-6</v>
      </c>
    </row>
    <row r="1568" spans="1:26" x14ac:dyDescent="0.2">
      <c r="A1568" s="45">
        <v>294</v>
      </c>
      <c r="B1568" s="45">
        <v>2002</v>
      </c>
      <c r="C1568" s="17">
        <v>0</v>
      </c>
      <c r="D1568" s="14">
        <v>0.26040340000000001</v>
      </c>
      <c r="E1568" s="14">
        <v>0.59746279999999996</v>
      </c>
      <c r="F1568" s="14">
        <v>6.70853E-2</v>
      </c>
      <c r="G1568" s="14">
        <v>5.0288830000000004</v>
      </c>
      <c r="H1568" s="14">
        <v>0.26848929999999999</v>
      </c>
      <c r="R1568" s="11">
        <f t="shared" si="50"/>
        <v>6.376927559873903E-6</v>
      </c>
      <c r="Z1568" s="11">
        <f t="shared" si="49"/>
        <v>7.7102654579572811E-6</v>
      </c>
    </row>
    <row r="1569" spans="1:26" x14ac:dyDescent="0.2">
      <c r="A1569" s="45">
        <v>294</v>
      </c>
      <c r="B1569" s="45">
        <v>2003</v>
      </c>
      <c r="C1569" s="17">
        <v>0</v>
      </c>
      <c r="D1569" s="14">
        <v>0.31753690000000001</v>
      </c>
      <c r="E1569" s="14">
        <v>0.66067920000000002</v>
      </c>
      <c r="F1569" s="14">
        <v>7.1810100000000002E-2</v>
      </c>
      <c r="G1569" s="14">
        <v>7.8184649999999998</v>
      </c>
      <c r="H1569" s="14">
        <v>0.25297710000000001</v>
      </c>
      <c r="R1569" s="11">
        <f t="shared" si="50"/>
        <v>6.5711527668034336E-8</v>
      </c>
      <c r="Z1569" s="11">
        <f t="shared" si="49"/>
        <v>7.5169936401741411E-8</v>
      </c>
    </row>
    <row r="1570" spans="1:26" x14ac:dyDescent="0.2">
      <c r="A1570" s="45">
        <v>294</v>
      </c>
      <c r="B1570" s="45">
        <v>2004</v>
      </c>
      <c r="C1570" s="17">
        <v>0</v>
      </c>
      <c r="D1570" s="14">
        <v>0.2638915</v>
      </c>
      <c r="E1570" s="14">
        <v>0.77655249999999998</v>
      </c>
      <c r="F1570" s="14">
        <v>7.1053500000000006E-2</v>
      </c>
      <c r="G1570" s="14">
        <v>7.4014170000000004</v>
      </c>
      <c r="H1570" s="14">
        <v>0.29750559999999998</v>
      </c>
      <c r="R1570" s="11">
        <f t="shared" si="50"/>
        <v>1.0857590586154174E-7</v>
      </c>
      <c r="Z1570" s="11">
        <f t="shared" si="49"/>
        <v>1.2577089792146487E-7</v>
      </c>
    </row>
    <row r="1571" spans="1:26" x14ac:dyDescent="0.2">
      <c r="A1571" s="45">
        <v>295</v>
      </c>
      <c r="B1571" s="45">
        <v>1998</v>
      </c>
      <c r="C1571" s="17">
        <v>0</v>
      </c>
      <c r="D1571" s="14">
        <v>3.7807899999999998E-2</v>
      </c>
      <c r="E1571" s="14">
        <v>-9.8660300000000006E-2</v>
      </c>
      <c r="F1571" s="14">
        <v>3.0164E-2</v>
      </c>
      <c r="G1571" s="14">
        <v>0.45585910000000002</v>
      </c>
      <c r="H1571" s="14">
        <v>0.25643389999999999</v>
      </c>
      <c r="R1571" s="11">
        <f t="shared" si="50"/>
        <v>3.3318369348581962E-2</v>
      </c>
      <c r="Z1571" s="11">
        <f t="shared" si="49"/>
        <v>4.1833920064901428E-2</v>
      </c>
    </row>
    <row r="1572" spans="1:26" x14ac:dyDescent="0.2">
      <c r="A1572" s="45">
        <v>295</v>
      </c>
      <c r="B1572" s="45">
        <v>2000</v>
      </c>
      <c r="C1572" s="17">
        <v>0</v>
      </c>
      <c r="D1572" s="14">
        <v>6.5100400000000003E-2</v>
      </c>
      <c r="E1572" s="14">
        <v>-0.1807676</v>
      </c>
      <c r="F1572" s="14">
        <v>4.9495499999999998E-2</v>
      </c>
      <c r="G1572" s="14">
        <v>0.57957879999999995</v>
      </c>
      <c r="H1572" s="14">
        <v>0.31056810000000001</v>
      </c>
      <c r="R1572" s="11">
        <f t="shared" si="50"/>
        <v>2.6592659060051402E-2</v>
      </c>
      <c r="Z1572" s="11">
        <f t="shared" si="49"/>
        <v>3.3783561281914037E-2</v>
      </c>
    </row>
    <row r="1573" spans="1:26" x14ac:dyDescent="0.2">
      <c r="A1573" s="45">
        <v>295</v>
      </c>
      <c r="B1573" s="45">
        <v>2001</v>
      </c>
      <c r="C1573" s="17">
        <v>0</v>
      </c>
      <c r="D1573" s="14">
        <v>-5.5344499999999998E-2</v>
      </c>
      <c r="E1573" s="14">
        <v>-0.2232952</v>
      </c>
      <c r="F1573" s="14">
        <v>3.4895500000000003E-2</v>
      </c>
      <c r="G1573" s="14">
        <v>0.45086749999999998</v>
      </c>
      <c r="H1573" s="14">
        <v>0.27800209999999997</v>
      </c>
      <c r="R1573" s="11">
        <f t="shared" si="50"/>
        <v>3.8552034289953935E-2</v>
      </c>
      <c r="Z1573" s="11">
        <f t="shared" si="49"/>
        <v>4.8325275679490916E-2</v>
      </c>
    </row>
    <row r="1574" spans="1:26" x14ac:dyDescent="0.2">
      <c r="A1574" s="45">
        <v>295</v>
      </c>
      <c r="B1574" s="45">
        <v>2002</v>
      </c>
      <c r="C1574" s="17">
        <v>0</v>
      </c>
      <c r="D1574" s="14">
        <v>0.1107326</v>
      </c>
      <c r="E1574" s="14">
        <v>-0.27365050000000002</v>
      </c>
      <c r="F1574" s="14">
        <v>6.5700700000000001E-2</v>
      </c>
      <c r="G1574" s="14">
        <v>0.56344289999999997</v>
      </c>
      <c r="H1574" s="14">
        <v>0.31353999999999999</v>
      </c>
      <c r="R1574" s="11">
        <f t="shared" si="50"/>
        <v>2.7410763572408726E-2</v>
      </c>
      <c r="Z1574" s="11">
        <f t="shared" si="49"/>
        <v>3.5168009742284165E-2</v>
      </c>
    </row>
    <row r="1575" spans="1:26" x14ac:dyDescent="0.2">
      <c r="A1575" s="45">
        <v>295</v>
      </c>
      <c r="B1575" s="45">
        <v>2003</v>
      </c>
      <c r="C1575" s="17">
        <v>0</v>
      </c>
      <c r="D1575" s="14">
        <v>0.15520320000000001</v>
      </c>
      <c r="E1575" s="14">
        <v>-0.28339900000000001</v>
      </c>
      <c r="F1575" s="14">
        <v>5.0953199999999997E-2</v>
      </c>
      <c r="G1575" s="14">
        <v>0.53327000000000002</v>
      </c>
      <c r="H1575" s="14">
        <v>0.36362660000000002</v>
      </c>
      <c r="R1575" s="11">
        <f t="shared" si="50"/>
        <v>3.2647266942536578E-2</v>
      </c>
      <c r="Z1575" s="11">
        <f t="shared" si="49"/>
        <v>4.1354055518477997E-2</v>
      </c>
    </row>
    <row r="1576" spans="1:26" x14ac:dyDescent="0.2">
      <c r="A1576" s="45">
        <v>295</v>
      </c>
      <c r="B1576" s="45">
        <v>2004</v>
      </c>
      <c r="C1576" s="17">
        <v>0</v>
      </c>
      <c r="D1576" s="14">
        <v>0.1577144</v>
      </c>
      <c r="E1576" s="14">
        <v>-0.25539499999999998</v>
      </c>
      <c r="F1576" s="14">
        <v>7.6363299999999995E-2</v>
      </c>
      <c r="G1576" s="14">
        <v>0.71583479999999999</v>
      </c>
      <c r="H1576" s="14">
        <v>0.34753899999999999</v>
      </c>
      <c r="R1576" s="11">
        <f t="shared" si="50"/>
        <v>1.9384406844419045E-2</v>
      </c>
      <c r="Z1576" s="11">
        <f t="shared" si="49"/>
        <v>2.507491608978267E-2</v>
      </c>
    </row>
    <row r="1577" spans="1:26" x14ac:dyDescent="0.2">
      <c r="A1577" s="45">
        <v>296</v>
      </c>
      <c r="B1577" s="45">
        <v>1995</v>
      </c>
      <c r="C1577" s="17">
        <v>0</v>
      </c>
      <c r="D1577" s="14">
        <v>0.15536359999999999</v>
      </c>
      <c r="E1577" s="14">
        <v>0.2892498</v>
      </c>
      <c r="F1577" s="14">
        <v>3.6045500000000001E-2</v>
      </c>
      <c r="G1577" s="14">
        <v>1.5390699999999999</v>
      </c>
      <c r="H1577" s="14">
        <v>0.1980924</v>
      </c>
      <c r="R1577" s="11">
        <f t="shared" si="50"/>
        <v>3.3181152785956088E-3</v>
      </c>
      <c r="Z1577" s="11">
        <f t="shared" si="49"/>
        <v>4.1755513827129226E-3</v>
      </c>
    </row>
    <row r="1578" spans="1:26" x14ac:dyDescent="0.2">
      <c r="A1578" s="45">
        <v>296</v>
      </c>
      <c r="B1578" s="45">
        <v>1996</v>
      </c>
      <c r="C1578" s="17">
        <v>0</v>
      </c>
      <c r="D1578" s="14">
        <v>1.8436299999999999E-2</v>
      </c>
      <c r="E1578" s="14">
        <v>0.22935330000000001</v>
      </c>
      <c r="F1578" s="14">
        <v>5.1409200000000002E-2</v>
      </c>
      <c r="G1578" s="14">
        <v>1.7439770000000001</v>
      </c>
      <c r="H1578" s="14">
        <v>0.27603620000000001</v>
      </c>
      <c r="R1578" s="11">
        <f t="shared" si="50"/>
        <v>2.3118845049924525E-3</v>
      </c>
      <c r="Z1578" s="11">
        <f t="shared" si="49"/>
        <v>2.9276031642123082E-3</v>
      </c>
    </row>
    <row r="1579" spans="1:26" x14ac:dyDescent="0.2">
      <c r="A1579" s="45">
        <v>296</v>
      </c>
      <c r="B1579" s="45">
        <v>1997</v>
      </c>
      <c r="C1579" s="17">
        <v>0</v>
      </c>
      <c r="D1579" s="14">
        <v>6.6159999999999997E-2</v>
      </c>
      <c r="E1579" s="14">
        <v>0.2414772</v>
      </c>
      <c r="F1579" s="14">
        <v>6.2269999999999999E-2</v>
      </c>
      <c r="G1579" s="14">
        <v>2.44075</v>
      </c>
      <c r="H1579" s="14">
        <v>0.24907699999999999</v>
      </c>
      <c r="R1579" s="11">
        <f t="shared" si="50"/>
        <v>6.8716018737223516E-4</v>
      </c>
      <c r="Z1579" s="11">
        <f t="shared" si="49"/>
        <v>8.6532210807499358E-4</v>
      </c>
    </row>
    <row r="1580" spans="1:26" x14ac:dyDescent="0.2">
      <c r="A1580" s="45">
        <v>296</v>
      </c>
      <c r="B1580" s="45">
        <v>1998</v>
      </c>
      <c r="C1580" s="17">
        <v>0</v>
      </c>
      <c r="D1580" s="14">
        <v>3.4256099999999998E-2</v>
      </c>
      <c r="E1580" s="14">
        <v>0.24437700000000001</v>
      </c>
      <c r="F1580" s="14">
        <v>3.0792699999999999E-2</v>
      </c>
      <c r="G1580" s="14">
        <v>2.090497</v>
      </c>
      <c r="H1580" s="14">
        <v>0.2436874</v>
      </c>
      <c r="R1580" s="11">
        <f t="shared" si="50"/>
        <v>1.5367889765361045E-3</v>
      </c>
      <c r="Z1580" s="11">
        <f t="shared" si="49"/>
        <v>1.9003805418336859E-3</v>
      </c>
    </row>
    <row r="1581" spans="1:26" x14ac:dyDescent="0.2">
      <c r="A1581" s="45">
        <v>296</v>
      </c>
      <c r="B1581" s="45">
        <v>1999</v>
      </c>
      <c r="C1581" s="17">
        <v>0</v>
      </c>
      <c r="D1581" s="14">
        <v>5.5366800000000001E-2</v>
      </c>
      <c r="E1581" s="14">
        <v>0.25108209999999997</v>
      </c>
      <c r="F1581" s="14">
        <v>7.6067800000000005E-2</v>
      </c>
      <c r="G1581" s="14">
        <v>2.5862620000000001</v>
      </c>
      <c r="H1581" s="14">
        <v>0.41720810000000003</v>
      </c>
      <c r="R1581" s="11">
        <f t="shared" si="50"/>
        <v>4.8132906325311879E-4</v>
      </c>
      <c r="Z1581" s="11">
        <f t="shared" si="49"/>
        <v>6.1128830421070738E-4</v>
      </c>
    </row>
    <row r="1582" spans="1:26" x14ac:dyDescent="0.2">
      <c r="A1582" s="45">
        <v>296</v>
      </c>
      <c r="B1582" s="45">
        <v>2000</v>
      </c>
      <c r="C1582" s="17">
        <v>0</v>
      </c>
      <c r="D1582" s="14">
        <v>4.2373500000000001E-2</v>
      </c>
      <c r="E1582" s="14">
        <v>0.21643960000000001</v>
      </c>
      <c r="F1582" s="14">
        <v>0.10400860000000001</v>
      </c>
      <c r="G1582" s="14">
        <v>2.4754200000000002</v>
      </c>
      <c r="H1582" s="14">
        <v>0.48080699999999998</v>
      </c>
      <c r="R1582" s="11">
        <f t="shared" si="50"/>
        <v>4.8301969361570134E-4</v>
      </c>
      <c r="Z1582" s="11">
        <f t="shared" si="49"/>
        <v>6.2842458091254228E-4</v>
      </c>
    </row>
    <row r="1583" spans="1:26" x14ac:dyDescent="0.2">
      <c r="A1583" s="45">
        <v>296</v>
      </c>
      <c r="B1583" s="45">
        <v>2001</v>
      </c>
      <c r="C1583" s="17">
        <v>0</v>
      </c>
      <c r="D1583" s="14">
        <v>-4.2725999999999997E-3</v>
      </c>
      <c r="E1583" s="14">
        <v>0.25561709999999999</v>
      </c>
      <c r="F1583" s="14">
        <v>4.1816699999999998E-2</v>
      </c>
      <c r="G1583" s="14">
        <v>2.7440359999999999</v>
      </c>
      <c r="H1583" s="14">
        <v>0.3222238</v>
      </c>
      <c r="R1583" s="11">
        <f t="shared" si="50"/>
        <v>4.890664101110196E-4</v>
      </c>
      <c r="Z1583" s="11">
        <f t="shared" si="49"/>
        <v>6.0192834583524635E-4</v>
      </c>
    </row>
    <row r="1584" spans="1:26" x14ac:dyDescent="0.2">
      <c r="A1584" s="45">
        <v>297</v>
      </c>
      <c r="B1584" s="45">
        <v>1995</v>
      </c>
      <c r="C1584" s="17">
        <v>0</v>
      </c>
      <c r="D1584" s="14">
        <v>0.18678929999999999</v>
      </c>
      <c r="E1584" s="14">
        <v>0.19100890000000001</v>
      </c>
      <c r="F1584" s="14">
        <v>5.1937200000000003E-2</v>
      </c>
      <c r="G1584" s="14">
        <v>1.4603079999999999</v>
      </c>
      <c r="H1584" s="14">
        <v>0.22370709999999999</v>
      </c>
      <c r="R1584" s="11">
        <f t="shared" si="50"/>
        <v>3.8195553270022418E-3</v>
      </c>
      <c r="Z1584" s="11">
        <f t="shared" si="49"/>
        <v>4.8607460714730965E-3</v>
      </c>
    </row>
    <row r="1585" spans="1:26" x14ac:dyDescent="0.2">
      <c r="A1585" s="45">
        <v>297</v>
      </c>
      <c r="B1585" s="45">
        <v>1996</v>
      </c>
      <c r="C1585" s="17">
        <v>0</v>
      </c>
      <c r="D1585" s="14">
        <v>0.1409068</v>
      </c>
      <c r="E1585" s="14">
        <v>0.12910640000000001</v>
      </c>
      <c r="F1585" s="14">
        <v>4.1369599999999999E-2</v>
      </c>
      <c r="G1585" s="14">
        <v>1.3963449999999999</v>
      </c>
      <c r="H1585" s="14">
        <v>0.10511479999999999</v>
      </c>
      <c r="R1585" s="11">
        <f t="shared" si="50"/>
        <v>5.0298380572714697E-3</v>
      </c>
      <c r="Z1585" s="11">
        <f t="shared" si="49"/>
        <v>6.3394931413946259E-3</v>
      </c>
    </row>
    <row r="1586" spans="1:26" x14ac:dyDescent="0.2">
      <c r="A1586" s="45">
        <v>297</v>
      </c>
      <c r="B1586" s="45">
        <v>1997</v>
      </c>
      <c r="C1586" s="17">
        <v>0</v>
      </c>
      <c r="D1586" s="14">
        <v>0.12676609999999999</v>
      </c>
      <c r="E1586" s="14">
        <v>0.12773390000000001</v>
      </c>
      <c r="F1586" s="14">
        <v>3.4030900000000003E-2</v>
      </c>
      <c r="G1586" s="14">
        <v>0.72847399999999995</v>
      </c>
      <c r="H1586" s="14">
        <v>7.9049999999999995E-2</v>
      </c>
      <c r="R1586" s="11">
        <f t="shared" si="50"/>
        <v>1.53327717712271E-2</v>
      </c>
      <c r="Z1586" s="11">
        <f t="shared" si="49"/>
        <v>1.9437193929707827E-2</v>
      </c>
    </row>
    <row r="1587" spans="1:26" x14ac:dyDescent="0.2">
      <c r="A1587" s="45">
        <v>297</v>
      </c>
      <c r="B1587" s="45">
        <v>1998</v>
      </c>
      <c r="C1587" s="17">
        <v>0</v>
      </c>
      <c r="D1587" s="14">
        <v>7.19254E-2</v>
      </c>
      <c r="E1587" s="14">
        <v>0.14123569999999999</v>
      </c>
      <c r="F1587" s="14">
        <v>1.68734E-2</v>
      </c>
      <c r="G1587" s="14">
        <v>0.53004629999999997</v>
      </c>
      <c r="H1587" s="14">
        <v>7.1757399999999999E-2</v>
      </c>
      <c r="R1587" s="11">
        <f t="shared" si="50"/>
        <v>2.3465334147324792E-2</v>
      </c>
      <c r="Z1587" s="11">
        <f t="shared" si="49"/>
        <v>2.9416416984394539E-2</v>
      </c>
    </row>
    <row r="1588" spans="1:26" x14ac:dyDescent="0.2">
      <c r="A1588" s="45">
        <v>297</v>
      </c>
      <c r="B1588" s="45">
        <v>1999</v>
      </c>
      <c r="C1588" s="17">
        <v>0</v>
      </c>
      <c r="D1588" s="14">
        <v>7.4018299999999995E-2</v>
      </c>
      <c r="E1588" s="14">
        <v>0.12742690000000001</v>
      </c>
      <c r="F1588" s="14">
        <v>5.0559100000000003E-2</v>
      </c>
      <c r="G1588" s="14">
        <v>1.3272219999999999</v>
      </c>
      <c r="H1588" s="14">
        <v>0.1191357</v>
      </c>
      <c r="R1588" s="11">
        <f t="shared" si="50"/>
        <v>5.2292924831509281E-3</v>
      </c>
      <c r="Z1588" s="11">
        <f t="shared" si="49"/>
        <v>6.6497050183027453E-3</v>
      </c>
    </row>
    <row r="1589" spans="1:26" x14ac:dyDescent="0.2">
      <c r="A1589" s="45">
        <v>297</v>
      </c>
      <c r="B1589" s="45">
        <v>2000</v>
      </c>
      <c r="C1589" s="17">
        <v>0</v>
      </c>
      <c r="D1589" s="14">
        <v>6.8238999999999994E-2</v>
      </c>
      <c r="E1589" s="14">
        <v>0.123963</v>
      </c>
      <c r="F1589" s="14">
        <v>4.7078000000000002E-2</v>
      </c>
      <c r="G1589" s="14">
        <v>0.68874020000000002</v>
      </c>
      <c r="H1589" s="14">
        <v>0.1061545</v>
      </c>
      <c r="R1589" s="11">
        <f t="shared" si="50"/>
        <v>1.4805019828053559E-2</v>
      </c>
      <c r="Z1589" s="11">
        <f t="shared" si="49"/>
        <v>1.8982741350218553E-2</v>
      </c>
    </row>
    <row r="1590" spans="1:26" x14ac:dyDescent="0.2">
      <c r="A1590" s="45">
        <v>297</v>
      </c>
      <c r="B1590" s="45">
        <v>2001</v>
      </c>
      <c r="C1590" s="17">
        <v>0</v>
      </c>
      <c r="D1590" s="14">
        <v>9.8392300000000002E-2</v>
      </c>
      <c r="E1590" s="14">
        <v>0.1950983</v>
      </c>
      <c r="F1590" s="14">
        <v>3.0896300000000002E-2</v>
      </c>
      <c r="G1590" s="14">
        <v>0.75440850000000004</v>
      </c>
      <c r="H1590" s="14">
        <v>7.7420199999999995E-2</v>
      </c>
      <c r="R1590" s="11">
        <f t="shared" si="50"/>
        <v>1.3700662498514388E-2</v>
      </c>
      <c r="Z1590" s="11">
        <f t="shared" si="49"/>
        <v>1.736170387534193E-2</v>
      </c>
    </row>
    <row r="1591" spans="1:26" x14ac:dyDescent="0.2">
      <c r="A1591" s="45">
        <v>297</v>
      </c>
      <c r="B1591" s="45">
        <v>2002</v>
      </c>
      <c r="C1591" s="17">
        <v>0</v>
      </c>
      <c r="D1591" s="14">
        <v>0.1481972</v>
      </c>
      <c r="E1591" s="14">
        <v>3.5690800000000002E-2</v>
      </c>
      <c r="F1591" s="14">
        <v>3.1619599999999998E-2</v>
      </c>
      <c r="G1591" s="14">
        <v>0.84343020000000002</v>
      </c>
      <c r="H1591" s="14">
        <v>8.4072300000000003E-2</v>
      </c>
      <c r="R1591" s="11">
        <f t="shared" si="50"/>
        <v>1.4885297605915872E-2</v>
      </c>
      <c r="Z1591" s="11">
        <f t="shared" si="49"/>
        <v>1.8730866114376132E-2</v>
      </c>
    </row>
    <row r="1592" spans="1:26" x14ac:dyDescent="0.2">
      <c r="A1592" s="45">
        <v>297</v>
      </c>
      <c r="B1592" s="45">
        <v>2003</v>
      </c>
      <c r="C1592" s="17">
        <v>0</v>
      </c>
      <c r="D1592" s="14">
        <v>0.1177033</v>
      </c>
      <c r="E1592" s="14">
        <v>7.3494400000000001E-2</v>
      </c>
      <c r="F1592" s="14">
        <v>5.64051E-2</v>
      </c>
      <c r="G1592" s="14">
        <v>1.449171</v>
      </c>
      <c r="H1592" s="14">
        <v>0.1229372</v>
      </c>
      <c r="R1592" s="11">
        <f t="shared" si="50"/>
        <v>4.447671303689513E-3</v>
      </c>
      <c r="Z1592" s="11">
        <f t="shared" si="49"/>
        <v>5.6584331631762451E-3</v>
      </c>
    </row>
    <row r="1593" spans="1:26" x14ac:dyDescent="0.2">
      <c r="A1593" s="45">
        <v>297</v>
      </c>
      <c r="B1593" s="45">
        <v>2004</v>
      </c>
      <c r="C1593" s="17">
        <v>0</v>
      </c>
      <c r="D1593" s="14">
        <v>0.1448883</v>
      </c>
      <c r="E1593" s="14">
        <v>0.13252430000000001</v>
      </c>
      <c r="F1593" s="14">
        <v>5.7075000000000001E-2</v>
      </c>
      <c r="G1593" s="14">
        <v>1.149721</v>
      </c>
      <c r="H1593" s="14">
        <v>0.12942909999999999</v>
      </c>
      <c r="R1593" s="11">
        <f t="shared" si="50"/>
        <v>6.5293020860387671E-3</v>
      </c>
      <c r="Z1593" s="11">
        <f t="shared" si="49"/>
        <v>8.3778194093194862E-3</v>
      </c>
    </row>
    <row r="1594" spans="1:26" x14ac:dyDescent="0.2">
      <c r="A1594" s="45">
        <v>298</v>
      </c>
      <c r="B1594" s="45">
        <v>1995</v>
      </c>
      <c r="C1594" s="17">
        <v>0</v>
      </c>
      <c r="D1594" s="14">
        <v>0.21169969999999999</v>
      </c>
      <c r="E1594" s="14">
        <v>0.31560640000000001</v>
      </c>
      <c r="F1594" s="14">
        <v>6.3015100000000004E-2</v>
      </c>
      <c r="G1594" s="14">
        <v>1.0558650000000001</v>
      </c>
      <c r="H1594" s="14">
        <v>0.31667960000000001</v>
      </c>
      <c r="R1594" s="11">
        <f t="shared" si="50"/>
        <v>5.5463331201147563E-3</v>
      </c>
      <c r="Z1594" s="11">
        <f t="shared" si="49"/>
        <v>7.212541663167365E-3</v>
      </c>
    </row>
    <row r="1595" spans="1:26" x14ac:dyDescent="0.2">
      <c r="A1595" s="45">
        <v>298</v>
      </c>
      <c r="B1595" s="45">
        <v>1996</v>
      </c>
      <c r="C1595" s="17">
        <v>0</v>
      </c>
      <c r="D1595" s="14">
        <v>0.2588145</v>
      </c>
      <c r="E1595" s="14">
        <v>0.35075980000000001</v>
      </c>
      <c r="F1595" s="14">
        <v>5.9672999999999997E-2</v>
      </c>
      <c r="G1595" s="14">
        <v>1.4088529999999999</v>
      </c>
      <c r="H1595" s="14">
        <v>0.3439779</v>
      </c>
      <c r="R1595" s="11">
        <f t="shared" si="50"/>
        <v>3.091642812329108E-3</v>
      </c>
      <c r="Z1595" s="11">
        <f t="shared" si="49"/>
        <v>3.9862791320516193E-3</v>
      </c>
    </row>
    <row r="1596" spans="1:26" x14ac:dyDescent="0.2">
      <c r="A1596" s="45">
        <v>298</v>
      </c>
      <c r="B1596" s="45">
        <v>1997</v>
      </c>
      <c r="C1596" s="17">
        <v>0</v>
      </c>
      <c r="D1596" s="14">
        <v>6.7035899999999995E-2</v>
      </c>
      <c r="E1596" s="14">
        <v>0.27380260000000001</v>
      </c>
      <c r="F1596" s="14">
        <v>5.7861700000000002E-2</v>
      </c>
      <c r="G1596" s="14">
        <v>1.126074</v>
      </c>
      <c r="H1596" s="14">
        <v>0.26046629999999998</v>
      </c>
      <c r="R1596" s="11">
        <f t="shared" si="50"/>
        <v>5.4921116566960899E-3</v>
      </c>
      <c r="Z1596" s="11">
        <f t="shared" si="49"/>
        <v>7.0912501513814945E-3</v>
      </c>
    </row>
    <row r="1597" spans="1:26" x14ac:dyDescent="0.2">
      <c r="A1597" s="45">
        <v>298</v>
      </c>
      <c r="B1597" s="45">
        <v>1998</v>
      </c>
      <c r="C1597" s="17">
        <v>0</v>
      </c>
      <c r="D1597" s="14">
        <v>8.9922500000000002E-2</v>
      </c>
      <c r="E1597" s="14">
        <v>0.31753239999999999</v>
      </c>
      <c r="F1597" s="14">
        <v>5.3572099999999997E-2</v>
      </c>
      <c r="G1597" s="14">
        <v>1.419259</v>
      </c>
      <c r="H1597" s="14">
        <v>0.24124899999999999</v>
      </c>
      <c r="R1597" s="11">
        <f t="shared" si="50"/>
        <v>3.3500497905688833E-3</v>
      </c>
      <c r="Z1597" s="11">
        <f t="shared" si="49"/>
        <v>4.2918346697386721E-3</v>
      </c>
    </row>
    <row r="1598" spans="1:26" x14ac:dyDescent="0.2">
      <c r="A1598" s="45">
        <v>298</v>
      </c>
      <c r="B1598" s="45">
        <v>1999</v>
      </c>
      <c r="C1598" s="17">
        <v>0</v>
      </c>
      <c r="D1598" s="14">
        <v>0.16131090000000001</v>
      </c>
      <c r="E1598" s="14">
        <v>0.37057760000000001</v>
      </c>
      <c r="F1598" s="14">
        <v>6.23405E-2</v>
      </c>
      <c r="G1598" s="14">
        <v>1.7203079999999999</v>
      </c>
      <c r="H1598" s="14">
        <v>0.24010029999999999</v>
      </c>
      <c r="R1598" s="11">
        <f t="shared" si="50"/>
        <v>1.792334977935954E-3</v>
      </c>
      <c r="Z1598" s="11">
        <f t="shared" si="49"/>
        <v>2.3026680698759665E-3</v>
      </c>
    </row>
    <row r="1599" spans="1:26" x14ac:dyDescent="0.2">
      <c r="A1599" s="45">
        <v>298</v>
      </c>
      <c r="B1599" s="45">
        <v>2000</v>
      </c>
      <c r="C1599" s="17">
        <v>0</v>
      </c>
      <c r="D1599" s="14">
        <v>-3.7157799999999998E-2</v>
      </c>
      <c r="E1599" s="14">
        <v>0.34919820000000001</v>
      </c>
      <c r="F1599" s="14">
        <v>5.8365100000000003E-2</v>
      </c>
      <c r="G1599" s="14">
        <v>0.99363380000000001</v>
      </c>
      <c r="H1599" s="14">
        <v>0.26506800000000003</v>
      </c>
      <c r="R1599" s="11">
        <f t="shared" si="50"/>
        <v>6.0505765299087595E-3</v>
      </c>
      <c r="Z1599" s="11">
        <f t="shared" si="49"/>
        <v>7.8570090033297044E-3</v>
      </c>
    </row>
    <row r="1600" spans="1:26" x14ac:dyDescent="0.2">
      <c r="A1600" s="45">
        <v>298</v>
      </c>
      <c r="B1600" s="45">
        <v>2001</v>
      </c>
      <c r="C1600" s="17">
        <v>0</v>
      </c>
      <c r="D1600" s="14">
        <v>5.7731999999999999E-2</v>
      </c>
      <c r="E1600" s="14">
        <v>0.34117910000000001</v>
      </c>
      <c r="F1600" s="14">
        <v>5.2241299999999997E-2</v>
      </c>
      <c r="G1600" s="14">
        <v>1.0170589999999999</v>
      </c>
      <c r="H1600" s="14">
        <v>0.26422459999999998</v>
      </c>
      <c r="R1600" s="11">
        <f t="shared" si="50"/>
        <v>6.1924150493907464E-3</v>
      </c>
      <c r="Z1600" s="11">
        <f t="shared" si="49"/>
        <v>7.9946390294392388E-3</v>
      </c>
    </row>
    <row r="1601" spans="1:26" x14ac:dyDescent="0.2">
      <c r="A1601" s="45">
        <v>298</v>
      </c>
      <c r="B1601" s="45">
        <v>2002</v>
      </c>
      <c r="C1601" s="17">
        <v>0</v>
      </c>
      <c r="D1601" s="14">
        <v>6.3675599999999999E-2</v>
      </c>
      <c r="E1601" s="14">
        <v>0.29640699999999998</v>
      </c>
      <c r="F1601" s="14">
        <v>5.2719500000000002E-2</v>
      </c>
      <c r="G1601" s="14">
        <v>1.0127360000000001</v>
      </c>
      <c r="H1601" s="14">
        <v>0.25754139999999998</v>
      </c>
      <c r="R1601" s="11">
        <f t="shared" si="50"/>
        <v>6.6263356542679876E-3</v>
      </c>
      <c r="Z1601" s="11">
        <f t="shared" si="49"/>
        <v>8.5448814043973687E-3</v>
      </c>
    </row>
    <row r="1602" spans="1:26" x14ac:dyDescent="0.2">
      <c r="A1602" s="45">
        <v>298</v>
      </c>
      <c r="B1602" s="45">
        <v>2003</v>
      </c>
      <c r="C1602" s="17">
        <v>0</v>
      </c>
      <c r="D1602" s="14">
        <v>7.5808500000000001E-2</v>
      </c>
      <c r="E1602" s="14">
        <v>0.39242959999999999</v>
      </c>
      <c r="F1602" s="14">
        <v>4.9124800000000003E-2</v>
      </c>
      <c r="G1602" s="14">
        <v>1.9400390000000001</v>
      </c>
      <c r="H1602" s="14">
        <v>0.23897080000000001</v>
      </c>
      <c r="R1602" s="11">
        <f t="shared" si="50"/>
        <v>1.3603333397297756E-3</v>
      </c>
      <c r="Z1602" s="11">
        <f t="shared" ref="Z1602:Z1665" si="51">1/(1+EXP(-(U$2+$V$2*E1602+$W$2*F1602+$X$2*G1602)))</f>
        <v>1.7220328750199589E-3</v>
      </c>
    </row>
    <row r="1603" spans="1:26" x14ac:dyDescent="0.2">
      <c r="A1603" s="45">
        <v>298</v>
      </c>
      <c r="B1603" s="45">
        <v>2004</v>
      </c>
      <c r="C1603" s="17">
        <v>0</v>
      </c>
      <c r="D1603" s="14">
        <v>0.1725044</v>
      </c>
      <c r="E1603" s="14">
        <v>0.47772229999999999</v>
      </c>
      <c r="F1603" s="14">
        <v>6.4723000000000003E-2</v>
      </c>
      <c r="G1603" s="14">
        <v>2.4597509999999998</v>
      </c>
      <c r="H1603" s="14">
        <v>0.2436333</v>
      </c>
      <c r="R1603" s="11">
        <f t="shared" si="50"/>
        <v>4.6376785984913332E-4</v>
      </c>
      <c r="Z1603" s="11">
        <f t="shared" si="51"/>
        <v>5.8972756645676004E-4</v>
      </c>
    </row>
    <row r="1604" spans="1:26" x14ac:dyDescent="0.2">
      <c r="A1604" s="45">
        <v>299</v>
      </c>
      <c r="B1604" s="45">
        <v>1996</v>
      </c>
      <c r="C1604" s="17">
        <v>0</v>
      </c>
      <c r="D1604" s="14">
        <v>0.23858480000000001</v>
      </c>
      <c r="E1604" s="14">
        <v>-2.3847400000000001E-2</v>
      </c>
      <c r="F1604" s="14">
        <v>3.2893400000000003E-2</v>
      </c>
      <c r="G1604" s="14">
        <v>0.38053880000000001</v>
      </c>
      <c r="H1604" s="14">
        <v>0.347111</v>
      </c>
      <c r="R1604" s="11">
        <f t="shared" si="50"/>
        <v>3.2979215135609793E-2</v>
      </c>
      <c r="Z1604" s="11">
        <f t="shared" si="51"/>
        <v>4.1669010338737815E-2</v>
      </c>
    </row>
    <row r="1605" spans="1:26" x14ac:dyDescent="0.2">
      <c r="A1605" s="45">
        <v>299</v>
      </c>
      <c r="B1605" s="45">
        <v>1997</v>
      </c>
      <c r="C1605" s="17">
        <v>0</v>
      </c>
      <c r="D1605" s="14">
        <v>0.21158060000000001</v>
      </c>
      <c r="E1605" s="14">
        <v>2.1441399999999999E-2</v>
      </c>
      <c r="F1605" s="14">
        <v>5.3616200000000003E-2</v>
      </c>
      <c r="G1605" s="14">
        <v>0.32937539999999998</v>
      </c>
      <c r="H1605" s="14">
        <v>0.21363009999999999</v>
      </c>
      <c r="R1605" s="11">
        <f t="shared" si="50"/>
        <v>2.8514252914912466E-2</v>
      </c>
      <c r="Z1605" s="11">
        <f t="shared" si="51"/>
        <v>3.6761493789844349E-2</v>
      </c>
    </row>
    <row r="1606" spans="1:26" x14ac:dyDescent="0.2">
      <c r="A1606" s="45">
        <v>299</v>
      </c>
      <c r="B1606" s="45">
        <v>1998</v>
      </c>
      <c r="C1606" s="17">
        <v>0</v>
      </c>
      <c r="D1606" s="14">
        <v>0.44713629999999999</v>
      </c>
      <c r="E1606" s="14">
        <v>0.37358730000000001</v>
      </c>
      <c r="F1606" s="14">
        <v>3.2555300000000002E-2</v>
      </c>
      <c r="G1606" s="14">
        <v>0.50139149999999999</v>
      </c>
      <c r="H1606" s="14">
        <v>0.48830760000000001</v>
      </c>
      <c r="R1606" s="11">
        <f t="shared" si="50"/>
        <v>1.5579358643561915E-2</v>
      </c>
      <c r="Z1606" s="11">
        <f t="shared" si="51"/>
        <v>1.9986381361919523E-2</v>
      </c>
    </row>
    <row r="1607" spans="1:26" x14ac:dyDescent="0.2">
      <c r="A1607" s="45">
        <v>299</v>
      </c>
      <c r="B1607" s="45">
        <v>1999</v>
      </c>
      <c r="C1607" s="17">
        <v>0</v>
      </c>
      <c r="D1607" s="14">
        <v>0.4750317</v>
      </c>
      <c r="E1607" s="14">
        <v>0.43259890000000001</v>
      </c>
      <c r="F1607" s="14">
        <v>4.0895599999999997E-2</v>
      </c>
      <c r="G1607" s="14">
        <v>0.73415359999999996</v>
      </c>
      <c r="H1607" s="14">
        <v>0.52388270000000003</v>
      </c>
      <c r="R1607" s="11">
        <f t="shared" si="50"/>
        <v>9.2893549988042178E-3</v>
      </c>
      <c r="Z1607" s="11">
        <f t="shared" si="51"/>
        <v>1.1982788007439389E-2</v>
      </c>
    </row>
    <row r="1608" spans="1:26" x14ac:dyDescent="0.2">
      <c r="A1608" s="45">
        <v>299</v>
      </c>
      <c r="B1608" s="45">
        <v>2000</v>
      </c>
      <c r="C1608" s="17">
        <v>0</v>
      </c>
      <c r="D1608" s="14">
        <v>0.32174950000000002</v>
      </c>
      <c r="E1608" s="14">
        <v>0.39684720000000001</v>
      </c>
      <c r="F1608" s="14">
        <v>3.2821700000000002E-2</v>
      </c>
      <c r="G1608" s="14">
        <v>0.32157469999999999</v>
      </c>
      <c r="H1608" s="14">
        <v>0.46792139999999999</v>
      </c>
      <c r="R1608" s="11">
        <f t="shared" si="50"/>
        <v>1.9927951850365333E-2</v>
      </c>
      <c r="Z1608" s="11">
        <f t="shared" si="51"/>
        <v>2.5657268000218118E-2</v>
      </c>
    </row>
    <row r="1609" spans="1:26" x14ac:dyDescent="0.2">
      <c r="A1609" s="45">
        <v>299</v>
      </c>
      <c r="B1609" s="45">
        <v>2001</v>
      </c>
      <c r="C1609" s="17">
        <v>0</v>
      </c>
      <c r="D1609" s="14">
        <v>0.42631150000000001</v>
      </c>
      <c r="E1609" s="14">
        <v>0.41728900000000002</v>
      </c>
      <c r="F1609" s="14">
        <v>-8.0476000000000002E-3</v>
      </c>
      <c r="G1609" s="14">
        <v>0.63256990000000002</v>
      </c>
      <c r="H1609" s="14">
        <v>0.50778619999999997</v>
      </c>
      <c r="R1609" s="11">
        <f t="shared" si="50"/>
        <v>1.6400455910394351E-2</v>
      </c>
      <c r="Z1609" s="11">
        <f t="shared" si="51"/>
        <v>2.0332520856917377E-2</v>
      </c>
    </row>
    <row r="1610" spans="1:26" x14ac:dyDescent="0.2">
      <c r="A1610" s="45">
        <v>299</v>
      </c>
      <c r="B1610" s="45">
        <v>2002</v>
      </c>
      <c r="C1610" s="17">
        <v>0</v>
      </c>
      <c r="D1610" s="14">
        <v>0.49327389999999999</v>
      </c>
      <c r="E1610" s="14">
        <v>0.25456000000000001</v>
      </c>
      <c r="F1610" s="14">
        <v>1.0104500000000001E-2</v>
      </c>
      <c r="G1610" s="14">
        <v>0.25128489999999998</v>
      </c>
      <c r="H1610" s="14">
        <v>0.47824050000000001</v>
      </c>
      <c r="R1610" s="11">
        <f t="shared" si="50"/>
        <v>3.2455718312740509E-2</v>
      </c>
      <c r="Z1610" s="11">
        <f t="shared" si="51"/>
        <v>4.0766708960195436E-2</v>
      </c>
    </row>
    <row r="1611" spans="1:26" x14ac:dyDescent="0.2">
      <c r="A1611" s="45">
        <v>299</v>
      </c>
      <c r="B1611" s="45">
        <v>2003</v>
      </c>
      <c r="C1611" s="17">
        <v>0</v>
      </c>
      <c r="D1611" s="14">
        <v>0.48008580000000001</v>
      </c>
      <c r="E1611" s="14">
        <v>0.22743459999999999</v>
      </c>
      <c r="F1611" s="14">
        <v>4.1391200000000003E-2</v>
      </c>
      <c r="G1611" s="14">
        <v>0.41770200000000002</v>
      </c>
      <c r="H1611" s="14">
        <v>0.5109262</v>
      </c>
      <c r="R1611" s="11">
        <f t="shared" si="50"/>
        <v>2.0413998753267715E-2</v>
      </c>
      <c r="Z1611" s="11">
        <f t="shared" si="51"/>
        <v>2.6256305696747664E-2</v>
      </c>
    </row>
    <row r="1612" spans="1:26" x14ac:dyDescent="0.2">
      <c r="A1612" s="45">
        <v>299</v>
      </c>
      <c r="B1612" s="45">
        <v>2004</v>
      </c>
      <c r="C1612" s="17">
        <v>0</v>
      </c>
      <c r="D1612" s="14">
        <v>0.53511120000000001</v>
      </c>
      <c r="E1612" s="14">
        <v>0.2020354</v>
      </c>
      <c r="F1612" s="14">
        <v>2.2214999999999999E-2</v>
      </c>
      <c r="G1612" s="14">
        <v>0.39670899999999998</v>
      </c>
      <c r="H1612" s="14">
        <v>0.6260734</v>
      </c>
      <c r="R1612" s="11">
        <f t="shared" si="50"/>
        <v>2.540360578308502E-2</v>
      </c>
      <c r="Z1612" s="11">
        <f t="shared" si="51"/>
        <v>3.2121154226161727E-2</v>
      </c>
    </row>
    <row r="1613" spans="1:26" x14ac:dyDescent="0.2">
      <c r="A1613" s="45">
        <v>300</v>
      </c>
      <c r="B1613" s="45">
        <v>1998</v>
      </c>
      <c r="C1613" s="17">
        <v>0</v>
      </c>
      <c r="D1613" s="14">
        <v>0.22639980000000001</v>
      </c>
      <c r="E1613" s="14">
        <v>-0.89976480000000003</v>
      </c>
      <c r="F1613" s="14">
        <v>4.4428299999999997E-2</v>
      </c>
      <c r="G1613" s="14">
        <v>8.8011099999999995E-2</v>
      </c>
      <c r="H1613" s="14">
        <v>0.37927810000000001</v>
      </c>
      <c r="R1613" s="11">
        <f t="shared" si="50"/>
        <v>0.15048037243053269</v>
      </c>
      <c r="Z1613" s="11">
        <f t="shared" si="51"/>
        <v>0.18211883439621218</v>
      </c>
    </row>
    <row r="1614" spans="1:26" x14ac:dyDescent="0.2">
      <c r="A1614" s="45">
        <v>300</v>
      </c>
      <c r="B1614" s="45">
        <v>1999</v>
      </c>
      <c r="C1614" s="17">
        <v>0</v>
      </c>
      <c r="D1614" s="14">
        <v>0.28143240000000003</v>
      </c>
      <c r="E1614" s="14">
        <v>-0.90249610000000002</v>
      </c>
      <c r="F1614" s="14">
        <v>4.1435600000000003E-2</v>
      </c>
      <c r="G1614" s="14">
        <v>9.0443399999999993E-2</v>
      </c>
      <c r="H1614" s="14">
        <v>0.22804340000000001</v>
      </c>
      <c r="R1614" s="11">
        <f t="shared" si="50"/>
        <v>0.15357866801529221</v>
      </c>
      <c r="Z1614" s="11">
        <f t="shared" si="51"/>
        <v>0.18533320407845733</v>
      </c>
    </row>
    <row r="1615" spans="1:26" x14ac:dyDescent="0.2">
      <c r="A1615" s="45">
        <v>300</v>
      </c>
      <c r="B1615" s="45">
        <v>2000</v>
      </c>
      <c r="C1615" s="17">
        <v>0</v>
      </c>
      <c r="D1615" s="14">
        <v>0.17853250000000001</v>
      </c>
      <c r="E1615" s="14">
        <v>-0.6694331</v>
      </c>
      <c r="F1615" s="14">
        <v>7.0799799999999996E-2</v>
      </c>
      <c r="G1615" s="14">
        <v>0.18096880000000001</v>
      </c>
      <c r="H1615" s="14">
        <v>0.29855599999999999</v>
      </c>
      <c r="R1615" s="11">
        <f t="shared" si="50"/>
        <v>8.1298814455596502E-2</v>
      </c>
      <c r="Z1615" s="11">
        <f t="shared" si="51"/>
        <v>0.10260732621862304</v>
      </c>
    </row>
    <row r="1616" spans="1:26" x14ac:dyDescent="0.2">
      <c r="A1616" s="45">
        <v>300</v>
      </c>
      <c r="B1616" s="45">
        <v>2001</v>
      </c>
      <c r="C1616" s="17">
        <v>0</v>
      </c>
      <c r="D1616" s="14">
        <v>-2.2402679999999999</v>
      </c>
      <c r="E1616" s="14">
        <v>-2.7077209999999998</v>
      </c>
      <c r="F1616" s="14">
        <v>-1.5915800000000001E-2</v>
      </c>
      <c r="G1616" s="14">
        <v>2.3717800000000001E-2</v>
      </c>
      <c r="H1616" s="14">
        <v>0.31762839999999998</v>
      </c>
      <c r="R1616" s="11">
        <f t="shared" si="50"/>
        <v>0.81504348735961252</v>
      </c>
      <c r="Z1616" s="11">
        <f t="shared" si="51"/>
        <v>0.83228144029342244</v>
      </c>
    </row>
    <row r="1617" spans="1:26" x14ac:dyDescent="0.2">
      <c r="A1617" s="45">
        <v>301</v>
      </c>
      <c r="B1617" s="45">
        <v>1995</v>
      </c>
      <c r="C1617" s="17">
        <v>0</v>
      </c>
      <c r="D1617" s="14">
        <v>0.19263279999999999</v>
      </c>
      <c r="E1617" s="14">
        <v>-6.8880800000000006E-2</v>
      </c>
      <c r="F1617" s="14">
        <v>4.8683999999999998E-2</v>
      </c>
      <c r="G1617" s="14">
        <v>0.9124584</v>
      </c>
      <c r="H1617" s="14">
        <v>0.23192119999999999</v>
      </c>
      <c r="R1617" s="11">
        <f t="shared" si="50"/>
        <v>1.3561890173545201E-2</v>
      </c>
      <c r="Z1617" s="11">
        <f t="shared" si="51"/>
        <v>1.7221188136840898E-2</v>
      </c>
    </row>
    <row r="1618" spans="1:26" x14ac:dyDescent="0.2">
      <c r="A1618" s="45">
        <v>301</v>
      </c>
      <c r="B1618" s="45">
        <v>1996</v>
      </c>
      <c r="C1618" s="17">
        <v>0</v>
      </c>
      <c r="D1618" s="14">
        <v>0.13772490000000001</v>
      </c>
      <c r="E1618" s="14">
        <v>-5.7473999999999997E-3</v>
      </c>
      <c r="F1618" s="14">
        <v>5.2023800000000002E-2</v>
      </c>
      <c r="G1618" s="14">
        <v>0.83557669999999995</v>
      </c>
      <c r="H1618" s="14">
        <v>0.22260050000000001</v>
      </c>
      <c r="R1618" s="11">
        <f t="shared" si="50"/>
        <v>1.3615582915735122E-2</v>
      </c>
      <c r="Z1618" s="11">
        <f t="shared" si="51"/>
        <v>1.7401516175317419E-2</v>
      </c>
    </row>
    <row r="1619" spans="1:26" x14ac:dyDescent="0.2">
      <c r="A1619" s="45">
        <v>301</v>
      </c>
      <c r="B1619" s="45">
        <v>1997</v>
      </c>
      <c r="C1619" s="17">
        <v>0</v>
      </c>
      <c r="D1619" s="14">
        <v>0.15721009999999999</v>
      </c>
      <c r="E1619" s="14">
        <v>6.7909399999999995E-2</v>
      </c>
      <c r="F1619" s="14">
        <v>3.6010500000000001E-2</v>
      </c>
      <c r="G1619" s="14">
        <v>0.64527310000000004</v>
      </c>
      <c r="H1619" s="14">
        <v>0.19257969999999999</v>
      </c>
      <c r="R1619" s="11">
        <f t="shared" si="50"/>
        <v>1.8732747262573433E-2</v>
      </c>
      <c r="Z1619" s="11">
        <f t="shared" si="51"/>
        <v>2.3757926604652903E-2</v>
      </c>
    </row>
    <row r="1620" spans="1:26" x14ac:dyDescent="0.2">
      <c r="A1620" s="45">
        <v>301</v>
      </c>
      <c r="B1620" s="45">
        <v>1998</v>
      </c>
      <c r="C1620" s="17">
        <v>0</v>
      </c>
      <c r="D1620" s="14">
        <v>0.1435979</v>
      </c>
      <c r="E1620" s="14">
        <v>5.2150200000000001E-2</v>
      </c>
      <c r="F1620" s="14">
        <v>1.8376799999999999E-2</v>
      </c>
      <c r="G1620" s="14">
        <v>0.33</v>
      </c>
      <c r="H1620" s="14">
        <v>0.12232759999999999</v>
      </c>
      <c r="R1620" s="11">
        <f t="shared" si="50"/>
        <v>3.584019362499976E-2</v>
      </c>
      <c r="Z1620" s="11">
        <f t="shared" si="51"/>
        <v>4.4896429755262694E-2</v>
      </c>
    </row>
    <row r="1621" spans="1:26" x14ac:dyDescent="0.2">
      <c r="A1621" s="45">
        <v>301</v>
      </c>
      <c r="B1621" s="45">
        <v>1999</v>
      </c>
      <c r="C1621" s="17">
        <v>0</v>
      </c>
      <c r="D1621" s="14">
        <v>0.13986090000000001</v>
      </c>
      <c r="E1621" s="14">
        <v>3.6281599999999997E-2</v>
      </c>
      <c r="F1621" s="14">
        <v>1.0630000000000001E-2</v>
      </c>
      <c r="G1621" s="14">
        <v>0.16285859999999999</v>
      </c>
      <c r="H1621" s="14">
        <v>0.15555550000000001</v>
      </c>
      <c r="R1621" s="11">
        <f t="shared" si="50"/>
        <v>5.0173558436128002E-2</v>
      </c>
      <c r="Z1621" s="11">
        <f t="shared" si="51"/>
        <v>6.2428048123912804E-2</v>
      </c>
    </row>
    <row r="1622" spans="1:26" x14ac:dyDescent="0.2">
      <c r="A1622" s="45">
        <v>301</v>
      </c>
      <c r="B1622" s="45">
        <v>2000</v>
      </c>
      <c r="C1622" s="17">
        <v>0</v>
      </c>
      <c r="D1622" s="14">
        <v>0.15875069999999999</v>
      </c>
      <c r="E1622" s="14">
        <v>-1.90993E-2</v>
      </c>
      <c r="F1622" s="14">
        <v>3.4517800000000001E-2</v>
      </c>
      <c r="G1622" s="14">
        <v>0.24555479999999999</v>
      </c>
      <c r="H1622" s="14">
        <v>0.21076839999999999</v>
      </c>
      <c r="R1622" s="11">
        <f t="shared" si="50"/>
        <v>3.9805519749861948E-2</v>
      </c>
      <c r="Z1622" s="11">
        <f t="shared" si="51"/>
        <v>5.0414031892653095E-2</v>
      </c>
    </row>
    <row r="1623" spans="1:26" x14ac:dyDescent="0.2">
      <c r="A1623" s="45">
        <v>301</v>
      </c>
      <c r="B1623" s="45">
        <v>2001</v>
      </c>
      <c r="C1623" s="17">
        <v>0</v>
      </c>
      <c r="D1623" s="14">
        <v>0.12878329999999999</v>
      </c>
      <c r="E1623" s="14">
        <v>-0.1023951</v>
      </c>
      <c r="F1623" s="14">
        <v>5.7352999999999996E-3</v>
      </c>
      <c r="G1623" s="14">
        <v>0.34982229999999997</v>
      </c>
      <c r="H1623" s="14">
        <v>0.20065740000000001</v>
      </c>
      <c r="R1623" s="11">
        <f t="shared" ref="R1623:R1686" si="52">1/(1+EXP(-(K$2+$M$2*E1623+$N$2*F1623+$O$2*G1623)))</f>
        <v>4.7518861017071597E-2</v>
      </c>
      <c r="Z1623" s="11">
        <f t="shared" si="51"/>
        <v>5.8452297732870938E-2</v>
      </c>
    </row>
    <row r="1624" spans="1:26" x14ac:dyDescent="0.2">
      <c r="A1624" s="45">
        <v>301</v>
      </c>
      <c r="B1624" s="45">
        <v>2002</v>
      </c>
      <c r="C1624" s="17">
        <v>0</v>
      </c>
      <c r="D1624" s="14">
        <v>0.12237389999999999</v>
      </c>
      <c r="E1624" s="14">
        <v>-0.35714240000000003</v>
      </c>
      <c r="F1624" s="14">
        <v>3.1888199999999998E-2</v>
      </c>
      <c r="G1624" s="14">
        <v>0.1789</v>
      </c>
      <c r="H1624" s="14">
        <v>0.28025670000000003</v>
      </c>
      <c r="R1624" s="11">
        <f t="shared" si="52"/>
        <v>7.1468097405593942E-2</v>
      </c>
      <c r="Z1624" s="11">
        <f t="shared" si="51"/>
        <v>8.8728934777429866E-2</v>
      </c>
    </row>
    <row r="1625" spans="1:26" x14ac:dyDescent="0.2">
      <c r="A1625" s="45">
        <v>301</v>
      </c>
      <c r="B1625" s="45">
        <v>2003</v>
      </c>
      <c r="C1625" s="17">
        <v>0</v>
      </c>
      <c r="D1625" s="14">
        <v>0.15838240000000001</v>
      </c>
      <c r="E1625" s="14">
        <v>-0.35881109999999999</v>
      </c>
      <c r="F1625" s="14">
        <v>5.2642700000000001E-2</v>
      </c>
      <c r="G1625" s="14">
        <v>0.33834950000000003</v>
      </c>
      <c r="H1625" s="14">
        <v>0.36496099999999998</v>
      </c>
      <c r="R1625" s="11">
        <f t="shared" si="52"/>
        <v>4.824380239829916E-2</v>
      </c>
      <c r="Z1625" s="11">
        <f t="shared" si="51"/>
        <v>6.102539418200531E-2</v>
      </c>
    </row>
    <row r="1626" spans="1:26" x14ac:dyDescent="0.2">
      <c r="A1626" s="45">
        <v>301</v>
      </c>
      <c r="B1626" s="45">
        <v>2004</v>
      </c>
      <c r="C1626" s="17">
        <v>0</v>
      </c>
      <c r="D1626" s="14">
        <v>0.17788960000000001</v>
      </c>
      <c r="E1626" s="14">
        <v>-0.1828178</v>
      </c>
      <c r="F1626" s="14">
        <v>4.8296499999999999E-2</v>
      </c>
      <c r="G1626" s="14">
        <v>0.80302479999999998</v>
      </c>
      <c r="H1626" s="14">
        <v>0.23206470000000001</v>
      </c>
      <c r="R1626" s="11">
        <f t="shared" si="52"/>
        <v>1.9008495613054024E-2</v>
      </c>
      <c r="Z1626" s="11">
        <f t="shared" si="51"/>
        <v>2.405889291675024E-2</v>
      </c>
    </row>
    <row r="1627" spans="1:26" x14ac:dyDescent="0.2">
      <c r="A1627" s="45">
        <v>302</v>
      </c>
      <c r="B1627" s="45">
        <v>1995</v>
      </c>
      <c r="C1627" s="17">
        <v>0</v>
      </c>
      <c r="D1627" s="14">
        <v>0.33397130000000003</v>
      </c>
      <c r="E1627" s="14">
        <v>0.3211329</v>
      </c>
      <c r="F1627" s="14">
        <v>5.3957499999999999E-2</v>
      </c>
      <c r="G1627" s="14">
        <v>2.3042820000000002</v>
      </c>
      <c r="H1627" s="14">
        <v>0.19841410000000001</v>
      </c>
      <c r="R1627" s="11">
        <f t="shared" si="52"/>
        <v>8.1288315701817779E-4</v>
      </c>
      <c r="Z1627" s="11">
        <f t="shared" si="51"/>
        <v>1.0225062590182121E-3</v>
      </c>
    </row>
    <row r="1628" spans="1:26" x14ac:dyDescent="0.2">
      <c r="A1628" s="45">
        <v>302</v>
      </c>
      <c r="B1628" s="45">
        <v>1996</v>
      </c>
      <c r="C1628" s="17">
        <v>0</v>
      </c>
      <c r="D1628" s="14">
        <v>0.32936979999999999</v>
      </c>
      <c r="E1628" s="14">
        <v>0.26950370000000001</v>
      </c>
      <c r="F1628" s="14">
        <v>3.8072300000000003E-2</v>
      </c>
      <c r="G1628" s="14">
        <v>2.13612</v>
      </c>
      <c r="H1628" s="14">
        <v>0.18388170000000001</v>
      </c>
      <c r="R1628" s="11">
        <f t="shared" si="52"/>
        <v>1.3001282502348517E-3</v>
      </c>
      <c r="Z1628" s="11">
        <f t="shared" si="51"/>
        <v>1.6171935073744611E-3</v>
      </c>
    </row>
    <row r="1629" spans="1:26" x14ac:dyDescent="0.2">
      <c r="A1629" s="45">
        <v>302</v>
      </c>
      <c r="B1629" s="45">
        <v>1997</v>
      </c>
      <c r="C1629" s="17">
        <v>0</v>
      </c>
      <c r="D1629" s="14">
        <v>0.29737330000000001</v>
      </c>
      <c r="E1629" s="14">
        <v>0.27931859999999997</v>
      </c>
      <c r="F1629" s="14">
        <v>2.3149200000000002E-2</v>
      </c>
      <c r="G1629" s="14">
        <v>2.7429730000000001</v>
      </c>
      <c r="H1629" s="14">
        <v>0.18809039999999999</v>
      </c>
      <c r="R1629" s="11">
        <f t="shared" si="52"/>
        <v>5.4949067062553983E-4</v>
      </c>
      <c r="Z1629" s="11">
        <f t="shared" si="51"/>
        <v>6.6658106777919878E-4</v>
      </c>
    </row>
    <row r="1630" spans="1:26" x14ac:dyDescent="0.2">
      <c r="A1630" s="45">
        <v>302</v>
      </c>
      <c r="B1630" s="45">
        <v>1998</v>
      </c>
      <c r="C1630" s="17">
        <v>0</v>
      </c>
      <c r="D1630" s="14">
        <v>0.31964759999999998</v>
      </c>
      <c r="E1630" s="14">
        <v>-6.3748700000000005E-2</v>
      </c>
      <c r="F1630" s="14">
        <v>2.9595E-2</v>
      </c>
      <c r="G1630" s="14">
        <v>1.1402479999999999</v>
      </c>
      <c r="H1630" s="14">
        <v>0.2336539</v>
      </c>
      <c r="R1630" s="11">
        <f t="shared" si="52"/>
        <v>1.0936970288879569E-2</v>
      </c>
      <c r="Z1630" s="11">
        <f t="shared" si="51"/>
        <v>1.361998552432876E-2</v>
      </c>
    </row>
    <row r="1631" spans="1:26" x14ac:dyDescent="0.2">
      <c r="A1631" s="45">
        <v>302</v>
      </c>
      <c r="B1631" s="45">
        <v>1999</v>
      </c>
      <c r="C1631" s="17">
        <v>0</v>
      </c>
      <c r="D1631" s="14">
        <v>0.61098719999999995</v>
      </c>
      <c r="E1631" s="14">
        <v>0.2439463</v>
      </c>
      <c r="F1631" s="14">
        <v>7.3918800000000007E-2</v>
      </c>
      <c r="G1631" s="14">
        <v>7.7217190000000002</v>
      </c>
      <c r="H1631" s="14">
        <v>0.20983879999999999</v>
      </c>
      <c r="R1631" s="11">
        <f t="shared" si="52"/>
        <v>1.3817469462719527E-7</v>
      </c>
      <c r="Z1631" s="11">
        <f t="shared" si="51"/>
        <v>1.5642406713308958E-7</v>
      </c>
    </row>
    <row r="1632" spans="1:26" x14ac:dyDescent="0.2">
      <c r="A1632" s="45">
        <v>303</v>
      </c>
      <c r="B1632" s="45">
        <v>1995</v>
      </c>
      <c r="C1632" s="17">
        <v>0</v>
      </c>
      <c r="D1632" s="14">
        <v>0.28801650000000001</v>
      </c>
      <c r="E1632" s="14">
        <v>0.5818951</v>
      </c>
      <c r="F1632" s="14">
        <v>0.100622</v>
      </c>
      <c r="G1632" s="14">
        <v>10.06227</v>
      </c>
      <c r="H1632" s="14">
        <v>0.29384670000000002</v>
      </c>
      <c r="R1632" s="11">
        <f t="shared" si="52"/>
        <v>1.6382775000656621E-9</v>
      </c>
      <c r="Z1632" s="11">
        <f t="shared" si="51"/>
        <v>1.8214401929717544E-9</v>
      </c>
    </row>
    <row r="1633" spans="1:26" x14ac:dyDescent="0.2">
      <c r="A1633" s="45">
        <v>303</v>
      </c>
      <c r="B1633" s="45">
        <v>1996</v>
      </c>
      <c r="C1633" s="17">
        <v>0</v>
      </c>
      <c r="D1633" s="14">
        <v>0.39787919999999999</v>
      </c>
      <c r="E1633" s="14">
        <v>0.61123959999999999</v>
      </c>
      <c r="F1633" s="14">
        <v>0.1516643</v>
      </c>
      <c r="G1633" s="14">
        <v>16.354600000000001</v>
      </c>
      <c r="H1633" s="14">
        <v>0.2978131</v>
      </c>
      <c r="R1633" s="11">
        <f t="shared" si="52"/>
        <v>4.6098360768146704E-14</v>
      </c>
      <c r="Z1633" s="11">
        <f t="shared" si="51"/>
        <v>4.6573850778003521E-14</v>
      </c>
    </row>
    <row r="1634" spans="1:26" x14ac:dyDescent="0.2">
      <c r="A1634" s="45">
        <v>303</v>
      </c>
      <c r="B1634" s="45">
        <v>1997</v>
      </c>
      <c r="C1634" s="17">
        <v>0</v>
      </c>
      <c r="D1634" s="14">
        <v>0.36592239999999998</v>
      </c>
      <c r="E1634" s="14">
        <v>0.57030519999999996</v>
      </c>
      <c r="F1634" s="14">
        <v>0.10961509999999999</v>
      </c>
      <c r="G1634" s="14">
        <v>15.19544</v>
      </c>
      <c r="H1634" s="14">
        <v>0.2570231</v>
      </c>
      <c r="R1634" s="11">
        <f t="shared" si="52"/>
        <v>4.3436342557767402E-13</v>
      </c>
      <c r="Z1634" s="11">
        <f t="shared" si="51"/>
        <v>4.3432751772257378E-13</v>
      </c>
    </row>
    <row r="1635" spans="1:26" x14ac:dyDescent="0.2">
      <c r="A1635" s="45">
        <v>303</v>
      </c>
      <c r="B1635" s="45">
        <v>1998</v>
      </c>
      <c r="C1635" s="17">
        <v>0</v>
      </c>
      <c r="D1635" s="14">
        <v>0.2785436</v>
      </c>
      <c r="E1635" s="14">
        <v>0.6304765</v>
      </c>
      <c r="F1635" s="14">
        <v>0.11824800000000001</v>
      </c>
      <c r="G1635" s="14">
        <v>25.07451</v>
      </c>
      <c r="H1635" s="14">
        <v>0.27001340000000001</v>
      </c>
      <c r="R1635" s="11">
        <f t="shared" si="52"/>
        <v>5.4034243798171338E-20</v>
      </c>
      <c r="Z1635" s="11">
        <f t="shared" si="51"/>
        <v>4.3865319261229263E-20</v>
      </c>
    </row>
    <row r="1636" spans="1:26" x14ac:dyDescent="0.2">
      <c r="A1636" s="45">
        <v>303</v>
      </c>
      <c r="B1636" s="45">
        <v>1999</v>
      </c>
      <c r="C1636" s="17">
        <v>0</v>
      </c>
      <c r="D1636" s="14">
        <v>0.27520650000000002</v>
      </c>
      <c r="E1636" s="14">
        <v>0.60449629999999999</v>
      </c>
      <c r="F1636" s="14">
        <v>0.1017967</v>
      </c>
      <c r="G1636" s="14">
        <v>24.637450000000001</v>
      </c>
      <c r="H1636" s="14">
        <v>0.21564</v>
      </c>
      <c r="R1636" s="11">
        <f t="shared" si="52"/>
        <v>1.2844296449046084E-19</v>
      </c>
      <c r="Z1636" s="11">
        <f t="shared" si="51"/>
        <v>1.0377654661531477E-19</v>
      </c>
    </row>
    <row r="1637" spans="1:26" x14ac:dyDescent="0.2">
      <c r="A1637" s="45">
        <v>303</v>
      </c>
      <c r="B1637" s="45">
        <v>2000</v>
      </c>
      <c r="C1637" s="17">
        <v>0</v>
      </c>
      <c r="D1637" s="14">
        <v>0.2815339</v>
      </c>
      <c r="E1637" s="14">
        <v>0.61934560000000005</v>
      </c>
      <c r="F1637" s="14">
        <v>7.2823600000000002E-2</v>
      </c>
      <c r="G1637" s="14">
        <v>19.072649999999999</v>
      </c>
      <c r="H1637" s="14">
        <v>0.2012166</v>
      </c>
      <c r="R1637" s="11">
        <f t="shared" si="52"/>
        <v>1.1254397056034481E-15</v>
      </c>
      <c r="Z1637" s="11">
        <f t="shared" si="51"/>
        <v>1.0042418190625546E-15</v>
      </c>
    </row>
    <row r="1638" spans="1:26" x14ac:dyDescent="0.2">
      <c r="A1638" s="45">
        <v>303</v>
      </c>
      <c r="B1638" s="45">
        <v>2001</v>
      </c>
      <c r="C1638" s="17">
        <v>0</v>
      </c>
      <c r="D1638" s="14">
        <v>0.28815190000000002</v>
      </c>
      <c r="E1638" s="14">
        <v>0.62965079999999995</v>
      </c>
      <c r="F1638" s="14">
        <v>5.3725299999999997E-2</v>
      </c>
      <c r="G1638" s="14">
        <v>24.677060000000001</v>
      </c>
      <c r="H1638" s="14">
        <v>0.18120330000000001</v>
      </c>
      <c r="R1638" s="11">
        <f t="shared" si="52"/>
        <v>1.707692976118543E-19</v>
      </c>
      <c r="Z1638" s="11">
        <f t="shared" si="51"/>
        <v>1.3264208805722674E-19</v>
      </c>
    </row>
    <row r="1639" spans="1:26" x14ac:dyDescent="0.2">
      <c r="A1639" s="45">
        <v>303</v>
      </c>
      <c r="B1639" s="45">
        <v>2002</v>
      </c>
      <c r="C1639" s="17">
        <v>0</v>
      </c>
      <c r="D1639" s="14">
        <v>0.3177374</v>
      </c>
      <c r="E1639" s="14">
        <v>0.65651669999999995</v>
      </c>
      <c r="F1639" s="14">
        <v>5.8285700000000003E-2</v>
      </c>
      <c r="G1639" s="14">
        <v>11.895020000000001</v>
      </c>
      <c r="H1639" s="14">
        <v>0.19440760000000001</v>
      </c>
      <c r="R1639" s="11">
        <f t="shared" si="52"/>
        <v>1.1115105292843402E-10</v>
      </c>
      <c r="Z1639" s="11">
        <f t="shared" si="51"/>
        <v>1.1493507531774411E-10</v>
      </c>
    </row>
    <row r="1640" spans="1:26" x14ac:dyDescent="0.2">
      <c r="A1640" s="45">
        <v>303</v>
      </c>
      <c r="B1640" s="45">
        <v>2003</v>
      </c>
      <c r="C1640" s="17">
        <v>0</v>
      </c>
      <c r="D1640" s="14">
        <v>0.3586298</v>
      </c>
      <c r="E1640" s="14">
        <v>0.69065739999999998</v>
      </c>
      <c r="F1640" s="14">
        <v>8.9493400000000001E-2</v>
      </c>
      <c r="G1640" s="14">
        <v>22.536819999999999</v>
      </c>
      <c r="H1640" s="14">
        <v>0.2242199</v>
      </c>
      <c r="R1640" s="11">
        <f t="shared" si="52"/>
        <v>3.5552176476325375E-18</v>
      </c>
      <c r="Z1640" s="11">
        <f t="shared" si="51"/>
        <v>2.9870857730819878E-18</v>
      </c>
    </row>
    <row r="1641" spans="1:26" x14ac:dyDescent="0.2">
      <c r="A1641" s="45">
        <v>303</v>
      </c>
      <c r="B1641" s="45">
        <v>2004</v>
      </c>
      <c r="C1641" s="17">
        <v>0</v>
      </c>
      <c r="D1641" s="14">
        <v>0.36333500000000002</v>
      </c>
      <c r="E1641" s="14">
        <v>0.71088010000000001</v>
      </c>
      <c r="F1641" s="14">
        <v>9.2060400000000001E-2</v>
      </c>
      <c r="G1641" s="14">
        <v>15.48746</v>
      </c>
      <c r="H1641" s="14">
        <v>0.23812829999999999</v>
      </c>
      <c r="R1641" s="11">
        <f t="shared" si="52"/>
        <v>2.5583749836169435E-13</v>
      </c>
      <c r="Z1641" s="11">
        <f t="shared" si="51"/>
        <v>2.5175539355708147E-13</v>
      </c>
    </row>
    <row r="1642" spans="1:26" x14ac:dyDescent="0.2">
      <c r="A1642" s="45">
        <v>304</v>
      </c>
      <c r="B1642" s="45">
        <v>1995</v>
      </c>
      <c r="C1642" s="17">
        <v>0</v>
      </c>
      <c r="D1642" s="14">
        <v>0.38447550000000003</v>
      </c>
      <c r="E1642" s="14">
        <v>7.1387099999999995E-2</v>
      </c>
      <c r="F1642" s="14">
        <v>4.3110799999999998E-2</v>
      </c>
      <c r="G1642" s="14">
        <v>0.49502750000000001</v>
      </c>
      <c r="H1642" s="14">
        <v>0.2471592</v>
      </c>
      <c r="R1642" s="11">
        <f t="shared" si="52"/>
        <v>2.2291774795916909E-2</v>
      </c>
      <c r="Z1642" s="11">
        <f t="shared" si="51"/>
        <v>2.8499138638322968E-2</v>
      </c>
    </row>
    <row r="1643" spans="1:26" x14ac:dyDescent="0.2">
      <c r="A1643" s="45">
        <v>304</v>
      </c>
      <c r="B1643" s="45">
        <v>1996</v>
      </c>
      <c r="C1643" s="17">
        <v>0</v>
      </c>
      <c r="D1643" s="14">
        <v>0.4091823</v>
      </c>
      <c r="E1643" s="14">
        <v>9.7535800000000006E-2</v>
      </c>
      <c r="F1643" s="14">
        <v>6.1594799999999998E-2</v>
      </c>
      <c r="G1643" s="14">
        <v>1.0427500000000001</v>
      </c>
      <c r="H1643" s="14">
        <v>0.36688409999999999</v>
      </c>
      <c r="R1643" s="11">
        <f t="shared" si="52"/>
        <v>7.847231592093518E-3</v>
      </c>
      <c r="Z1643" s="11">
        <f t="shared" si="51"/>
        <v>1.0113640987191636E-2</v>
      </c>
    </row>
    <row r="1644" spans="1:26" x14ac:dyDescent="0.2">
      <c r="A1644" s="45">
        <v>304</v>
      </c>
      <c r="B1644" s="45">
        <v>1997</v>
      </c>
      <c r="C1644" s="17">
        <v>0</v>
      </c>
      <c r="D1644" s="14">
        <v>0.40471439999999997</v>
      </c>
      <c r="E1644" s="14">
        <v>0.13904440000000001</v>
      </c>
      <c r="F1644" s="14">
        <v>5.8028000000000003E-2</v>
      </c>
      <c r="G1644" s="14">
        <v>1.179616</v>
      </c>
      <c r="H1644" s="14">
        <v>0.40912660000000001</v>
      </c>
      <c r="R1644" s="11">
        <f t="shared" si="52"/>
        <v>6.1224694465133777E-3</v>
      </c>
      <c r="Z1644" s="11">
        <f t="shared" si="51"/>
        <v>7.8594189459870976E-3</v>
      </c>
    </row>
    <row r="1645" spans="1:26" x14ac:dyDescent="0.2">
      <c r="A1645" s="45">
        <v>304</v>
      </c>
      <c r="B1645" s="45">
        <v>1998</v>
      </c>
      <c r="C1645" s="17">
        <v>0</v>
      </c>
      <c r="D1645" s="14">
        <v>0.42483929999999998</v>
      </c>
      <c r="E1645" s="14">
        <v>0.20822969999999999</v>
      </c>
      <c r="F1645" s="14">
        <v>5.8285400000000001E-2</v>
      </c>
      <c r="G1645" s="14">
        <v>1.61358</v>
      </c>
      <c r="H1645" s="14">
        <v>0.4028487</v>
      </c>
      <c r="R1645" s="11">
        <f t="shared" si="52"/>
        <v>2.7762701293657451E-3</v>
      </c>
      <c r="Z1645" s="11">
        <f t="shared" si="51"/>
        <v>3.5426033561019319E-3</v>
      </c>
    </row>
    <row r="1646" spans="1:26" x14ac:dyDescent="0.2">
      <c r="A1646" s="45">
        <v>304</v>
      </c>
      <c r="B1646" s="45">
        <v>1999</v>
      </c>
      <c r="C1646" s="17">
        <v>0</v>
      </c>
      <c r="D1646" s="14">
        <v>0.424516</v>
      </c>
      <c r="E1646" s="14">
        <v>0.31302160000000001</v>
      </c>
      <c r="F1646" s="14">
        <v>6.4010600000000001E-2</v>
      </c>
      <c r="G1646" s="14">
        <v>1.369956</v>
      </c>
      <c r="H1646" s="14">
        <v>0.43254179999999998</v>
      </c>
      <c r="R1646" s="11">
        <f t="shared" si="52"/>
        <v>3.3554951127902598E-3</v>
      </c>
      <c r="Z1646" s="11">
        <f t="shared" si="51"/>
        <v>4.3396054879473404E-3</v>
      </c>
    </row>
    <row r="1647" spans="1:26" x14ac:dyDescent="0.2">
      <c r="A1647" s="45">
        <v>304</v>
      </c>
      <c r="B1647" s="45">
        <v>2000</v>
      </c>
      <c r="C1647" s="17">
        <v>0</v>
      </c>
      <c r="D1647" s="14">
        <v>0.44218249999999998</v>
      </c>
      <c r="E1647" s="14">
        <v>0.37226870000000001</v>
      </c>
      <c r="F1647" s="14">
        <v>6.01936E-2</v>
      </c>
      <c r="G1647" s="14">
        <v>1.4939720000000001</v>
      </c>
      <c r="H1647" s="14">
        <v>0.43215930000000002</v>
      </c>
      <c r="R1647" s="11">
        <f t="shared" si="52"/>
        <v>2.6067520984692631E-3</v>
      </c>
      <c r="Z1647" s="11">
        <f t="shared" si="51"/>
        <v>3.3591681778684488E-3</v>
      </c>
    </row>
    <row r="1648" spans="1:26" x14ac:dyDescent="0.2">
      <c r="A1648" s="45">
        <v>304</v>
      </c>
      <c r="B1648" s="45">
        <v>2001</v>
      </c>
      <c r="C1648" s="17">
        <v>0</v>
      </c>
      <c r="D1648" s="14">
        <v>0.42653279999999999</v>
      </c>
      <c r="E1648" s="14">
        <v>0.36814659999999999</v>
      </c>
      <c r="F1648" s="14">
        <v>6.0802000000000002E-2</v>
      </c>
      <c r="G1648" s="14">
        <v>2.218791</v>
      </c>
      <c r="H1648" s="14">
        <v>0.33885860000000001</v>
      </c>
      <c r="R1648" s="11">
        <f t="shared" si="52"/>
        <v>8.236174373860497E-4</v>
      </c>
      <c r="Z1648" s="11">
        <f t="shared" si="51"/>
        <v>1.045471267173845E-3</v>
      </c>
    </row>
    <row r="1649" spans="1:26" x14ac:dyDescent="0.2">
      <c r="A1649" s="45">
        <v>304</v>
      </c>
      <c r="B1649" s="45">
        <v>2002</v>
      </c>
      <c r="C1649" s="17">
        <v>0</v>
      </c>
      <c r="D1649" s="14">
        <v>0.43767329999999999</v>
      </c>
      <c r="E1649" s="14">
        <v>0.39687230000000001</v>
      </c>
      <c r="F1649" s="14">
        <v>5.12839E-2</v>
      </c>
      <c r="G1649" s="14">
        <v>1.9534750000000001</v>
      </c>
      <c r="H1649" s="14">
        <v>0.416242</v>
      </c>
      <c r="R1649" s="11">
        <f t="shared" si="52"/>
        <v>1.3003685683941404E-3</v>
      </c>
      <c r="Z1649" s="11">
        <f t="shared" si="51"/>
        <v>1.6488250805486695E-3</v>
      </c>
    </row>
    <row r="1650" spans="1:26" x14ac:dyDescent="0.2">
      <c r="A1650" s="45">
        <v>304</v>
      </c>
      <c r="B1650" s="45">
        <v>2003</v>
      </c>
      <c r="C1650" s="17">
        <v>0</v>
      </c>
      <c r="D1650" s="14">
        <v>0.46682630000000003</v>
      </c>
      <c r="E1650" s="14">
        <v>0.46984740000000003</v>
      </c>
      <c r="F1650" s="14">
        <v>4.5449400000000001E-2</v>
      </c>
      <c r="G1650" s="14">
        <v>2.6997900000000001</v>
      </c>
      <c r="H1650" s="14">
        <v>0.41593020000000003</v>
      </c>
      <c r="R1650" s="11">
        <f t="shared" si="52"/>
        <v>3.7337031924941438E-4</v>
      </c>
      <c r="Z1650" s="11">
        <f t="shared" si="51"/>
        <v>4.6476293014909812E-4</v>
      </c>
    </row>
    <row r="1651" spans="1:26" x14ac:dyDescent="0.2">
      <c r="A1651" s="45">
        <v>304</v>
      </c>
      <c r="B1651" s="45">
        <v>2004</v>
      </c>
      <c r="C1651" s="17">
        <v>0</v>
      </c>
      <c r="D1651" s="14">
        <v>0.485933</v>
      </c>
      <c r="E1651" s="14">
        <v>0.517374</v>
      </c>
      <c r="F1651" s="14">
        <v>5.3841800000000002E-2</v>
      </c>
      <c r="G1651" s="14">
        <v>2.1317200000000001</v>
      </c>
      <c r="H1651" s="14">
        <v>0.41566110000000001</v>
      </c>
      <c r="R1651" s="11">
        <f t="shared" si="52"/>
        <v>8.0526843792005432E-4</v>
      </c>
      <c r="Z1651" s="11">
        <f t="shared" si="51"/>
        <v>1.0235408076495879E-3</v>
      </c>
    </row>
    <row r="1652" spans="1:26" x14ac:dyDescent="0.2">
      <c r="A1652" s="45">
        <v>305</v>
      </c>
      <c r="B1652" s="45">
        <v>1999</v>
      </c>
      <c r="C1652" s="17">
        <v>0</v>
      </c>
      <c r="D1652" s="14">
        <v>0.2455657</v>
      </c>
      <c r="E1652" s="14">
        <v>0.19566230000000001</v>
      </c>
      <c r="F1652" s="14">
        <v>4.9101899999999997E-2</v>
      </c>
      <c r="G1652" s="14">
        <v>0.44360820000000001</v>
      </c>
      <c r="H1652" s="14">
        <v>0.3365553</v>
      </c>
      <c r="R1652" s="11">
        <f t="shared" si="52"/>
        <v>1.930923145817089E-2</v>
      </c>
      <c r="Z1652" s="11">
        <f t="shared" si="51"/>
        <v>2.495654913623083E-2</v>
      </c>
    </row>
    <row r="1653" spans="1:26" x14ac:dyDescent="0.2">
      <c r="A1653" s="45">
        <v>305</v>
      </c>
      <c r="B1653" s="45">
        <v>2000</v>
      </c>
      <c r="C1653" s="17">
        <v>0</v>
      </c>
      <c r="D1653" s="14">
        <v>0.2648529</v>
      </c>
      <c r="E1653" s="14">
        <v>0.19435630000000001</v>
      </c>
      <c r="F1653" s="14">
        <v>4.5812199999999997E-2</v>
      </c>
      <c r="G1653" s="14">
        <v>0.60845850000000001</v>
      </c>
      <c r="H1653" s="14">
        <v>0.344665</v>
      </c>
      <c r="R1653" s="11">
        <f t="shared" si="52"/>
        <v>1.5334981335985024E-2</v>
      </c>
      <c r="Z1653" s="11">
        <f t="shared" si="51"/>
        <v>1.9719933588777064E-2</v>
      </c>
    </row>
    <row r="1654" spans="1:26" x14ac:dyDescent="0.2">
      <c r="A1654" s="45">
        <v>305</v>
      </c>
      <c r="B1654" s="45">
        <v>2001</v>
      </c>
      <c r="C1654" s="17">
        <v>0</v>
      </c>
      <c r="D1654" s="14">
        <v>0.25857669999999999</v>
      </c>
      <c r="E1654" s="14">
        <v>0.1014867</v>
      </c>
      <c r="F1654" s="14">
        <v>4.6498400000000002E-2</v>
      </c>
      <c r="G1654" s="14">
        <v>0.41739009999999999</v>
      </c>
      <c r="H1654" s="14">
        <v>0.28692030000000002</v>
      </c>
      <c r="R1654" s="11">
        <f t="shared" si="52"/>
        <v>2.3473401421602525E-2</v>
      </c>
      <c r="Z1654" s="11">
        <f t="shared" si="51"/>
        <v>3.016069975952981E-2</v>
      </c>
    </row>
    <row r="1655" spans="1:26" x14ac:dyDescent="0.2">
      <c r="A1655" s="45">
        <v>305</v>
      </c>
      <c r="B1655" s="45">
        <v>2002</v>
      </c>
      <c r="C1655" s="17">
        <v>0</v>
      </c>
      <c r="D1655" s="14">
        <v>0.26840360000000002</v>
      </c>
      <c r="E1655" s="14">
        <v>3.9470499999999999E-2</v>
      </c>
      <c r="F1655" s="14">
        <v>3.8267200000000001E-2</v>
      </c>
      <c r="G1655" s="14">
        <v>0.24399850000000001</v>
      </c>
      <c r="H1655" s="14">
        <v>0.28796959999999999</v>
      </c>
      <c r="R1655" s="11">
        <f t="shared" si="52"/>
        <v>3.5715434150588109E-2</v>
      </c>
      <c r="Z1655" s="11">
        <f t="shared" si="51"/>
        <v>4.5506981434150835E-2</v>
      </c>
    </row>
    <row r="1656" spans="1:26" x14ac:dyDescent="0.2">
      <c r="A1656" s="45">
        <v>305</v>
      </c>
      <c r="B1656" s="45">
        <v>2003</v>
      </c>
      <c r="C1656" s="17">
        <v>0</v>
      </c>
      <c r="D1656" s="14">
        <v>0.22059529999999999</v>
      </c>
      <c r="E1656" s="14">
        <v>2.0224499999999999E-2</v>
      </c>
      <c r="F1656" s="14">
        <v>5.0372100000000003E-2</v>
      </c>
      <c r="G1656" s="14">
        <v>0.4039278</v>
      </c>
      <c r="H1656" s="14">
        <v>0.25751659999999998</v>
      </c>
      <c r="R1656" s="11">
        <f t="shared" si="52"/>
        <v>2.6096534504028181E-2</v>
      </c>
      <c r="Z1656" s="11">
        <f t="shared" si="51"/>
        <v>3.3527725715669011E-2</v>
      </c>
    </row>
    <row r="1657" spans="1:26" x14ac:dyDescent="0.2">
      <c r="A1657" s="45">
        <v>305</v>
      </c>
      <c r="B1657" s="45">
        <v>2004</v>
      </c>
      <c r="C1657" s="17">
        <v>0</v>
      </c>
      <c r="D1657" s="14">
        <v>0.28849039999999998</v>
      </c>
      <c r="E1657" s="14">
        <v>-5.0134999999999997E-3</v>
      </c>
      <c r="F1657" s="14">
        <v>4.4402499999999998E-2</v>
      </c>
      <c r="G1657" s="14">
        <v>0.70063660000000005</v>
      </c>
      <c r="H1657" s="14">
        <v>0.29612500000000003</v>
      </c>
      <c r="R1657" s="11">
        <f t="shared" si="52"/>
        <v>1.784728655027908E-2</v>
      </c>
      <c r="Z1657" s="11">
        <f t="shared" si="51"/>
        <v>2.2710449974714803E-2</v>
      </c>
    </row>
    <row r="1658" spans="1:26" x14ac:dyDescent="0.2">
      <c r="A1658" s="45">
        <v>306</v>
      </c>
      <c r="B1658" s="45">
        <v>1995</v>
      </c>
      <c r="C1658" s="17">
        <v>0</v>
      </c>
      <c r="D1658" s="14">
        <v>0.25474340000000001</v>
      </c>
      <c r="E1658" s="14">
        <v>-0.65437230000000002</v>
      </c>
      <c r="F1658" s="14">
        <v>4.7953000000000003E-2</v>
      </c>
      <c r="G1658" s="14">
        <v>0.1159429</v>
      </c>
      <c r="H1658" s="14">
        <v>0.41173569999999998</v>
      </c>
      <c r="R1658" s="11">
        <f t="shared" si="52"/>
        <v>0.1033679719335117</v>
      </c>
      <c r="Z1658" s="11">
        <f t="shared" si="51"/>
        <v>0.12776297614403753</v>
      </c>
    </row>
    <row r="1659" spans="1:26" x14ac:dyDescent="0.2">
      <c r="A1659" s="45">
        <v>306</v>
      </c>
      <c r="B1659" s="45">
        <v>1996</v>
      </c>
      <c r="C1659" s="17">
        <v>0</v>
      </c>
      <c r="D1659" s="14">
        <v>0.28808139999999999</v>
      </c>
      <c r="E1659" s="14">
        <v>-0.51371770000000005</v>
      </c>
      <c r="F1659" s="14">
        <v>7.4595800000000004E-2</v>
      </c>
      <c r="G1659" s="14">
        <v>0.1445167</v>
      </c>
      <c r="H1659" s="14">
        <v>0.46970099999999998</v>
      </c>
      <c r="R1659" s="11">
        <f t="shared" si="52"/>
        <v>6.7640127204456807E-2</v>
      </c>
      <c r="Z1659" s="11">
        <f t="shared" si="51"/>
        <v>8.6430365741147749E-2</v>
      </c>
    </row>
    <row r="1660" spans="1:26" x14ac:dyDescent="0.2">
      <c r="A1660" s="45">
        <v>306</v>
      </c>
      <c r="B1660" s="45">
        <v>1997</v>
      </c>
      <c r="C1660" s="17">
        <v>0</v>
      </c>
      <c r="D1660" s="14">
        <v>0.1900153</v>
      </c>
      <c r="E1660" s="14">
        <v>-0.56943699999999997</v>
      </c>
      <c r="F1660" s="14">
        <v>5.3671400000000001E-2</v>
      </c>
      <c r="G1660" s="14">
        <v>0.2375208</v>
      </c>
      <c r="H1660" s="14">
        <v>0.49944309999999997</v>
      </c>
      <c r="R1660" s="11">
        <f t="shared" si="52"/>
        <v>7.423836470121635E-2</v>
      </c>
      <c r="Z1660" s="11">
        <f t="shared" si="51"/>
        <v>9.2881515680037177E-2</v>
      </c>
    </row>
    <row r="1661" spans="1:26" x14ac:dyDescent="0.2">
      <c r="A1661" s="45">
        <v>307</v>
      </c>
      <c r="B1661" s="45">
        <v>2002</v>
      </c>
      <c r="C1661" s="17">
        <v>0</v>
      </c>
      <c r="D1661" s="14">
        <v>9.6507099999999998E-2</v>
      </c>
      <c r="E1661" s="14">
        <v>0.30303910000000001</v>
      </c>
      <c r="F1661" s="14">
        <v>3.8584599999999997E-2</v>
      </c>
      <c r="G1661" s="14">
        <v>0.2434288</v>
      </c>
      <c r="H1661" s="14">
        <v>0.26696809999999999</v>
      </c>
      <c r="R1661" s="11">
        <f t="shared" si="52"/>
        <v>2.4586385713855644E-2</v>
      </c>
      <c r="Z1661" s="11">
        <f t="shared" si="51"/>
        <v>3.171081720727284E-2</v>
      </c>
    </row>
    <row r="1662" spans="1:26" x14ac:dyDescent="0.2">
      <c r="A1662" s="45">
        <v>307</v>
      </c>
      <c r="B1662" s="45">
        <v>2003</v>
      </c>
      <c r="C1662" s="17">
        <v>1</v>
      </c>
      <c r="D1662" s="14">
        <v>5.9215700000000003E-2</v>
      </c>
      <c r="E1662" s="14">
        <v>0.18245320000000001</v>
      </c>
      <c r="F1662" s="14">
        <v>9.6472999999999993E-3</v>
      </c>
      <c r="G1662" s="14">
        <v>0.3053361</v>
      </c>
      <c r="H1662" s="14">
        <v>0.30453980000000003</v>
      </c>
      <c r="R1662" s="11">
        <f t="shared" si="52"/>
        <v>3.3165463913449683E-2</v>
      </c>
      <c r="Z1662" s="11">
        <f t="shared" si="51"/>
        <v>4.1489551078036112E-2</v>
      </c>
    </row>
    <row r="1663" spans="1:26" x14ac:dyDescent="0.2">
      <c r="A1663" s="45">
        <v>308</v>
      </c>
      <c r="B1663" s="45">
        <v>1995</v>
      </c>
      <c r="C1663" s="17">
        <v>0</v>
      </c>
      <c r="D1663" s="14">
        <v>0.16719439999999999</v>
      </c>
      <c r="E1663" s="14">
        <v>-3.7471900000000002E-2</v>
      </c>
      <c r="F1663" s="14">
        <v>2.7290600000000002E-2</v>
      </c>
      <c r="G1663" s="14">
        <v>0.1009572</v>
      </c>
      <c r="H1663" s="14">
        <v>0.17468410000000001</v>
      </c>
      <c r="R1663" s="11">
        <f t="shared" si="52"/>
        <v>5.3749375462018883E-2</v>
      </c>
      <c r="Z1663" s="11">
        <f t="shared" si="51"/>
        <v>6.7598903544350442E-2</v>
      </c>
    </row>
    <row r="1664" spans="1:26" x14ac:dyDescent="0.2">
      <c r="A1664" s="45">
        <v>308</v>
      </c>
      <c r="B1664" s="45">
        <v>1996</v>
      </c>
      <c r="C1664" s="17">
        <v>0</v>
      </c>
      <c r="D1664" s="14">
        <v>9.8760899999999999E-2</v>
      </c>
      <c r="E1664" s="14">
        <v>-1.6344999999999998E-2</v>
      </c>
      <c r="F1664" s="14">
        <v>5.7630300000000002E-2</v>
      </c>
      <c r="G1664" s="14">
        <v>0.25622529999999999</v>
      </c>
      <c r="H1664" s="14">
        <v>0.2196641</v>
      </c>
      <c r="R1664" s="11">
        <f t="shared" si="52"/>
        <v>3.2640454846474085E-2</v>
      </c>
      <c r="Z1664" s="11">
        <f t="shared" si="51"/>
        <v>4.2174924702965078E-2</v>
      </c>
    </row>
    <row r="1665" spans="1:26" x14ac:dyDescent="0.2">
      <c r="A1665" s="45">
        <v>308</v>
      </c>
      <c r="B1665" s="45">
        <v>1997</v>
      </c>
      <c r="C1665" s="17">
        <v>0</v>
      </c>
      <c r="D1665" s="14">
        <v>0.14779709999999999</v>
      </c>
      <c r="E1665" s="14">
        <v>-1.6619600000000002E-2</v>
      </c>
      <c r="F1665" s="14">
        <v>4.9891600000000001E-2</v>
      </c>
      <c r="G1665" s="14">
        <v>0.25334800000000002</v>
      </c>
      <c r="H1665" s="14">
        <v>0.18880710000000001</v>
      </c>
      <c r="R1665" s="11">
        <f t="shared" si="52"/>
        <v>3.4819722613887924E-2</v>
      </c>
      <c r="Z1665" s="11">
        <f t="shared" si="51"/>
        <v>4.4691887048879442E-2</v>
      </c>
    </row>
    <row r="1666" spans="1:26" x14ac:dyDescent="0.2">
      <c r="A1666" s="45">
        <v>309</v>
      </c>
      <c r="B1666" s="45">
        <v>1995</v>
      </c>
      <c r="C1666" s="17">
        <v>0</v>
      </c>
      <c r="D1666" s="14">
        <v>0.1378298</v>
      </c>
      <c r="E1666" s="14">
        <v>0.20344499999999999</v>
      </c>
      <c r="F1666" s="14">
        <v>7.4885300000000002E-2</v>
      </c>
      <c r="G1666" s="14">
        <v>0.88886160000000003</v>
      </c>
      <c r="H1666" s="14">
        <v>0.29353400000000002</v>
      </c>
      <c r="R1666" s="11">
        <f t="shared" si="52"/>
        <v>7.730767787740643E-3</v>
      </c>
      <c r="Z1666" s="11">
        <f t="shared" ref="Z1666:Z1729" si="53">1/(1+EXP(-(U$2+$V$2*E1666+$W$2*F1666+$X$2*G1666)))</f>
        <v>1.0142144979812528E-2</v>
      </c>
    </row>
    <row r="1667" spans="1:26" x14ac:dyDescent="0.2">
      <c r="A1667" s="45">
        <v>309</v>
      </c>
      <c r="B1667" s="45">
        <v>1996</v>
      </c>
      <c r="C1667" s="17">
        <v>0</v>
      </c>
      <c r="D1667" s="14">
        <v>0.1086115</v>
      </c>
      <c r="E1667" s="14">
        <v>0.1877432</v>
      </c>
      <c r="F1667" s="14">
        <v>6.6984100000000005E-2</v>
      </c>
      <c r="G1667" s="14">
        <v>1.3194900000000001</v>
      </c>
      <c r="H1667" s="14">
        <v>0.30984089999999997</v>
      </c>
      <c r="R1667" s="11">
        <f t="shared" si="52"/>
        <v>4.2566787071973431E-3</v>
      </c>
      <c r="Z1667" s="11">
        <f t="shared" si="53"/>
        <v>5.4995533877639753E-3</v>
      </c>
    </row>
    <row r="1668" spans="1:26" x14ac:dyDescent="0.2">
      <c r="A1668" s="45">
        <v>309</v>
      </c>
      <c r="B1668" s="45">
        <v>1997</v>
      </c>
      <c r="C1668" s="17">
        <v>0</v>
      </c>
      <c r="D1668" s="14">
        <v>0.1185134</v>
      </c>
      <c r="E1668" s="14">
        <v>0.18913679999999999</v>
      </c>
      <c r="F1668" s="14">
        <v>7.0173799999999995E-2</v>
      </c>
      <c r="G1668" s="14">
        <v>1.6598189999999999</v>
      </c>
      <c r="H1668" s="14">
        <v>0.31950230000000002</v>
      </c>
      <c r="R1668" s="11">
        <f t="shared" si="52"/>
        <v>2.411991662316241E-3</v>
      </c>
      <c r="Z1668" s="11">
        <f t="shared" si="53"/>
        <v>3.1029536900720025E-3</v>
      </c>
    </row>
    <row r="1669" spans="1:26" x14ac:dyDescent="0.2">
      <c r="A1669" s="45">
        <v>309</v>
      </c>
      <c r="B1669" s="45">
        <v>1998</v>
      </c>
      <c r="C1669" s="17">
        <v>0</v>
      </c>
      <c r="D1669" s="14">
        <v>9.1974500000000001E-2</v>
      </c>
      <c r="E1669" s="14">
        <v>0.15094750000000001</v>
      </c>
      <c r="F1669" s="14">
        <v>5.8988400000000003E-2</v>
      </c>
      <c r="G1669" s="14">
        <v>2.5888149999999999</v>
      </c>
      <c r="H1669" s="14">
        <v>0.32771099999999997</v>
      </c>
      <c r="R1669" s="11">
        <f t="shared" si="52"/>
        <v>6.3558465027134558E-4</v>
      </c>
      <c r="Z1669" s="11">
        <f t="shared" si="53"/>
        <v>7.9317726294887692E-4</v>
      </c>
    </row>
    <row r="1670" spans="1:26" x14ac:dyDescent="0.2">
      <c r="A1670" s="45">
        <v>309</v>
      </c>
      <c r="B1670" s="45">
        <v>1999</v>
      </c>
      <c r="C1670" s="17">
        <v>0</v>
      </c>
      <c r="D1670" s="14">
        <v>7.3776400000000006E-2</v>
      </c>
      <c r="E1670" s="14">
        <v>0.2387204</v>
      </c>
      <c r="F1670" s="14">
        <v>5.9851599999999998E-2</v>
      </c>
      <c r="G1670" s="14">
        <v>2.9253170000000002</v>
      </c>
      <c r="H1670" s="14">
        <v>0.30540840000000002</v>
      </c>
      <c r="R1670" s="11">
        <f t="shared" si="52"/>
        <v>3.2508279365560004E-4</v>
      </c>
      <c r="Z1670" s="11">
        <f t="shared" si="53"/>
        <v>4.0422261694943033E-4</v>
      </c>
    </row>
    <row r="1671" spans="1:26" x14ac:dyDescent="0.2">
      <c r="A1671" s="45">
        <v>309</v>
      </c>
      <c r="B1671" s="45">
        <v>2000</v>
      </c>
      <c r="C1671" s="17">
        <v>0</v>
      </c>
      <c r="D1671" s="14">
        <v>0.1029997</v>
      </c>
      <c r="E1671" s="14">
        <v>0.28944370000000003</v>
      </c>
      <c r="F1671" s="14">
        <v>6.9829000000000002E-2</v>
      </c>
      <c r="G1671" s="14">
        <v>2.2301489999999999</v>
      </c>
      <c r="H1671" s="14">
        <v>0.31230760000000002</v>
      </c>
      <c r="R1671" s="11">
        <f t="shared" si="52"/>
        <v>8.4371446193449876E-4</v>
      </c>
      <c r="Z1671" s="11">
        <f t="shared" si="53"/>
        <v>1.0757490342129304E-3</v>
      </c>
    </row>
    <row r="1672" spans="1:26" x14ac:dyDescent="0.2">
      <c r="A1672" s="45">
        <v>309</v>
      </c>
      <c r="B1672" s="45">
        <v>2001</v>
      </c>
      <c r="C1672" s="17">
        <v>0</v>
      </c>
      <c r="D1672" s="14">
        <v>0.1223948</v>
      </c>
      <c r="E1672" s="14">
        <v>0.36762400000000001</v>
      </c>
      <c r="F1672" s="14">
        <v>7.1542099999999997E-2</v>
      </c>
      <c r="G1672" s="14">
        <v>3.2541380000000002</v>
      </c>
      <c r="H1672" s="14">
        <v>0.27964470000000002</v>
      </c>
      <c r="R1672" s="11">
        <f t="shared" si="52"/>
        <v>1.4537417092560248E-4</v>
      </c>
      <c r="Z1672" s="11">
        <f t="shared" si="53"/>
        <v>1.8199864756545238E-4</v>
      </c>
    </row>
    <row r="1673" spans="1:26" x14ac:dyDescent="0.2">
      <c r="A1673" s="45">
        <v>309</v>
      </c>
      <c r="B1673" s="45">
        <v>2002</v>
      </c>
      <c r="C1673" s="17">
        <v>0</v>
      </c>
      <c r="D1673" s="14">
        <v>0.1030493</v>
      </c>
      <c r="E1673" s="14">
        <v>0.33150540000000001</v>
      </c>
      <c r="F1673" s="14">
        <v>4.6183799999999997E-2</v>
      </c>
      <c r="G1673" s="14">
        <v>1.8047</v>
      </c>
      <c r="H1673" s="14">
        <v>0.2868482</v>
      </c>
      <c r="R1673" s="11">
        <f t="shared" si="52"/>
        <v>1.8869994508015112E-3</v>
      </c>
      <c r="Z1673" s="11">
        <f t="shared" si="53"/>
        <v>2.3847837807949497E-3</v>
      </c>
    </row>
    <row r="1674" spans="1:26" x14ac:dyDescent="0.2">
      <c r="A1674" s="45">
        <v>309</v>
      </c>
      <c r="B1674" s="45">
        <v>2003</v>
      </c>
      <c r="C1674" s="17">
        <v>0</v>
      </c>
      <c r="D1674" s="14">
        <v>9.8978099999999999E-2</v>
      </c>
      <c r="E1674" s="14">
        <v>0.36602469999999998</v>
      </c>
      <c r="F1674" s="14">
        <v>6.6707500000000003E-2</v>
      </c>
      <c r="G1674" s="14">
        <v>2.1143019999999999</v>
      </c>
      <c r="H1674" s="14">
        <v>0.2809933</v>
      </c>
      <c r="R1674" s="11">
        <f t="shared" si="52"/>
        <v>9.3072034988080402E-4</v>
      </c>
      <c r="Z1674" s="11">
        <f t="shared" si="53"/>
        <v>1.1897607030820379E-3</v>
      </c>
    </row>
    <row r="1675" spans="1:26" x14ac:dyDescent="0.2">
      <c r="A1675" s="45">
        <v>309</v>
      </c>
      <c r="B1675" s="45">
        <v>2004</v>
      </c>
      <c r="C1675" s="17">
        <v>0</v>
      </c>
      <c r="D1675" s="14">
        <v>0.1073484</v>
      </c>
      <c r="E1675" s="14">
        <v>0.41249229999999998</v>
      </c>
      <c r="F1675" s="14">
        <v>7.9370999999999997E-2</v>
      </c>
      <c r="G1675" s="14">
        <v>2.1081850000000002</v>
      </c>
      <c r="H1675" s="14">
        <v>0.28387180000000001</v>
      </c>
      <c r="R1675" s="11">
        <f t="shared" si="52"/>
        <v>7.9392011899679683E-4</v>
      </c>
      <c r="Z1675" s="11">
        <f t="shared" si="53"/>
        <v>1.0272749675288107E-3</v>
      </c>
    </row>
    <row r="1676" spans="1:26" x14ac:dyDescent="0.2">
      <c r="A1676" s="45">
        <v>310</v>
      </c>
      <c r="B1676" s="45">
        <v>2000</v>
      </c>
      <c r="C1676" s="17">
        <v>0</v>
      </c>
      <c r="D1676" s="14">
        <v>-2.5916100000000001E-2</v>
      </c>
      <c r="E1676" s="14">
        <v>0.48088769999999997</v>
      </c>
      <c r="F1676" s="14">
        <v>5.4837900000000002E-2</v>
      </c>
      <c r="G1676" s="14">
        <v>1.1312599999999999</v>
      </c>
      <c r="H1676" s="14">
        <v>0.1768139</v>
      </c>
      <c r="R1676" s="11">
        <f t="shared" si="52"/>
        <v>4.135026069531973E-3</v>
      </c>
      <c r="Z1676" s="11">
        <f t="shared" si="53"/>
        <v>5.3651323847241647E-3</v>
      </c>
    </row>
    <row r="1677" spans="1:26" x14ac:dyDescent="0.2">
      <c r="A1677" s="45">
        <v>310</v>
      </c>
      <c r="B1677" s="45">
        <v>2001</v>
      </c>
      <c r="C1677" s="17">
        <v>0</v>
      </c>
      <c r="D1677" s="14">
        <v>0.1885114</v>
      </c>
      <c r="E1677" s="14">
        <v>0.51645379999999996</v>
      </c>
      <c r="F1677" s="14">
        <v>7.04573E-2</v>
      </c>
      <c r="G1677" s="14">
        <v>1.659249</v>
      </c>
      <c r="H1677" s="14">
        <v>0.2118206</v>
      </c>
      <c r="R1677" s="11">
        <f t="shared" si="52"/>
        <v>1.4979291884694586E-3</v>
      </c>
      <c r="Z1677" s="11">
        <f t="shared" si="53"/>
        <v>1.9497276418489987E-3</v>
      </c>
    </row>
    <row r="1678" spans="1:26" x14ac:dyDescent="0.2">
      <c r="A1678" s="45">
        <v>310</v>
      </c>
      <c r="B1678" s="45">
        <v>2002</v>
      </c>
      <c r="C1678" s="17">
        <v>0</v>
      </c>
      <c r="D1678" s="14">
        <v>0.26069609999999999</v>
      </c>
      <c r="E1678" s="14">
        <v>0.55198270000000005</v>
      </c>
      <c r="F1678" s="14">
        <v>6.5747399999999998E-2</v>
      </c>
      <c r="G1678" s="14">
        <v>2.0271319999999999</v>
      </c>
      <c r="H1678" s="14">
        <v>0.21525349999999999</v>
      </c>
      <c r="R1678" s="11">
        <f t="shared" si="52"/>
        <v>8.224387114261762E-4</v>
      </c>
      <c r="Z1678" s="11">
        <f t="shared" si="53"/>
        <v>1.0592870671017119E-3</v>
      </c>
    </row>
    <row r="1679" spans="1:26" x14ac:dyDescent="0.2">
      <c r="A1679" s="45">
        <v>310</v>
      </c>
      <c r="B1679" s="45">
        <v>2003</v>
      </c>
      <c r="C1679" s="17">
        <v>0</v>
      </c>
      <c r="D1679" s="14">
        <v>0.18594169999999999</v>
      </c>
      <c r="E1679" s="14">
        <v>0.61712089999999997</v>
      </c>
      <c r="F1679" s="14">
        <v>6.0061900000000001E-2</v>
      </c>
      <c r="G1679" s="14">
        <v>2.121766</v>
      </c>
      <c r="H1679" s="14">
        <v>0.2248165</v>
      </c>
      <c r="R1679" s="11">
        <f t="shared" si="52"/>
        <v>6.7342811549447727E-4</v>
      </c>
      <c r="Z1679" s="11">
        <f t="shared" si="53"/>
        <v>8.6349996906379372E-4</v>
      </c>
    </row>
    <row r="1680" spans="1:26" x14ac:dyDescent="0.2">
      <c r="A1680" s="45">
        <v>310</v>
      </c>
      <c r="B1680" s="45">
        <v>2004</v>
      </c>
      <c r="C1680" s="17">
        <v>0</v>
      </c>
      <c r="D1680" s="14">
        <v>0.26595160000000001</v>
      </c>
      <c r="E1680" s="14">
        <v>0.67022490000000001</v>
      </c>
      <c r="F1680" s="14">
        <v>5.6509499999999997E-2</v>
      </c>
      <c r="G1680" s="14">
        <v>2.8041960000000001</v>
      </c>
      <c r="H1680" s="14">
        <v>0.22576170000000001</v>
      </c>
      <c r="R1680" s="11">
        <f t="shared" si="52"/>
        <v>2.1626914419447561E-4</v>
      </c>
      <c r="Z1680" s="11">
        <f t="shared" si="53"/>
        <v>2.7291220180060411E-4</v>
      </c>
    </row>
    <row r="1681" spans="1:26" x14ac:dyDescent="0.2">
      <c r="A1681" s="45">
        <v>311</v>
      </c>
      <c r="B1681" s="45">
        <v>2000</v>
      </c>
      <c r="C1681" s="17">
        <v>0</v>
      </c>
      <c r="D1681" s="14">
        <v>4.0215000000000001E-2</v>
      </c>
      <c r="E1681" s="14">
        <v>-8.2409000000000007E-3</v>
      </c>
      <c r="F1681" s="14">
        <v>5.3501199999999999E-2</v>
      </c>
      <c r="G1681" s="14">
        <v>0.39148529999999998</v>
      </c>
      <c r="H1681" s="14">
        <v>0.32072600000000001</v>
      </c>
      <c r="R1681" s="11">
        <f t="shared" si="52"/>
        <v>2.7032207863484842E-2</v>
      </c>
      <c r="Z1681" s="11">
        <f t="shared" si="53"/>
        <v>3.4782840619908759E-2</v>
      </c>
    </row>
    <row r="1682" spans="1:26" x14ac:dyDescent="0.2">
      <c r="A1682" s="45">
        <v>311</v>
      </c>
      <c r="B1682" s="45">
        <v>2001</v>
      </c>
      <c r="C1682" s="17">
        <v>0</v>
      </c>
      <c r="D1682" s="14">
        <v>0.10230980000000001</v>
      </c>
      <c r="E1682" s="14">
        <v>-5.1156899999999998E-2</v>
      </c>
      <c r="F1682" s="14">
        <v>3.19271E-2</v>
      </c>
      <c r="G1682" s="14">
        <v>0.334229</v>
      </c>
      <c r="H1682" s="14">
        <v>0.28080450000000001</v>
      </c>
      <c r="R1682" s="11">
        <f t="shared" si="52"/>
        <v>3.7072403437808009E-2</v>
      </c>
      <c r="Z1682" s="11">
        <f t="shared" si="53"/>
        <v>4.6756960404156785E-2</v>
      </c>
    </row>
    <row r="1683" spans="1:26" x14ac:dyDescent="0.2">
      <c r="A1683" s="45">
        <v>311</v>
      </c>
      <c r="B1683" s="45">
        <v>2002</v>
      </c>
      <c r="C1683" s="17">
        <v>0</v>
      </c>
      <c r="D1683" s="14">
        <v>5.86413E-2</v>
      </c>
      <c r="E1683" s="14">
        <v>-0.1911216</v>
      </c>
      <c r="F1683" s="14">
        <v>1.9501299999999999E-2</v>
      </c>
      <c r="G1683" s="14">
        <v>0.2292438</v>
      </c>
      <c r="H1683" s="14">
        <v>0.32848189999999999</v>
      </c>
      <c r="R1683" s="11">
        <f t="shared" si="52"/>
        <v>5.8036451578525175E-2</v>
      </c>
      <c r="Z1683" s="11">
        <f t="shared" si="53"/>
        <v>7.1933076613152819E-2</v>
      </c>
    </row>
    <row r="1684" spans="1:26" x14ac:dyDescent="0.2">
      <c r="A1684" s="45">
        <v>311</v>
      </c>
      <c r="B1684" s="45">
        <v>2003</v>
      </c>
      <c r="C1684" s="17">
        <v>0</v>
      </c>
      <c r="D1684" s="14">
        <v>2.5938300000000001E-2</v>
      </c>
      <c r="E1684" s="14">
        <v>-0.1965973</v>
      </c>
      <c r="F1684" s="14">
        <v>4.1954199999999997E-2</v>
      </c>
      <c r="G1684" s="14">
        <v>0.44555800000000001</v>
      </c>
      <c r="H1684" s="14">
        <v>0.32084819999999997</v>
      </c>
      <c r="R1684" s="11">
        <f t="shared" si="52"/>
        <v>3.5459772741246717E-2</v>
      </c>
      <c r="Z1684" s="11">
        <f t="shared" si="53"/>
        <v>4.4776084638389536E-2</v>
      </c>
    </row>
    <row r="1685" spans="1:26" x14ac:dyDescent="0.2">
      <c r="A1685" s="45">
        <v>311</v>
      </c>
      <c r="B1685" s="45">
        <v>2004</v>
      </c>
      <c r="C1685" s="17">
        <v>0</v>
      </c>
      <c r="D1685" s="14">
        <v>1.6373800000000001E-2</v>
      </c>
      <c r="E1685" s="14">
        <v>-0.1514086</v>
      </c>
      <c r="F1685" s="14">
        <v>5.8146400000000001E-2</v>
      </c>
      <c r="G1685" s="14">
        <v>0.38308150000000002</v>
      </c>
      <c r="H1685" s="14">
        <v>0.4602694</v>
      </c>
      <c r="R1685" s="11">
        <f t="shared" si="52"/>
        <v>3.2329292826055851E-2</v>
      </c>
      <c r="Z1685" s="11">
        <f t="shared" si="53"/>
        <v>4.1497473472000793E-2</v>
      </c>
    </row>
    <row r="1686" spans="1:26" x14ac:dyDescent="0.2">
      <c r="A1686" s="45">
        <v>312</v>
      </c>
      <c r="B1686" s="45">
        <v>1995</v>
      </c>
      <c r="C1686" s="17">
        <v>0</v>
      </c>
      <c r="D1686" s="14">
        <v>0.1180896</v>
      </c>
      <c r="E1686" s="14">
        <v>0.39184980000000003</v>
      </c>
      <c r="F1686" s="14">
        <v>5.1471799999999998E-2</v>
      </c>
      <c r="G1686" s="14">
        <v>1.780419</v>
      </c>
      <c r="H1686" s="14">
        <v>0.25708370000000003</v>
      </c>
      <c r="R1686" s="11">
        <f t="shared" si="52"/>
        <v>1.7225500030391655E-3</v>
      </c>
      <c r="Z1686" s="11">
        <f t="shared" si="53"/>
        <v>2.1921706021321217E-3</v>
      </c>
    </row>
    <row r="1687" spans="1:26" x14ac:dyDescent="0.2">
      <c r="A1687" s="45">
        <v>312</v>
      </c>
      <c r="B1687" s="45">
        <v>1996</v>
      </c>
      <c r="C1687" s="17">
        <v>0</v>
      </c>
      <c r="D1687" s="14">
        <v>0.14812040000000001</v>
      </c>
      <c r="E1687" s="14">
        <v>0.36472520000000003</v>
      </c>
      <c r="F1687" s="14">
        <v>6.2301700000000002E-2</v>
      </c>
      <c r="G1687" s="14">
        <v>1.3509580000000001</v>
      </c>
      <c r="H1687" s="14">
        <v>0.1767156</v>
      </c>
      <c r="R1687" s="11">
        <f t="shared" ref="R1687:R1750" si="54">1/(1+EXP(-(K$2+$M$2*E1687+$N$2*F1687+$O$2*G1687)))</f>
        <v>3.2526469684219183E-3</v>
      </c>
      <c r="Z1687" s="11">
        <f t="shared" si="53"/>
        <v>4.2100307515533265E-3</v>
      </c>
    </row>
    <row r="1688" spans="1:26" x14ac:dyDescent="0.2">
      <c r="A1688" s="45">
        <v>312</v>
      </c>
      <c r="B1688" s="45">
        <v>1997</v>
      </c>
      <c r="C1688" s="17">
        <v>0</v>
      </c>
      <c r="D1688" s="14">
        <v>0.35400300000000001</v>
      </c>
      <c r="E1688" s="14">
        <v>0.4436889</v>
      </c>
      <c r="F1688" s="14">
        <v>5.5971399999999998E-2</v>
      </c>
      <c r="G1688" s="14">
        <v>1.601305</v>
      </c>
      <c r="H1688" s="14">
        <v>0.21072560000000001</v>
      </c>
      <c r="R1688" s="11">
        <f t="shared" si="54"/>
        <v>2.0493970571211838E-3</v>
      </c>
      <c r="Z1688" s="11">
        <f t="shared" si="53"/>
        <v>2.6324833884021903E-3</v>
      </c>
    </row>
    <row r="1689" spans="1:26" x14ac:dyDescent="0.2">
      <c r="A1689" s="45">
        <v>312</v>
      </c>
      <c r="B1689" s="45">
        <v>1998</v>
      </c>
      <c r="C1689" s="17">
        <v>0</v>
      </c>
      <c r="D1689" s="14">
        <v>3.2258700000000001E-2</v>
      </c>
      <c r="E1689" s="14">
        <v>0.2690266</v>
      </c>
      <c r="F1689" s="14">
        <v>5.0353299999999997E-2</v>
      </c>
      <c r="G1689" s="14">
        <v>0.79088800000000004</v>
      </c>
      <c r="H1689" s="14">
        <v>0.19720850000000001</v>
      </c>
      <c r="R1689" s="11">
        <f t="shared" si="54"/>
        <v>9.9736968175780129E-3</v>
      </c>
      <c r="Z1689" s="11">
        <f t="shared" si="53"/>
        <v>1.2874364981111899E-2</v>
      </c>
    </row>
    <row r="1690" spans="1:26" x14ac:dyDescent="0.2">
      <c r="A1690" s="45">
        <v>312</v>
      </c>
      <c r="B1690" s="45">
        <v>1999</v>
      </c>
      <c r="C1690" s="17">
        <v>0</v>
      </c>
      <c r="D1690" s="14">
        <v>4.0296600000000002E-2</v>
      </c>
      <c r="E1690" s="14">
        <v>0.33117069999999998</v>
      </c>
      <c r="F1690" s="14">
        <v>5.3994599999999997E-2</v>
      </c>
      <c r="G1690" s="14">
        <v>1.016383</v>
      </c>
      <c r="H1690" s="14">
        <v>0.2202528</v>
      </c>
      <c r="R1690" s="11">
        <f t="shared" si="54"/>
        <v>6.2022997864244773E-3</v>
      </c>
      <c r="Z1690" s="11">
        <f t="shared" si="53"/>
        <v>8.0161914032749956E-3</v>
      </c>
    </row>
    <row r="1691" spans="1:26" x14ac:dyDescent="0.2">
      <c r="A1691" s="45">
        <v>313</v>
      </c>
      <c r="B1691" s="45">
        <v>1995</v>
      </c>
      <c r="C1691" s="17">
        <v>0</v>
      </c>
      <c r="D1691" s="14">
        <v>0.54578720000000003</v>
      </c>
      <c r="E1691" s="14">
        <v>0.50789229999999996</v>
      </c>
      <c r="F1691" s="14">
        <v>6.6725900000000005E-2</v>
      </c>
      <c r="G1691" s="14">
        <v>4.2018950000000004</v>
      </c>
      <c r="H1691" s="14">
        <v>0.20875640000000001</v>
      </c>
      <c r="R1691" s="11">
        <f t="shared" si="54"/>
        <v>2.7212082349259271E-5</v>
      </c>
      <c r="Z1691" s="11">
        <f t="shared" si="53"/>
        <v>3.3393760172055888E-5</v>
      </c>
    </row>
    <row r="1692" spans="1:26" x14ac:dyDescent="0.2">
      <c r="A1692" s="45">
        <v>313</v>
      </c>
      <c r="B1692" s="45">
        <v>1996</v>
      </c>
      <c r="C1692" s="17">
        <v>0</v>
      </c>
      <c r="D1692" s="14">
        <v>0.44964009999999999</v>
      </c>
      <c r="E1692" s="14">
        <v>0.5143896</v>
      </c>
      <c r="F1692" s="14">
        <v>8.7258600000000006E-2</v>
      </c>
      <c r="G1692" s="14">
        <v>4.8661120000000002</v>
      </c>
      <c r="H1692" s="14">
        <v>0.22911629999999999</v>
      </c>
      <c r="R1692" s="11">
        <f t="shared" si="54"/>
        <v>7.9367073074441664E-6</v>
      </c>
      <c r="Z1692" s="11">
        <f t="shared" si="53"/>
        <v>9.7633660867403098E-6</v>
      </c>
    </row>
    <row r="1693" spans="1:26" x14ac:dyDescent="0.2">
      <c r="A1693" s="45">
        <v>313</v>
      </c>
      <c r="B1693" s="45">
        <v>1997</v>
      </c>
      <c r="C1693" s="17">
        <v>0</v>
      </c>
      <c r="D1693" s="14">
        <v>0.35936679999999999</v>
      </c>
      <c r="E1693" s="14">
        <v>0.60309420000000002</v>
      </c>
      <c r="F1693" s="14">
        <v>8.8503200000000004E-2</v>
      </c>
      <c r="G1693" s="14">
        <v>3.8414139999999999</v>
      </c>
      <c r="H1693" s="14">
        <v>0.222996</v>
      </c>
      <c r="R1693" s="11">
        <f t="shared" si="54"/>
        <v>3.535677119275363E-5</v>
      </c>
      <c r="Z1693" s="11">
        <f t="shared" si="53"/>
        <v>4.46675385554061E-5</v>
      </c>
    </row>
    <row r="1694" spans="1:26" x14ac:dyDescent="0.2">
      <c r="A1694" s="45">
        <v>313</v>
      </c>
      <c r="B1694" s="45">
        <v>1998</v>
      </c>
      <c r="C1694" s="17">
        <v>0</v>
      </c>
      <c r="D1694" s="14">
        <v>0.32589370000000001</v>
      </c>
      <c r="E1694" s="14">
        <v>0.56419750000000002</v>
      </c>
      <c r="F1694" s="14">
        <v>5.5762699999999998E-2</v>
      </c>
      <c r="G1694" s="14">
        <v>2.1102569999999998</v>
      </c>
      <c r="H1694" s="14">
        <v>0.1999351</v>
      </c>
      <c r="R1694" s="11">
        <f t="shared" si="54"/>
        <v>7.6660368776163327E-4</v>
      </c>
      <c r="Z1694" s="11">
        <f t="shared" si="53"/>
        <v>9.7796767273722763E-4</v>
      </c>
    </row>
    <row r="1695" spans="1:26" x14ac:dyDescent="0.2">
      <c r="A1695" s="45">
        <v>313</v>
      </c>
      <c r="B1695" s="45">
        <v>1999</v>
      </c>
      <c r="C1695" s="17">
        <v>0</v>
      </c>
      <c r="D1695" s="14">
        <v>0.45609559999999999</v>
      </c>
      <c r="E1695" s="14">
        <v>0.53508489999999997</v>
      </c>
      <c r="F1695" s="14">
        <v>4.9326599999999998E-2</v>
      </c>
      <c r="G1695" s="14">
        <v>1.1028210000000001</v>
      </c>
      <c r="H1695" s="14">
        <v>0.1623801</v>
      </c>
      <c r="R1695" s="11">
        <f t="shared" si="54"/>
        <v>4.1789129681120696E-3</v>
      </c>
      <c r="Z1695" s="11">
        <f t="shared" si="53"/>
        <v>5.4110481580677723E-3</v>
      </c>
    </row>
    <row r="1696" spans="1:26" x14ac:dyDescent="0.2">
      <c r="A1696" s="45">
        <v>313</v>
      </c>
      <c r="B1696" s="45">
        <v>2000</v>
      </c>
      <c r="C1696" s="17">
        <v>0</v>
      </c>
      <c r="D1696" s="14">
        <v>0.35639290000000001</v>
      </c>
      <c r="E1696" s="14">
        <v>0.66305190000000003</v>
      </c>
      <c r="F1696" s="14">
        <v>7.6487200000000005E-2</v>
      </c>
      <c r="G1696" s="14">
        <v>1.6246940000000001</v>
      </c>
      <c r="H1696" s="14">
        <v>0.19314580000000001</v>
      </c>
      <c r="R1696" s="11">
        <f t="shared" si="54"/>
        <v>1.2190103803264229E-3</v>
      </c>
      <c r="Z1696" s="11">
        <f t="shared" si="53"/>
        <v>1.6039046616818211E-3</v>
      </c>
    </row>
    <row r="1697" spans="1:26" x14ac:dyDescent="0.2">
      <c r="A1697" s="45">
        <v>313</v>
      </c>
      <c r="B1697" s="45">
        <v>2001</v>
      </c>
      <c r="C1697" s="17">
        <v>0</v>
      </c>
      <c r="D1697" s="14">
        <v>0.33148430000000001</v>
      </c>
      <c r="E1697" s="14">
        <v>0.67691619999999997</v>
      </c>
      <c r="F1697" s="14">
        <v>5.5952599999999998E-2</v>
      </c>
      <c r="G1697" s="14">
        <v>1.9896339999999999</v>
      </c>
      <c r="H1697" s="14">
        <v>0.1892472</v>
      </c>
      <c r="R1697" s="11">
        <f t="shared" si="54"/>
        <v>7.8741774044998865E-4</v>
      </c>
      <c r="Z1697" s="11">
        <f t="shared" si="53"/>
        <v>1.011235980522867E-3</v>
      </c>
    </row>
    <row r="1698" spans="1:26" x14ac:dyDescent="0.2">
      <c r="A1698" s="45">
        <v>313</v>
      </c>
      <c r="B1698" s="45">
        <v>2002</v>
      </c>
      <c r="C1698" s="17">
        <v>0</v>
      </c>
      <c r="D1698" s="14">
        <v>0.25249300000000002</v>
      </c>
      <c r="E1698" s="14">
        <v>0.49173640000000002</v>
      </c>
      <c r="F1698" s="14">
        <v>8.2052200000000006E-2</v>
      </c>
      <c r="G1698" s="14">
        <v>3.2168060000000001</v>
      </c>
      <c r="H1698" s="14">
        <v>0.17345759999999999</v>
      </c>
      <c r="R1698" s="11">
        <f t="shared" si="54"/>
        <v>1.1842703231584909E-4</v>
      </c>
      <c r="Z1698" s="11">
        <f t="shared" si="53"/>
        <v>1.5030723458986061E-4</v>
      </c>
    </row>
    <row r="1699" spans="1:26" x14ac:dyDescent="0.2">
      <c r="A1699" s="45">
        <v>313</v>
      </c>
      <c r="B1699" s="45">
        <v>2003</v>
      </c>
      <c r="C1699" s="17">
        <v>0</v>
      </c>
      <c r="D1699" s="14">
        <v>0.2891358</v>
      </c>
      <c r="E1699" s="14">
        <v>0.47370109999999999</v>
      </c>
      <c r="F1699" s="14">
        <v>7.5481300000000001E-2</v>
      </c>
      <c r="G1699" s="14">
        <v>3.8955630000000001</v>
      </c>
      <c r="H1699" s="14">
        <v>0.16812959999999999</v>
      </c>
      <c r="R1699" s="11">
        <f t="shared" si="54"/>
        <v>4.3444901020672575E-5</v>
      </c>
      <c r="Z1699" s="11">
        <f t="shared" si="53"/>
        <v>5.3998041599683327E-5</v>
      </c>
    </row>
    <row r="1700" spans="1:26" x14ac:dyDescent="0.2">
      <c r="A1700" s="45">
        <v>313</v>
      </c>
      <c r="B1700" s="45">
        <v>2004</v>
      </c>
      <c r="C1700" s="17">
        <v>0</v>
      </c>
      <c r="D1700" s="14">
        <v>0.26923209999999997</v>
      </c>
      <c r="E1700" s="14">
        <v>0.59074939999999998</v>
      </c>
      <c r="F1700" s="14">
        <v>9.2159000000000005E-2</v>
      </c>
      <c r="G1700" s="14">
        <v>6.5450920000000004</v>
      </c>
      <c r="H1700" s="14">
        <v>0.20095779999999999</v>
      </c>
      <c r="R1700" s="11">
        <f t="shared" si="54"/>
        <v>4.7032366908351122E-7</v>
      </c>
      <c r="Z1700" s="11">
        <f t="shared" si="53"/>
        <v>5.6128141802364097E-7</v>
      </c>
    </row>
    <row r="1701" spans="1:26" x14ac:dyDescent="0.2">
      <c r="A1701" s="45">
        <v>314</v>
      </c>
      <c r="B1701" s="45">
        <v>1995</v>
      </c>
      <c r="C1701" s="17">
        <v>0</v>
      </c>
      <c r="D1701" s="14">
        <v>0.26683669999999998</v>
      </c>
      <c r="E1701" s="14">
        <v>0.3941422</v>
      </c>
      <c r="F1701" s="14">
        <v>4.51603E-2</v>
      </c>
      <c r="G1701" s="14">
        <v>0.66496279999999997</v>
      </c>
      <c r="H1701" s="14">
        <v>0.80409169999999996</v>
      </c>
      <c r="R1701" s="11">
        <f t="shared" si="54"/>
        <v>1.0586967755357665E-2</v>
      </c>
      <c r="Z1701" s="11">
        <f t="shared" si="53"/>
        <v>1.3701385051047524E-2</v>
      </c>
    </row>
    <row r="1702" spans="1:26" x14ac:dyDescent="0.2">
      <c r="A1702" s="45">
        <v>314</v>
      </c>
      <c r="B1702" s="45">
        <v>1996</v>
      </c>
      <c r="C1702" s="17">
        <v>0</v>
      </c>
      <c r="D1702" s="14">
        <v>0.22222169999999999</v>
      </c>
      <c r="E1702" s="14">
        <v>0.34343600000000002</v>
      </c>
      <c r="F1702" s="14">
        <v>4.7047800000000001E-2</v>
      </c>
      <c r="G1702" s="14">
        <v>0.63096629999999998</v>
      </c>
      <c r="H1702" s="14">
        <v>0.72315110000000005</v>
      </c>
      <c r="R1702" s="11">
        <f t="shared" si="54"/>
        <v>1.1836247032847786E-2</v>
      </c>
      <c r="Z1702" s="11">
        <f t="shared" si="53"/>
        <v>1.5320895870628064E-2</v>
      </c>
    </row>
    <row r="1703" spans="1:26" x14ac:dyDescent="0.2">
      <c r="A1703" s="45">
        <v>314</v>
      </c>
      <c r="B1703" s="45">
        <v>1997</v>
      </c>
      <c r="C1703" s="17">
        <v>0</v>
      </c>
      <c r="D1703" s="14">
        <v>0.2414499</v>
      </c>
      <c r="E1703" s="14">
        <v>0.37014819999999998</v>
      </c>
      <c r="F1703" s="14">
        <v>5.0773100000000002E-2</v>
      </c>
      <c r="G1703" s="14">
        <v>1.0395460000000001</v>
      </c>
      <c r="H1703" s="14">
        <v>0.69883499999999998</v>
      </c>
      <c r="R1703" s="11">
        <f t="shared" si="54"/>
        <v>5.7979788097923821E-3</v>
      </c>
      <c r="Z1703" s="11">
        <f t="shared" si="53"/>
        <v>7.48103001152731E-3</v>
      </c>
    </row>
    <row r="1704" spans="1:26" x14ac:dyDescent="0.2">
      <c r="A1704" s="45">
        <v>314</v>
      </c>
      <c r="B1704" s="45">
        <v>1998</v>
      </c>
      <c r="C1704" s="17">
        <v>0</v>
      </c>
      <c r="D1704" s="14">
        <v>0.14639740000000001</v>
      </c>
      <c r="E1704" s="14">
        <v>0.37808839999999999</v>
      </c>
      <c r="F1704" s="14">
        <v>4.5054700000000003E-2</v>
      </c>
      <c r="G1704" s="14">
        <v>0.96927620000000003</v>
      </c>
      <c r="H1704" s="14">
        <v>0.84866359999999996</v>
      </c>
      <c r="R1704" s="11">
        <f t="shared" si="54"/>
        <v>6.7044757765436919E-3</v>
      </c>
      <c r="Z1704" s="11">
        <f t="shared" si="53"/>
        <v>8.6238256277765407E-3</v>
      </c>
    </row>
    <row r="1705" spans="1:26" x14ac:dyDescent="0.2">
      <c r="A1705" s="45">
        <v>314</v>
      </c>
      <c r="B1705" s="45">
        <v>1999</v>
      </c>
      <c r="C1705" s="17">
        <v>0</v>
      </c>
      <c r="D1705" s="14">
        <v>0.12605669999999999</v>
      </c>
      <c r="E1705" s="14">
        <v>0.33988469999999998</v>
      </c>
      <c r="F1705" s="14">
        <v>5.4669299999999997E-2</v>
      </c>
      <c r="G1705" s="14">
        <v>0.45651799999999998</v>
      </c>
      <c r="H1705" s="14">
        <v>0.82819750000000003</v>
      </c>
      <c r="R1705" s="11">
        <f t="shared" si="54"/>
        <v>1.4737930523974298E-2</v>
      </c>
      <c r="Z1705" s="11">
        <f t="shared" si="53"/>
        <v>1.9247624735296703E-2</v>
      </c>
    </row>
    <row r="1706" spans="1:26" x14ac:dyDescent="0.2">
      <c r="A1706" s="45">
        <v>314</v>
      </c>
      <c r="B1706" s="45">
        <v>2000</v>
      </c>
      <c r="C1706" s="17">
        <v>0</v>
      </c>
      <c r="D1706" s="14">
        <v>0.13757420000000001</v>
      </c>
      <c r="E1706" s="14">
        <v>0.32021189999999999</v>
      </c>
      <c r="F1706" s="14">
        <v>3.5617000000000003E-2</v>
      </c>
      <c r="G1706" s="14">
        <v>0.73034350000000003</v>
      </c>
      <c r="H1706" s="14">
        <v>0.93098780000000003</v>
      </c>
      <c r="R1706" s="11">
        <f t="shared" si="54"/>
        <v>1.1454581804978971E-2</v>
      </c>
      <c r="Z1706" s="11">
        <f t="shared" si="53"/>
        <v>1.4649150975756808E-2</v>
      </c>
    </row>
    <row r="1707" spans="1:26" x14ac:dyDescent="0.2">
      <c r="A1707" s="45">
        <v>314</v>
      </c>
      <c r="B1707" s="45">
        <v>2001</v>
      </c>
      <c r="C1707" s="17">
        <v>0</v>
      </c>
      <c r="D1707" s="14">
        <v>0.20561679999999999</v>
      </c>
      <c r="E1707" s="14">
        <v>0.26089889999999999</v>
      </c>
      <c r="F1707" s="14">
        <v>3.6876899999999997E-2</v>
      </c>
      <c r="G1707" s="14">
        <v>0.5044864</v>
      </c>
      <c r="H1707" s="14">
        <v>0.21603449999999999</v>
      </c>
      <c r="R1707" s="11">
        <f t="shared" si="54"/>
        <v>1.7605944562094595E-2</v>
      </c>
      <c r="Z1707" s="11">
        <f t="shared" si="53"/>
        <v>2.2564528649913387E-2</v>
      </c>
    </row>
    <row r="1708" spans="1:26" x14ac:dyDescent="0.2">
      <c r="A1708" s="45">
        <v>314</v>
      </c>
      <c r="B1708" s="45">
        <v>2002</v>
      </c>
      <c r="C1708" s="17">
        <v>0</v>
      </c>
      <c r="D1708" s="14">
        <v>0.12201620000000001</v>
      </c>
      <c r="E1708" s="14">
        <v>0.28164210000000001</v>
      </c>
      <c r="F1708" s="14">
        <v>5.7986299999999998E-2</v>
      </c>
      <c r="G1708" s="14">
        <v>0.75008739999999996</v>
      </c>
      <c r="H1708" s="14">
        <v>0.32331850000000001</v>
      </c>
      <c r="R1708" s="11">
        <f t="shared" si="54"/>
        <v>9.8326973906016739E-3</v>
      </c>
      <c r="Z1708" s="11">
        <f t="shared" si="53"/>
        <v>1.2788323395144097E-2</v>
      </c>
    </row>
    <row r="1709" spans="1:26" x14ac:dyDescent="0.2">
      <c r="A1709" s="45">
        <v>314</v>
      </c>
      <c r="B1709" s="45">
        <v>2003</v>
      </c>
      <c r="C1709" s="17">
        <v>0</v>
      </c>
      <c r="D1709" s="14">
        <v>7.9836000000000004E-2</v>
      </c>
      <c r="E1709" s="14">
        <v>0.31203530000000002</v>
      </c>
      <c r="F1709" s="14">
        <v>4.1021099999999998E-2</v>
      </c>
      <c r="G1709" s="14">
        <v>0.7569785</v>
      </c>
      <c r="H1709" s="14">
        <v>0.2944737</v>
      </c>
      <c r="R1709" s="11">
        <f t="shared" si="54"/>
        <v>1.0648517977090913E-2</v>
      </c>
      <c r="Z1709" s="11">
        <f t="shared" si="53"/>
        <v>1.3669335595144941E-2</v>
      </c>
    </row>
    <row r="1710" spans="1:26" x14ac:dyDescent="0.2">
      <c r="A1710" s="45">
        <v>315</v>
      </c>
      <c r="B1710" s="45">
        <v>1995</v>
      </c>
      <c r="C1710" s="17">
        <v>0</v>
      </c>
      <c r="D1710" s="14">
        <v>7.18163E-2</v>
      </c>
      <c r="E1710" s="14">
        <v>0.25272240000000001</v>
      </c>
      <c r="F1710" s="14">
        <v>5.1826400000000002E-2</v>
      </c>
      <c r="G1710" s="14">
        <v>0.63350609999999996</v>
      </c>
      <c r="H1710" s="14">
        <v>0.22943930000000001</v>
      </c>
      <c r="R1710" s="11">
        <f t="shared" si="54"/>
        <v>1.2931744503128499E-2</v>
      </c>
      <c r="Z1710" s="11">
        <f t="shared" si="53"/>
        <v>1.6745825118006742E-2</v>
      </c>
    </row>
    <row r="1711" spans="1:26" x14ac:dyDescent="0.2">
      <c r="A1711" s="45">
        <v>315</v>
      </c>
      <c r="B1711" s="45">
        <v>1996</v>
      </c>
      <c r="C1711" s="17">
        <v>0</v>
      </c>
      <c r="D1711" s="14">
        <v>3.1804899999999997E-2</v>
      </c>
      <c r="E1711" s="14">
        <v>0.2346336</v>
      </c>
      <c r="F1711" s="14">
        <v>4.2810599999999997E-2</v>
      </c>
      <c r="G1711" s="14">
        <v>0.6791701</v>
      </c>
      <c r="H1711" s="14">
        <v>0.20234250000000001</v>
      </c>
      <c r="R1711" s="11">
        <f t="shared" si="54"/>
        <v>1.3263271832647593E-2</v>
      </c>
      <c r="Z1711" s="11">
        <f t="shared" si="53"/>
        <v>1.7021918408548033E-2</v>
      </c>
    </row>
    <row r="1712" spans="1:26" x14ac:dyDescent="0.2">
      <c r="A1712" s="45">
        <v>315</v>
      </c>
      <c r="B1712" s="45">
        <v>1997</v>
      </c>
      <c r="C1712" s="17">
        <v>0</v>
      </c>
      <c r="D1712" s="14">
        <v>7.0384000000000002E-2</v>
      </c>
      <c r="E1712" s="14">
        <v>0.22864809999999999</v>
      </c>
      <c r="F1712" s="14">
        <v>2.74083E-2</v>
      </c>
      <c r="G1712" s="14">
        <v>0.74870159999999997</v>
      </c>
      <c r="H1712" s="14">
        <v>0.22129299999999999</v>
      </c>
      <c r="R1712" s="11">
        <f t="shared" si="54"/>
        <v>1.3542296243367556E-2</v>
      </c>
      <c r="Z1712" s="11">
        <f t="shared" si="53"/>
        <v>1.7135067509686717E-2</v>
      </c>
    </row>
    <row r="1713" spans="1:26" x14ac:dyDescent="0.2">
      <c r="A1713" s="45">
        <v>315</v>
      </c>
      <c r="B1713" s="45">
        <v>1998</v>
      </c>
      <c r="C1713" s="17">
        <v>0</v>
      </c>
      <c r="D1713" s="14">
        <v>0.1228997</v>
      </c>
      <c r="E1713" s="14">
        <v>0.21720690000000001</v>
      </c>
      <c r="F1713" s="14">
        <v>4.42537E-2</v>
      </c>
      <c r="G1713" s="14">
        <v>0.81780540000000002</v>
      </c>
      <c r="H1713" s="14">
        <v>0.26217960000000001</v>
      </c>
      <c r="R1713" s="11">
        <f t="shared" si="54"/>
        <v>1.0808686499691637E-2</v>
      </c>
      <c r="Z1713" s="11">
        <f t="shared" si="53"/>
        <v>1.38477852278997E-2</v>
      </c>
    </row>
    <row r="1714" spans="1:26" x14ac:dyDescent="0.2">
      <c r="A1714" s="45">
        <v>315</v>
      </c>
      <c r="B1714" s="45">
        <v>1999</v>
      </c>
      <c r="C1714" s="17">
        <v>0</v>
      </c>
      <c r="D1714" s="14">
        <v>0.1049523</v>
      </c>
      <c r="E1714" s="14">
        <v>0.22088720000000001</v>
      </c>
      <c r="F1714" s="14">
        <v>5.5948900000000003E-2</v>
      </c>
      <c r="G1714" s="14">
        <v>1.196898</v>
      </c>
      <c r="H1714" s="14">
        <v>0.23340330000000001</v>
      </c>
      <c r="R1714" s="11">
        <f t="shared" si="54"/>
        <v>5.380605440411251E-3</v>
      </c>
      <c r="Z1714" s="11">
        <f t="shared" si="53"/>
        <v>6.9134952039603768E-3</v>
      </c>
    </row>
    <row r="1715" spans="1:26" x14ac:dyDescent="0.2">
      <c r="A1715" s="45">
        <v>315</v>
      </c>
      <c r="B1715" s="45">
        <v>2000</v>
      </c>
      <c r="C1715" s="17">
        <v>0</v>
      </c>
      <c r="D1715" s="14">
        <v>8.2168000000000005E-2</v>
      </c>
      <c r="E1715" s="14">
        <v>0.15159130000000001</v>
      </c>
      <c r="F1715" s="14">
        <v>2.87672E-2</v>
      </c>
      <c r="G1715" s="14">
        <v>0.67584</v>
      </c>
      <c r="H1715" s="14">
        <v>0.19933390000000001</v>
      </c>
      <c r="R1715" s="11">
        <f t="shared" si="54"/>
        <v>1.6773841789783417E-2</v>
      </c>
      <c r="Z1715" s="11">
        <f t="shared" si="53"/>
        <v>2.1207114345840047E-2</v>
      </c>
    </row>
    <row r="1716" spans="1:26" x14ac:dyDescent="0.2">
      <c r="A1716" s="45">
        <v>315</v>
      </c>
      <c r="B1716" s="45">
        <v>2001</v>
      </c>
      <c r="C1716" s="17">
        <v>0</v>
      </c>
      <c r="D1716" s="14">
        <v>0.1029157</v>
      </c>
      <c r="E1716" s="14">
        <v>0.1238442</v>
      </c>
      <c r="F1716" s="14">
        <v>4.1703400000000002E-2</v>
      </c>
      <c r="G1716" s="14">
        <v>0.75422299999999998</v>
      </c>
      <c r="H1716" s="14">
        <v>0.20227100000000001</v>
      </c>
      <c r="R1716" s="11">
        <f t="shared" si="54"/>
        <v>1.3938529303826455E-2</v>
      </c>
      <c r="Z1716" s="11">
        <f t="shared" si="53"/>
        <v>1.7773732949913398E-2</v>
      </c>
    </row>
    <row r="1717" spans="1:26" x14ac:dyDescent="0.2">
      <c r="A1717" s="45">
        <v>315</v>
      </c>
      <c r="B1717" s="45">
        <v>2002</v>
      </c>
      <c r="C1717" s="17">
        <v>0</v>
      </c>
      <c r="D1717" s="14">
        <v>0.1182415</v>
      </c>
      <c r="E1717" s="14">
        <v>3.44106E-2</v>
      </c>
      <c r="F1717" s="14">
        <v>4.33353E-2</v>
      </c>
      <c r="G1717" s="14">
        <v>0.66009300000000004</v>
      </c>
      <c r="H1717" s="14">
        <v>0.22288620000000001</v>
      </c>
      <c r="R1717" s="11">
        <f t="shared" si="54"/>
        <v>1.8126773842203726E-2</v>
      </c>
      <c r="Z1717" s="11">
        <f t="shared" si="53"/>
        <v>2.3095180533374754E-2</v>
      </c>
    </row>
    <row r="1718" spans="1:26" x14ac:dyDescent="0.2">
      <c r="A1718" s="45">
        <v>315</v>
      </c>
      <c r="B1718" s="45">
        <v>2003</v>
      </c>
      <c r="C1718" s="17">
        <v>0</v>
      </c>
      <c r="D1718" s="14">
        <v>9.5546300000000001E-2</v>
      </c>
      <c r="E1718" s="14">
        <v>7.57192E-2</v>
      </c>
      <c r="F1718" s="14">
        <v>3.9129799999999999E-2</v>
      </c>
      <c r="G1718" s="14">
        <v>0.79314150000000005</v>
      </c>
      <c r="H1718" s="14">
        <v>0.19779169999999999</v>
      </c>
      <c r="R1718" s="11">
        <f t="shared" si="54"/>
        <v>1.4336292479609223E-2</v>
      </c>
      <c r="Z1718" s="11">
        <f t="shared" si="53"/>
        <v>1.8196260262067124E-2</v>
      </c>
    </row>
    <row r="1719" spans="1:26" x14ac:dyDescent="0.2">
      <c r="A1719" s="45">
        <v>315</v>
      </c>
      <c r="B1719" s="45">
        <v>2004</v>
      </c>
      <c r="C1719" s="17">
        <v>0</v>
      </c>
      <c r="D1719" s="14">
        <v>0.15084649999999999</v>
      </c>
      <c r="E1719" s="14">
        <v>6.8110000000000004E-2</v>
      </c>
      <c r="F1719" s="14">
        <v>3.98518E-2</v>
      </c>
      <c r="G1719" s="14">
        <v>0.82580920000000002</v>
      </c>
      <c r="H1719" s="14">
        <v>0.22125320000000001</v>
      </c>
      <c r="R1719" s="11">
        <f t="shared" si="54"/>
        <v>1.3690184334798705E-2</v>
      </c>
      <c r="Z1719" s="11">
        <f t="shared" si="53"/>
        <v>1.7372627165377973E-2</v>
      </c>
    </row>
    <row r="1720" spans="1:26" x14ac:dyDescent="0.2">
      <c r="A1720" s="45">
        <v>316</v>
      </c>
      <c r="B1720" s="45">
        <v>1995</v>
      </c>
      <c r="C1720" s="17">
        <v>0</v>
      </c>
      <c r="D1720" s="14">
        <v>0.29003380000000001</v>
      </c>
      <c r="E1720" s="14">
        <v>0.13497310000000001</v>
      </c>
      <c r="F1720" s="14">
        <v>5.4013100000000001E-2</v>
      </c>
      <c r="G1720" s="14">
        <v>5.452388</v>
      </c>
      <c r="H1720" s="14">
        <v>0.27777190000000002</v>
      </c>
      <c r="R1720" s="11">
        <f t="shared" si="54"/>
        <v>7.0626863790760771E-6</v>
      </c>
      <c r="Z1720" s="11">
        <f t="shared" si="53"/>
        <v>8.2383330595370656E-6</v>
      </c>
    </row>
    <row r="1721" spans="1:26" x14ac:dyDescent="0.2">
      <c r="A1721" s="45">
        <v>316</v>
      </c>
      <c r="B1721" s="45">
        <v>1996</v>
      </c>
      <c r="C1721" s="17">
        <v>0</v>
      </c>
      <c r="D1721" s="14">
        <v>0.26197700000000002</v>
      </c>
      <c r="E1721" s="14">
        <v>0.23040749999999999</v>
      </c>
      <c r="F1721" s="14">
        <v>7.4614399999999997E-2</v>
      </c>
      <c r="G1721" s="14">
        <v>3.9667509999999999</v>
      </c>
      <c r="H1721" s="14">
        <v>0.27941440000000001</v>
      </c>
      <c r="R1721" s="11">
        <f t="shared" si="54"/>
        <v>5.5630122424129164E-5</v>
      </c>
      <c r="Z1721" s="11">
        <f t="shared" si="53"/>
        <v>6.8412765170138373E-5</v>
      </c>
    </row>
    <row r="1722" spans="1:26" x14ac:dyDescent="0.2">
      <c r="A1722" s="45">
        <v>316</v>
      </c>
      <c r="B1722" s="45">
        <v>1997</v>
      </c>
      <c r="C1722" s="17">
        <v>0</v>
      </c>
      <c r="D1722" s="14">
        <v>0.336005</v>
      </c>
      <c r="E1722" s="14">
        <v>0.14432919999999999</v>
      </c>
      <c r="F1722" s="14">
        <v>4.0302900000000003E-2</v>
      </c>
      <c r="G1722" s="14">
        <v>3.2273149999999999</v>
      </c>
      <c r="H1722" s="14">
        <v>0.2200029</v>
      </c>
      <c r="R1722" s="11">
        <f t="shared" si="54"/>
        <v>2.6947920444764581E-4</v>
      </c>
      <c r="Z1722" s="11">
        <f t="shared" si="53"/>
        <v>3.2651940438612799E-4</v>
      </c>
    </row>
    <row r="1723" spans="1:26" x14ac:dyDescent="0.2">
      <c r="A1723" s="45">
        <v>316</v>
      </c>
      <c r="B1723" s="45">
        <v>1998</v>
      </c>
      <c r="C1723" s="17">
        <v>0</v>
      </c>
      <c r="D1723" s="14">
        <v>0.25309229999999999</v>
      </c>
      <c r="E1723" s="14">
        <v>0.1653201</v>
      </c>
      <c r="F1723" s="14">
        <v>3.32246E-2</v>
      </c>
      <c r="G1723" s="14">
        <v>1.3212120000000001</v>
      </c>
      <c r="H1723" s="14">
        <v>0.2086866</v>
      </c>
      <c r="R1723" s="11">
        <f t="shared" si="54"/>
        <v>5.7368217996084043E-3</v>
      </c>
      <c r="Z1723" s="11">
        <f t="shared" si="53"/>
        <v>7.2021387568853559E-3</v>
      </c>
    </row>
    <row r="1724" spans="1:26" x14ac:dyDescent="0.2">
      <c r="A1724" s="45">
        <v>316</v>
      </c>
      <c r="B1724" s="45">
        <v>1999</v>
      </c>
      <c r="C1724" s="17">
        <v>0</v>
      </c>
      <c r="D1724" s="14">
        <v>0.25852069999999999</v>
      </c>
      <c r="E1724" s="14">
        <v>0.1569612</v>
      </c>
      <c r="F1724" s="14">
        <v>3.8221699999999997E-2</v>
      </c>
      <c r="G1724" s="14">
        <v>2.2294160000000001</v>
      </c>
      <c r="H1724" s="14">
        <v>0.23626520000000001</v>
      </c>
      <c r="R1724" s="11">
        <f t="shared" si="54"/>
        <v>1.3181285743079198E-3</v>
      </c>
      <c r="Z1724" s="11">
        <f t="shared" si="53"/>
        <v>1.6301268077026584E-3</v>
      </c>
    </row>
    <row r="1725" spans="1:26" x14ac:dyDescent="0.2">
      <c r="A1725" s="45">
        <v>316</v>
      </c>
      <c r="B1725" s="45">
        <v>2000</v>
      </c>
      <c r="C1725" s="17">
        <v>0</v>
      </c>
      <c r="D1725" s="14">
        <v>0.45378010000000002</v>
      </c>
      <c r="E1725" s="14">
        <v>0.18428169999999999</v>
      </c>
      <c r="F1725" s="14">
        <v>6.9967100000000004E-2</v>
      </c>
      <c r="G1725" s="14">
        <v>18.937519999999999</v>
      </c>
      <c r="H1725" s="14">
        <v>0.26468659999999999</v>
      </c>
      <c r="R1725" s="11">
        <f t="shared" si="54"/>
        <v>2.6884300599561573E-15</v>
      </c>
      <c r="Z1725" s="11">
        <f t="shared" si="53"/>
        <v>2.3649061566828126E-15</v>
      </c>
    </row>
    <row r="1726" spans="1:26" x14ac:dyDescent="0.2">
      <c r="A1726" s="45">
        <v>316</v>
      </c>
      <c r="B1726" s="45">
        <v>2001</v>
      </c>
      <c r="C1726" s="17">
        <v>0</v>
      </c>
      <c r="D1726" s="14">
        <v>0.61471589999999998</v>
      </c>
      <c r="E1726" s="14">
        <v>0.16286210000000001</v>
      </c>
      <c r="F1726" s="14">
        <v>1.78631E-2</v>
      </c>
      <c r="G1726" s="14">
        <v>2.8193139999999999</v>
      </c>
      <c r="H1726" s="14">
        <v>0.14590159999999999</v>
      </c>
      <c r="R1726" s="11">
        <f t="shared" si="54"/>
        <v>6.0118185943781194E-4</v>
      </c>
      <c r="Z1726" s="11">
        <f t="shared" si="53"/>
        <v>7.2202362360041319E-4</v>
      </c>
    </row>
    <row r="1727" spans="1:26" x14ac:dyDescent="0.2">
      <c r="A1727" s="45">
        <v>316</v>
      </c>
      <c r="B1727" s="45">
        <v>2002</v>
      </c>
      <c r="C1727" s="17">
        <v>0</v>
      </c>
      <c r="D1727" s="14">
        <v>0.32895380000000002</v>
      </c>
      <c r="E1727" s="14">
        <v>0.19460540000000001</v>
      </c>
      <c r="F1727" s="14">
        <v>3.6053300000000003E-2</v>
      </c>
      <c r="G1727" s="14">
        <v>2.4739620000000002</v>
      </c>
      <c r="H1727" s="14">
        <v>0.15108849999999999</v>
      </c>
      <c r="R1727" s="11">
        <f t="shared" si="54"/>
        <v>8.6034130456701975E-4</v>
      </c>
      <c r="Z1727" s="11">
        <f t="shared" si="53"/>
        <v>1.0578738602805636E-3</v>
      </c>
    </row>
    <row r="1728" spans="1:26" x14ac:dyDescent="0.2">
      <c r="A1728" s="45">
        <v>316</v>
      </c>
      <c r="B1728" s="45">
        <v>2003</v>
      </c>
      <c r="C1728" s="17">
        <v>0</v>
      </c>
      <c r="D1728" s="14">
        <v>0.38980670000000001</v>
      </c>
      <c r="E1728" s="14">
        <v>0.1604237</v>
      </c>
      <c r="F1728" s="14">
        <v>5.0371899999999997E-2</v>
      </c>
      <c r="G1728" s="14">
        <v>2.1611030000000002</v>
      </c>
      <c r="H1728" s="14">
        <v>0.16063279999999999</v>
      </c>
      <c r="R1728" s="11">
        <f t="shared" si="54"/>
        <v>1.326896406816983E-3</v>
      </c>
      <c r="Z1728" s="11">
        <f t="shared" si="53"/>
        <v>1.6600518585446757E-3</v>
      </c>
    </row>
    <row r="1729" spans="1:26" x14ac:dyDescent="0.2">
      <c r="A1729" s="45">
        <v>316</v>
      </c>
      <c r="B1729" s="45">
        <v>2004</v>
      </c>
      <c r="C1729" s="17">
        <v>0</v>
      </c>
      <c r="D1729" s="14">
        <v>0.39502660000000001</v>
      </c>
      <c r="E1729" s="14">
        <v>0.21612000000000001</v>
      </c>
      <c r="F1729" s="14">
        <v>4.0942100000000002E-2</v>
      </c>
      <c r="G1729" s="14">
        <v>3.3813909999999998</v>
      </c>
      <c r="H1729" s="14">
        <v>0.179838</v>
      </c>
      <c r="R1729" s="11">
        <f t="shared" si="54"/>
        <v>1.8896065806776129E-4</v>
      </c>
      <c r="Z1729" s="11">
        <f t="shared" si="53"/>
        <v>2.2886809826220948E-4</v>
      </c>
    </row>
    <row r="1730" spans="1:26" x14ac:dyDescent="0.2">
      <c r="A1730" s="45">
        <v>317</v>
      </c>
      <c r="B1730" s="45">
        <v>1995</v>
      </c>
      <c r="C1730" s="17">
        <v>0</v>
      </c>
      <c r="D1730" s="14">
        <v>4.7725299999999998E-2</v>
      </c>
      <c r="E1730" s="14">
        <v>0.1972061</v>
      </c>
      <c r="F1730" s="14">
        <v>4.9726699999999999E-2</v>
      </c>
      <c r="G1730" s="14">
        <v>0.32844810000000002</v>
      </c>
      <c r="H1730" s="14">
        <v>0.18058540000000001</v>
      </c>
      <c r="R1730" s="11">
        <f t="shared" si="54"/>
        <v>2.294600756993443E-2</v>
      </c>
      <c r="Z1730" s="11">
        <f t="shared" ref="Z1730:Z1793" si="55">1/(1+EXP(-(U$2+$V$2*E1730+$W$2*F1730+$X$2*G1730)))</f>
        <v>2.971410900733748E-2</v>
      </c>
    </row>
    <row r="1731" spans="1:26" x14ac:dyDescent="0.2">
      <c r="A1731" s="45">
        <v>317</v>
      </c>
      <c r="B1731" s="45">
        <v>1996</v>
      </c>
      <c r="C1731" s="17">
        <v>0</v>
      </c>
      <c r="D1731" s="14">
        <v>7.3106599999999994E-2</v>
      </c>
      <c r="E1731" s="14">
        <v>0.19690869999999999</v>
      </c>
      <c r="F1731" s="14">
        <v>4.2791099999999999E-2</v>
      </c>
      <c r="G1731" s="14">
        <v>0.27186900000000003</v>
      </c>
      <c r="H1731" s="14">
        <v>0.16715269999999999</v>
      </c>
      <c r="R1731" s="11">
        <f t="shared" si="54"/>
        <v>2.6459526750192617E-2</v>
      </c>
      <c r="Z1731" s="11">
        <f t="shared" si="55"/>
        <v>3.408088931420411E-2</v>
      </c>
    </row>
    <row r="1732" spans="1:26" x14ac:dyDescent="0.2">
      <c r="A1732" s="45">
        <v>317</v>
      </c>
      <c r="B1732" s="45">
        <v>1997</v>
      </c>
      <c r="C1732" s="17">
        <v>0</v>
      </c>
      <c r="D1732" s="14">
        <v>8.6012000000000005E-2</v>
      </c>
      <c r="E1732" s="14">
        <v>0.2094184</v>
      </c>
      <c r="F1732" s="14">
        <v>3.6357199999999999E-2</v>
      </c>
      <c r="G1732" s="14">
        <v>0.2948016</v>
      </c>
      <c r="H1732" s="14">
        <v>0.19443750000000001</v>
      </c>
      <c r="R1732" s="11">
        <f t="shared" si="54"/>
        <v>2.637543731520129E-2</v>
      </c>
      <c r="Z1732" s="11">
        <f t="shared" si="55"/>
        <v>3.3798275748530469E-2</v>
      </c>
    </row>
    <row r="1733" spans="1:26" x14ac:dyDescent="0.2">
      <c r="A1733" s="45">
        <v>317</v>
      </c>
      <c r="B1733" s="45">
        <v>1998</v>
      </c>
      <c r="C1733" s="17">
        <v>0</v>
      </c>
      <c r="D1733" s="14">
        <v>0.11005910000000001</v>
      </c>
      <c r="E1733" s="14">
        <v>0.20483319999999999</v>
      </c>
      <c r="F1733" s="14">
        <v>4.2049099999999999E-2</v>
      </c>
      <c r="G1733" s="14">
        <v>0.2451547</v>
      </c>
      <c r="H1733" s="14">
        <v>0.16884469999999999</v>
      </c>
      <c r="R1733" s="11">
        <f t="shared" si="54"/>
        <v>2.7429100733352675E-2</v>
      </c>
      <c r="Z1733" s="11">
        <f t="shared" si="55"/>
        <v>3.5328182601580597E-2</v>
      </c>
    </row>
    <row r="1734" spans="1:26" x14ac:dyDescent="0.2">
      <c r="A1734" s="45">
        <v>317</v>
      </c>
      <c r="B1734" s="45">
        <v>1999</v>
      </c>
      <c r="C1734" s="17">
        <v>0</v>
      </c>
      <c r="D1734" s="14">
        <v>8.0076499999999995E-2</v>
      </c>
      <c r="E1734" s="14">
        <v>0.21182790000000001</v>
      </c>
      <c r="F1734" s="14">
        <v>6.1124600000000001E-2</v>
      </c>
      <c r="G1734" s="14">
        <v>0.16542660000000001</v>
      </c>
      <c r="H1734" s="14">
        <v>0.14758589999999999</v>
      </c>
      <c r="R1734" s="11">
        <f t="shared" si="54"/>
        <v>2.649258096367655E-2</v>
      </c>
      <c r="Z1734" s="11">
        <f t="shared" si="55"/>
        <v>3.4717478417267786E-2</v>
      </c>
    </row>
    <row r="1735" spans="1:26" x14ac:dyDescent="0.2">
      <c r="A1735" s="45">
        <v>317</v>
      </c>
      <c r="B1735" s="45">
        <v>2000</v>
      </c>
      <c r="C1735" s="17">
        <v>0</v>
      </c>
      <c r="D1735" s="14">
        <v>7.7021400000000004E-2</v>
      </c>
      <c r="E1735" s="14">
        <v>0.2112773</v>
      </c>
      <c r="F1735" s="14">
        <v>3.5305000000000003E-2</v>
      </c>
      <c r="G1735" s="14">
        <v>8.90045E-2</v>
      </c>
      <c r="H1735" s="14">
        <v>0.16790769999999999</v>
      </c>
      <c r="R1735" s="11">
        <f t="shared" si="54"/>
        <v>3.6441611223580944E-2</v>
      </c>
      <c r="Z1735" s="11">
        <f t="shared" si="55"/>
        <v>4.6727903001994801E-2</v>
      </c>
    </row>
    <row r="1736" spans="1:26" x14ac:dyDescent="0.2">
      <c r="A1736" s="45">
        <v>317</v>
      </c>
      <c r="B1736" s="45">
        <v>2001</v>
      </c>
      <c r="C1736" s="17">
        <v>0</v>
      </c>
      <c r="D1736" s="14">
        <v>8.0035300000000004E-2</v>
      </c>
      <c r="E1736" s="14">
        <v>0.17783950000000001</v>
      </c>
      <c r="F1736" s="14">
        <v>4.68031E-2</v>
      </c>
      <c r="G1736" s="14">
        <v>0.12800610000000001</v>
      </c>
      <c r="H1736" s="14">
        <v>0.17235</v>
      </c>
      <c r="R1736" s="11">
        <f t="shared" si="54"/>
        <v>3.2912729011455082E-2</v>
      </c>
      <c r="Z1736" s="11">
        <f t="shared" si="55"/>
        <v>4.2547852102873228E-2</v>
      </c>
    </row>
    <row r="1737" spans="1:26" x14ac:dyDescent="0.2">
      <c r="A1737" s="45">
        <v>317</v>
      </c>
      <c r="B1737" s="45">
        <v>2002</v>
      </c>
      <c r="C1737" s="17">
        <v>0</v>
      </c>
      <c r="D1737" s="14">
        <v>5.6233400000000003E-2</v>
      </c>
      <c r="E1737" s="14">
        <v>0.1692786</v>
      </c>
      <c r="F1737" s="14">
        <v>3.8856500000000002E-2</v>
      </c>
      <c r="G1737" s="14">
        <v>0.1621503</v>
      </c>
      <c r="H1737" s="14">
        <v>0.17980860000000001</v>
      </c>
      <c r="R1737" s="11">
        <f t="shared" si="54"/>
        <v>3.3607259810822715E-2</v>
      </c>
      <c r="Z1737" s="11">
        <f t="shared" si="55"/>
        <v>4.3123573093525651E-2</v>
      </c>
    </row>
    <row r="1738" spans="1:26" x14ac:dyDescent="0.2">
      <c r="A1738" s="45">
        <v>317</v>
      </c>
      <c r="B1738" s="45">
        <v>2003</v>
      </c>
      <c r="C1738" s="17">
        <v>0</v>
      </c>
      <c r="D1738" s="14">
        <v>7.5058200000000005E-2</v>
      </c>
      <c r="E1738" s="14">
        <v>0.2062387</v>
      </c>
      <c r="F1738" s="14">
        <v>4.4931699999999998E-2</v>
      </c>
      <c r="G1738" s="14">
        <v>0.38458609999999999</v>
      </c>
      <c r="H1738" s="14">
        <v>0.178535</v>
      </c>
      <c r="R1738" s="11">
        <f t="shared" si="54"/>
        <v>2.1549085478193463E-2</v>
      </c>
      <c r="Z1738" s="11">
        <f t="shared" si="55"/>
        <v>2.7785419170279189E-2</v>
      </c>
    </row>
    <row r="1739" spans="1:26" x14ac:dyDescent="0.2">
      <c r="A1739" s="45">
        <v>317</v>
      </c>
      <c r="B1739" s="45">
        <v>2004</v>
      </c>
      <c r="C1739" s="17">
        <v>0</v>
      </c>
      <c r="D1739" s="14">
        <v>7.3843300000000001E-2</v>
      </c>
      <c r="E1739" s="14">
        <v>0.25409300000000001</v>
      </c>
      <c r="F1739" s="14">
        <v>3.2620400000000001E-2</v>
      </c>
      <c r="G1739" s="14">
        <v>0.39104129999999998</v>
      </c>
      <c r="H1739" s="14">
        <v>0.19340470000000001</v>
      </c>
      <c r="R1739" s="11">
        <f t="shared" si="54"/>
        <v>2.19450010885382E-2</v>
      </c>
      <c r="Z1739" s="11">
        <f t="shared" si="55"/>
        <v>2.8057303430375109E-2</v>
      </c>
    </row>
    <row r="1740" spans="1:26" x14ac:dyDescent="0.2">
      <c r="A1740" s="45">
        <v>318</v>
      </c>
      <c r="B1740" s="45">
        <v>1999</v>
      </c>
      <c r="C1740" s="17">
        <v>0</v>
      </c>
      <c r="D1740" s="14">
        <v>-6.7319999999999999E-4</v>
      </c>
      <c r="E1740" s="14">
        <v>0.16428019999999999</v>
      </c>
      <c r="F1740" s="14">
        <v>5.2905099999999997E-2</v>
      </c>
      <c r="G1740" s="14">
        <v>5.0348119999999996</v>
      </c>
      <c r="H1740" s="14">
        <v>0.10620350000000001</v>
      </c>
      <c r="R1740" s="11">
        <f t="shared" si="54"/>
        <v>1.3283408697156189E-5</v>
      </c>
      <c r="Z1740" s="11">
        <f t="shared" si="55"/>
        <v>1.5639175781950902E-5</v>
      </c>
    </row>
    <row r="1741" spans="1:26" x14ac:dyDescent="0.2">
      <c r="A1741" s="45">
        <v>318</v>
      </c>
      <c r="B1741" s="45">
        <v>2000</v>
      </c>
      <c r="C1741" s="17">
        <v>0</v>
      </c>
      <c r="D1741" s="14">
        <v>-7.5415999999999999E-3</v>
      </c>
      <c r="E1741" s="14">
        <v>0.19552240000000001</v>
      </c>
      <c r="F1741" s="14">
        <v>4.5110299999999999E-2</v>
      </c>
      <c r="G1741" s="14">
        <v>2.8060960000000001</v>
      </c>
      <c r="H1741" s="14">
        <v>9.2437199999999997E-2</v>
      </c>
      <c r="R1741" s="11">
        <f t="shared" si="54"/>
        <v>4.7090258024518836E-4</v>
      </c>
      <c r="Z1741" s="11">
        <f t="shared" si="55"/>
        <v>5.7915449243624837E-4</v>
      </c>
    </row>
    <row r="1742" spans="1:26" x14ac:dyDescent="0.2">
      <c r="A1742" s="45">
        <v>318</v>
      </c>
      <c r="B1742" s="45">
        <v>2001</v>
      </c>
      <c r="C1742" s="17">
        <v>0</v>
      </c>
      <c r="D1742" s="14">
        <v>1.39179E-2</v>
      </c>
      <c r="E1742" s="14">
        <v>0.23270859999999999</v>
      </c>
      <c r="F1742" s="14">
        <v>7.62906E-2</v>
      </c>
      <c r="G1742" s="14">
        <v>3.2144149999999998</v>
      </c>
      <c r="H1742" s="14">
        <v>0.1149341</v>
      </c>
      <c r="R1742" s="11">
        <f t="shared" si="54"/>
        <v>1.8141068734458447E-4</v>
      </c>
      <c r="Z1742" s="11">
        <f t="shared" si="55"/>
        <v>2.2714427345183814E-4</v>
      </c>
    </row>
    <row r="1743" spans="1:26" x14ac:dyDescent="0.2">
      <c r="A1743" s="45">
        <v>318</v>
      </c>
      <c r="B1743" s="45">
        <v>2002</v>
      </c>
      <c r="C1743" s="17">
        <v>0</v>
      </c>
      <c r="D1743" s="14">
        <v>4.0952799999999998E-2</v>
      </c>
      <c r="E1743" s="14">
        <v>-2.3705299999999999E-2</v>
      </c>
      <c r="F1743" s="14">
        <v>8.1107299999999993E-2</v>
      </c>
      <c r="G1743" s="14">
        <v>3.8530099999999998</v>
      </c>
      <c r="H1743" s="14">
        <v>0.18387819999999999</v>
      </c>
      <c r="R1743" s="11">
        <f t="shared" si="54"/>
        <v>9.1605747083306447E-5</v>
      </c>
      <c r="Z1743" s="11">
        <f t="shared" si="55"/>
        <v>1.1255447848510704E-4</v>
      </c>
    </row>
    <row r="1744" spans="1:26" x14ac:dyDescent="0.2">
      <c r="A1744" s="45">
        <v>318</v>
      </c>
      <c r="B1744" s="45">
        <v>2003</v>
      </c>
      <c r="C1744" s="17">
        <v>0</v>
      </c>
      <c r="D1744" s="14">
        <v>-4.0450300000000002E-2</v>
      </c>
      <c r="E1744" s="14">
        <v>6.1443999999999999E-2</v>
      </c>
      <c r="F1744" s="14">
        <v>8.3220100000000005E-2</v>
      </c>
      <c r="G1744" s="14">
        <v>4.0430549999999998</v>
      </c>
      <c r="H1744" s="14">
        <v>0.15276090000000001</v>
      </c>
      <c r="R1744" s="11">
        <f t="shared" si="54"/>
        <v>5.8789482191054272E-5</v>
      </c>
      <c r="Z1744" s="11">
        <f t="shared" si="55"/>
        <v>7.2267838951961332E-5</v>
      </c>
    </row>
    <row r="1745" spans="1:26" x14ac:dyDescent="0.2">
      <c r="A1745" s="45">
        <v>318</v>
      </c>
      <c r="B1745" s="45">
        <v>2004</v>
      </c>
      <c r="C1745" s="17">
        <v>0</v>
      </c>
      <c r="D1745" s="14">
        <v>0.1313201</v>
      </c>
      <c r="E1745" s="14">
        <v>0.13986899999999999</v>
      </c>
      <c r="F1745" s="14">
        <v>8.3464499999999997E-2</v>
      </c>
      <c r="G1745" s="14">
        <v>3.550494</v>
      </c>
      <c r="H1745" s="14">
        <v>0.17160449999999999</v>
      </c>
      <c r="R1745" s="11">
        <f t="shared" si="54"/>
        <v>1.1476227381869947E-4</v>
      </c>
      <c r="Z1745" s="11">
        <f t="shared" si="55"/>
        <v>1.4302215545533033E-4</v>
      </c>
    </row>
    <row r="1746" spans="1:26" x14ac:dyDescent="0.2">
      <c r="A1746" s="45">
        <v>319</v>
      </c>
      <c r="B1746" s="45">
        <v>1995</v>
      </c>
      <c r="C1746" s="17">
        <v>0</v>
      </c>
      <c r="D1746" s="14">
        <v>0.31506450000000003</v>
      </c>
      <c r="E1746" s="14">
        <v>-0.18606880000000001</v>
      </c>
      <c r="F1746" s="14">
        <v>5.2419E-2</v>
      </c>
      <c r="G1746" s="14">
        <v>0.5409003</v>
      </c>
      <c r="H1746" s="14">
        <v>0.30359019999999998</v>
      </c>
      <c r="R1746" s="11">
        <f t="shared" si="54"/>
        <v>2.7808615528025344E-2</v>
      </c>
      <c r="Z1746" s="11">
        <f t="shared" si="55"/>
        <v>3.5421014024813756E-2</v>
      </c>
    </row>
    <row r="1747" spans="1:26" x14ac:dyDescent="0.2">
      <c r="A1747" s="45">
        <v>319</v>
      </c>
      <c r="B1747" s="45">
        <v>1996</v>
      </c>
      <c r="C1747" s="17">
        <v>0</v>
      </c>
      <c r="D1747" s="14">
        <v>0.35532249999999999</v>
      </c>
      <c r="E1747" s="14">
        <v>-0.2206468</v>
      </c>
      <c r="F1747" s="14">
        <v>3.8967700000000001E-2</v>
      </c>
      <c r="G1747" s="14">
        <v>0.43511309999999997</v>
      </c>
      <c r="H1747" s="14">
        <v>0.31496239999999998</v>
      </c>
      <c r="R1747" s="11">
        <f t="shared" si="54"/>
        <v>3.8134690338383237E-2</v>
      </c>
      <c r="Z1747" s="11">
        <f t="shared" si="55"/>
        <v>4.7979562593872128E-2</v>
      </c>
    </row>
    <row r="1748" spans="1:26" x14ac:dyDescent="0.2">
      <c r="A1748" s="45">
        <v>319</v>
      </c>
      <c r="B1748" s="45">
        <v>1997</v>
      </c>
      <c r="C1748" s="17">
        <v>0</v>
      </c>
      <c r="D1748" s="14">
        <v>0.14126050000000001</v>
      </c>
      <c r="E1748" s="14">
        <v>-0.1246462</v>
      </c>
      <c r="F1748" s="14">
        <v>3.4016600000000001E-2</v>
      </c>
      <c r="G1748" s="14">
        <v>0.2196746</v>
      </c>
      <c r="H1748" s="14">
        <v>0.2114664</v>
      </c>
      <c r="R1748" s="11">
        <f t="shared" si="54"/>
        <v>4.8135111554992546E-2</v>
      </c>
      <c r="Z1748" s="11">
        <f t="shared" si="55"/>
        <v>6.062564110234555E-2</v>
      </c>
    </row>
    <row r="1749" spans="1:26" x14ac:dyDescent="0.2">
      <c r="A1749" s="45">
        <v>319</v>
      </c>
      <c r="B1749" s="45">
        <v>1998</v>
      </c>
      <c r="C1749" s="17">
        <v>0</v>
      </c>
      <c r="D1749" s="14">
        <v>0.15848570000000001</v>
      </c>
      <c r="E1749" s="14">
        <v>-9.8088999999999996E-2</v>
      </c>
      <c r="F1749" s="14">
        <v>3.8105300000000002E-2</v>
      </c>
      <c r="G1749" s="14">
        <v>0.38285649999999999</v>
      </c>
      <c r="H1749" s="14">
        <v>0.315137</v>
      </c>
      <c r="R1749" s="11">
        <f t="shared" si="54"/>
        <v>3.5033879187499388E-2</v>
      </c>
      <c r="Z1749" s="11">
        <f t="shared" si="55"/>
        <v>4.4311234608593979E-2</v>
      </c>
    </row>
    <row r="1750" spans="1:26" x14ac:dyDescent="0.2">
      <c r="A1750" s="45">
        <v>319</v>
      </c>
      <c r="B1750" s="45">
        <v>1999</v>
      </c>
      <c r="C1750" s="17">
        <v>0</v>
      </c>
      <c r="D1750" s="14">
        <v>0.1513987</v>
      </c>
      <c r="E1750" s="14">
        <v>-4.3025800000000003E-2</v>
      </c>
      <c r="F1750" s="14">
        <v>4.2889400000000001E-2</v>
      </c>
      <c r="G1750" s="14">
        <v>0.24335760000000001</v>
      </c>
      <c r="H1750" s="14">
        <v>0.3036799</v>
      </c>
      <c r="R1750" s="11">
        <f t="shared" si="54"/>
        <v>3.8723921527788863E-2</v>
      </c>
      <c r="Z1750" s="11">
        <f t="shared" si="55"/>
        <v>4.9343820895408973E-2</v>
      </c>
    </row>
    <row r="1751" spans="1:26" x14ac:dyDescent="0.2">
      <c r="A1751" s="45">
        <v>319</v>
      </c>
      <c r="B1751" s="45">
        <v>2000</v>
      </c>
      <c r="C1751" s="17">
        <v>0</v>
      </c>
      <c r="D1751" s="14">
        <v>0.1353297</v>
      </c>
      <c r="E1751" s="14">
        <v>-3.59219E-2</v>
      </c>
      <c r="F1751" s="14">
        <v>3.8300099999999997E-2</v>
      </c>
      <c r="G1751" s="14">
        <v>0.13437350000000001</v>
      </c>
      <c r="H1751" s="14">
        <v>0.32758019999999999</v>
      </c>
      <c r="R1751" s="11">
        <f t="shared" ref="R1751:R1814" si="56">1/(1+EXP(-(K$2+$M$2*E1751+$N$2*F1751+$O$2*G1751)))</f>
        <v>4.6898003620710185E-2</v>
      </c>
      <c r="Z1751" s="11">
        <f t="shared" si="55"/>
        <v>5.9557908130753338E-2</v>
      </c>
    </row>
    <row r="1752" spans="1:26" x14ac:dyDescent="0.2">
      <c r="A1752" s="45">
        <v>320</v>
      </c>
      <c r="B1752" s="45">
        <v>1999</v>
      </c>
      <c r="C1752" s="17">
        <v>0</v>
      </c>
      <c r="D1752" s="14">
        <v>4.0452000000000002E-2</v>
      </c>
      <c r="E1752" s="14">
        <v>9.2424900000000004E-2</v>
      </c>
      <c r="F1752" s="14">
        <v>2.8225099999999999E-2</v>
      </c>
      <c r="G1752" s="14">
        <v>1.354087</v>
      </c>
      <c r="H1752" s="14">
        <v>0.369558</v>
      </c>
      <c r="R1752" s="11">
        <f t="shared" si="56"/>
        <v>6.2961332867638078E-3</v>
      </c>
      <c r="Z1752" s="11">
        <f t="shared" si="55"/>
        <v>7.8459832262900223E-3</v>
      </c>
    </row>
    <row r="1753" spans="1:26" x14ac:dyDescent="0.2">
      <c r="A1753" s="45">
        <v>320</v>
      </c>
      <c r="B1753" s="45">
        <v>2000</v>
      </c>
      <c r="C1753" s="17">
        <v>1</v>
      </c>
      <c r="D1753" s="14">
        <v>7.1074300000000007E-2</v>
      </c>
      <c r="E1753" s="14">
        <v>6.9261100000000006E-2</v>
      </c>
      <c r="F1753" s="14">
        <v>4.2002400000000002E-2</v>
      </c>
      <c r="G1753" s="14">
        <v>1.187908</v>
      </c>
      <c r="H1753" s="14">
        <v>0.6643384</v>
      </c>
      <c r="R1753" s="11">
        <f t="shared" si="56"/>
        <v>7.5907402425511514E-3</v>
      </c>
      <c r="Z1753" s="11">
        <f t="shared" si="55"/>
        <v>9.5897844419428058E-3</v>
      </c>
    </row>
    <row r="1754" spans="1:26" x14ac:dyDescent="0.2">
      <c r="A1754" s="45">
        <v>321</v>
      </c>
      <c r="B1754" s="45">
        <v>2001</v>
      </c>
      <c r="C1754" s="17">
        <v>0</v>
      </c>
      <c r="D1754" s="14">
        <v>-3.52897E-2</v>
      </c>
      <c r="E1754" s="14">
        <v>8.9114799999999994E-2</v>
      </c>
      <c r="F1754" s="14">
        <v>4.1073400000000003E-2</v>
      </c>
      <c r="G1754" s="14">
        <v>0.73441330000000005</v>
      </c>
      <c r="H1754" s="14">
        <v>7.44953E-2</v>
      </c>
      <c r="R1754" s="11">
        <f t="shared" si="56"/>
        <v>1.5187829709095636E-2</v>
      </c>
      <c r="Z1754" s="11">
        <f t="shared" si="55"/>
        <v>1.9335923589135478E-2</v>
      </c>
    </row>
    <row r="1755" spans="1:26" x14ac:dyDescent="0.2">
      <c r="A1755" s="45">
        <v>321</v>
      </c>
      <c r="B1755" s="45">
        <v>2002</v>
      </c>
      <c r="C1755" s="17">
        <v>0</v>
      </c>
      <c r="D1755" s="14">
        <v>1.66778E-2</v>
      </c>
      <c r="E1755" s="14">
        <v>0.12188209999999999</v>
      </c>
      <c r="F1755" s="14">
        <v>4.5930499999999999E-2</v>
      </c>
      <c r="G1755" s="14">
        <v>0.8280594</v>
      </c>
      <c r="H1755" s="14">
        <v>7.3277900000000007E-2</v>
      </c>
      <c r="R1755" s="11">
        <f t="shared" si="56"/>
        <v>1.2036679631630806E-2</v>
      </c>
      <c r="Z1755" s="11">
        <f t="shared" si="55"/>
        <v>1.5383549725639897E-2</v>
      </c>
    </row>
    <row r="1756" spans="1:26" x14ac:dyDescent="0.2">
      <c r="A1756" s="45">
        <v>321</v>
      </c>
      <c r="B1756" s="45">
        <v>2003</v>
      </c>
      <c r="C1756" s="17">
        <v>0</v>
      </c>
      <c r="D1756" s="14">
        <v>-1.0208000000000001E-3</v>
      </c>
      <c r="E1756" s="14">
        <v>0.13933010000000001</v>
      </c>
      <c r="F1756" s="14">
        <v>4.2584400000000001E-2</v>
      </c>
      <c r="G1756" s="14">
        <v>0.9804446</v>
      </c>
      <c r="H1756" s="14">
        <v>9.7433099999999995E-2</v>
      </c>
      <c r="R1756" s="11">
        <f t="shared" si="56"/>
        <v>9.4791973809714419E-3</v>
      </c>
      <c r="Z1756" s="11">
        <f t="shared" si="55"/>
        <v>1.2057969981462083E-2</v>
      </c>
    </row>
    <row r="1757" spans="1:26" x14ac:dyDescent="0.2">
      <c r="A1757" s="45">
        <v>321</v>
      </c>
      <c r="B1757" s="45">
        <v>2004</v>
      </c>
      <c r="C1757" s="17">
        <v>0</v>
      </c>
      <c r="D1757" s="14">
        <v>-5.9359E-3</v>
      </c>
      <c r="E1757" s="14">
        <v>0.15476400000000001</v>
      </c>
      <c r="F1757" s="14">
        <v>3.6318599999999999E-2</v>
      </c>
      <c r="G1757" s="14">
        <v>0.98790089999999997</v>
      </c>
      <c r="H1757" s="14">
        <v>0.1776075</v>
      </c>
      <c r="R1757" s="11">
        <f t="shared" si="56"/>
        <v>9.628675804521182E-3</v>
      </c>
      <c r="Z1757" s="11">
        <f t="shared" si="55"/>
        <v>1.2190023952296779E-2</v>
      </c>
    </row>
    <row r="1758" spans="1:26" x14ac:dyDescent="0.2">
      <c r="A1758" s="45">
        <v>322</v>
      </c>
      <c r="B1758" s="45">
        <v>2000</v>
      </c>
      <c r="C1758" s="17">
        <v>0</v>
      </c>
      <c r="D1758" s="14">
        <v>2.2778799999999998E-2</v>
      </c>
      <c r="E1758" s="14">
        <v>0.15805830000000001</v>
      </c>
      <c r="F1758" s="14">
        <v>5.45538E-2</v>
      </c>
      <c r="G1758" s="14">
        <v>1.6183700000000001</v>
      </c>
      <c r="H1758" s="14">
        <v>0.22145229999999999</v>
      </c>
      <c r="R1758" s="11">
        <f t="shared" si="56"/>
        <v>3.0526114076351381E-3</v>
      </c>
      <c r="Z1758" s="11">
        <f t="shared" si="55"/>
        <v>3.8760224073349325E-3</v>
      </c>
    </row>
    <row r="1759" spans="1:26" x14ac:dyDescent="0.2">
      <c r="A1759" s="45">
        <v>322</v>
      </c>
      <c r="B1759" s="45">
        <v>2001</v>
      </c>
      <c r="C1759" s="17">
        <v>0</v>
      </c>
      <c r="D1759" s="14">
        <v>3.5855499999999998E-2</v>
      </c>
      <c r="E1759" s="14">
        <v>7.9571299999999998E-2</v>
      </c>
      <c r="F1759" s="14">
        <v>4.6699499999999998E-2</v>
      </c>
      <c r="G1759" s="14">
        <v>1.1998059999999999</v>
      </c>
      <c r="H1759" s="14">
        <v>0.1809799</v>
      </c>
      <c r="R1759" s="11">
        <f t="shared" si="56"/>
        <v>7.0704844757555002E-3</v>
      </c>
      <c r="Z1759" s="11">
        <f t="shared" si="55"/>
        <v>8.9687173952575205E-3</v>
      </c>
    </row>
    <row r="1760" spans="1:26" x14ac:dyDescent="0.2">
      <c r="A1760" s="45">
        <v>322</v>
      </c>
      <c r="B1760" s="45">
        <v>2002</v>
      </c>
      <c r="C1760" s="17">
        <v>0</v>
      </c>
      <c r="D1760" s="14">
        <v>-4.6834800000000003E-2</v>
      </c>
      <c r="E1760" s="14">
        <v>7.06764E-2</v>
      </c>
      <c r="F1760" s="14">
        <v>4.4003500000000001E-2</v>
      </c>
      <c r="G1760" s="14">
        <v>0.59154459999999998</v>
      </c>
      <c r="H1760" s="14">
        <v>0.16728219999999999</v>
      </c>
      <c r="R1760" s="11">
        <f t="shared" si="56"/>
        <v>1.9060175707303482E-2</v>
      </c>
      <c r="Z1760" s="11">
        <f t="shared" si="55"/>
        <v>2.4356397312167665E-2</v>
      </c>
    </row>
    <row r="1761" spans="1:26" x14ac:dyDescent="0.2">
      <c r="A1761" s="45">
        <v>322</v>
      </c>
      <c r="B1761" s="45">
        <v>2003</v>
      </c>
      <c r="C1761" s="17">
        <v>0</v>
      </c>
      <c r="D1761" s="14">
        <v>0.1001092</v>
      </c>
      <c r="E1761" s="14">
        <v>3.7682100000000003E-2</v>
      </c>
      <c r="F1761" s="14">
        <v>4.3161600000000001E-2</v>
      </c>
      <c r="G1761" s="14">
        <v>0.68927720000000003</v>
      </c>
      <c r="H1761" s="14">
        <v>0.15331539999999999</v>
      </c>
      <c r="R1761" s="11">
        <f t="shared" si="56"/>
        <v>1.7260094983031802E-2</v>
      </c>
      <c r="Z1761" s="11">
        <f t="shared" si="55"/>
        <v>2.1981801943899419E-2</v>
      </c>
    </row>
    <row r="1762" spans="1:26" x14ac:dyDescent="0.2">
      <c r="A1762" s="45">
        <v>323</v>
      </c>
      <c r="B1762" s="45">
        <v>1995</v>
      </c>
      <c r="C1762" s="17">
        <v>0</v>
      </c>
      <c r="D1762" s="14">
        <v>-1.1818E-3</v>
      </c>
      <c r="E1762" s="14">
        <v>9.7070999999999998E-3</v>
      </c>
      <c r="F1762" s="14">
        <v>4.0719900000000003E-2</v>
      </c>
      <c r="G1762" s="14">
        <v>1.0281910000000001</v>
      </c>
      <c r="H1762" s="14">
        <v>0.53088080000000004</v>
      </c>
      <c r="R1762" s="11">
        <f t="shared" si="56"/>
        <v>1.075223861446761E-2</v>
      </c>
      <c r="Z1762" s="11">
        <f t="shared" si="55"/>
        <v>1.3578172314966197E-2</v>
      </c>
    </row>
    <row r="1763" spans="1:26" x14ac:dyDescent="0.2">
      <c r="A1763" s="45">
        <v>323</v>
      </c>
      <c r="B1763" s="45">
        <v>1996</v>
      </c>
      <c r="C1763" s="17">
        <v>0</v>
      </c>
      <c r="D1763" s="14">
        <v>1.8128600000000002E-2</v>
      </c>
      <c r="E1763" s="14">
        <v>5.5584799999999997E-2</v>
      </c>
      <c r="F1763" s="14">
        <v>6.8081199999999994E-2</v>
      </c>
      <c r="G1763" s="14">
        <v>2.1481309999999998</v>
      </c>
      <c r="H1763" s="14">
        <v>0.53968740000000004</v>
      </c>
      <c r="R1763" s="11">
        <f t="shared" si="56"/>
        <v>1.3692355286261742E-3</v>
      </c>
      <c r="Z1763" s="11">
        <f t="shared" si="55"/>
        <v>1.7322778883906789E-3</v>
      </c>
    </row>
    <row r="1764" spans="1:26" x14ac:dyDescent="0.2">
      <c r="A1764" s="45">
        <v>323</v>
      </c>
      <c r="B1764" s="45">
        <v>1997</v>
      </c>
      <c r="C1764" s="17">
        <v>0</v>
      </c>
      <c r="D1764" s="14">
        <v>1.8714700000000001E-2</v>
      </c>
      <c r="E1764" s="14">
        <v>0.1517182</v>
      </c>
      <c r="F1764" s="14">
        <v>7.2193999999999994E-2</v>
      </c>
      <c r="G1764" s="14">
        <v>2.4523380000000001</v>
      </c>
      <c r="H1764" s="14">
        <v>0.55737590000000004</v>
      </c>
      <c r="R1764" s="11">
        <f t="shared" si="56"/>
        <v>7.0995871713965257E-4</v>
      </c>
      <c r="Z1764" s="11">
        <f t="shared" si="55"/>
        <v>8.98326769822656E-4</v>
      </c>
    </row>
    <row r="1765" spans="1:26" x14ac:dyDescent="0.2">
      <c r="A1765" s="45">
        <v>323</v>
      </c>
      <c r="B1765" s="45">
        <v>1998</v>
      </c>
      <c r="C1765" s="17">
        <v>0</v>
      </c>
      <c r="D1765" s="14">
        <v>4.0524699999999997E-2</v>
      </c>
      <c r="E1765" s="14">
        <v>0.1812154</v>
      </c>
      <c r="F1765" s="14">
        <v>6.1497499999999997E-2</v>
      </c>
      <c r="G1765" s="14">
        <v>1.4595260000000001</v>
      </c>
      <c r="H1765" s="14">
        <v>0.52860529999999994</v>
      </c>
      <c r="R1765" s="11">
        <f t="shared" si="56"/>
        <v>3.594384446039297E-3</v>
      </c>
      <c r="Z1765" s="11">
        <f t="shared" si="55"/>
        <v>4.6088385280659023E-3</v>
      </c>
    </row>
    <row r="1766" spans="1:26" x14ac:dyDescent="0.2">
      <c r="A1766" s="45">
        <v>323</v>
      </c>
      <c r="B1766" s="45">
        <v>1999</v>
      </c>
      <c r="C1766" s="17">
        <v>0</v>
      </c>
      <c r="D1766" s="14">
        <v>2.5720400000000001E-2</v>
      </c>
      <c r="E1766" s="14">
        <v>0.2312555</v>
      </c>
      <c r="F1766" s="14">
        <v>4.5019000000000003E-2</v>
      </c>
      <c r="G1766" s="14">
        <v>0.9246683</v>
      </c>
      <c r="H1766" s="14">
        <v>0.54647199999999996</v>
      </c>
      <c r="R1766" s="11">
        <f t="shared" si="56"/>
        <v>8.8945485496316687E-3</v>
      </c>
      <c r="Z1766" s="11">
        <f t="shared" si="55"/>
        <v>1.1387630885546077E-2</v>
      </c>
    </row>
    <row r="1767" spans="1:26" x14ac:dyDescent="0.2">
      <c r="A1767" s="45">
        <v>323</v>
      </c>
      <c r="B1767" s="45">
        <v>2000</v>
      </c>
      <c r="C1767" s="17">
        <v>0</v>
      </c>
      <c r="D1767" s="14">
        <v>2.09179E-2</v>
      </c>
      <c r="E1767" s="14">
        <v>0.272455</v>
      </c>
      <c r="F1767" s="14">
        <v>6.9168499999999994E-2</v>
      </c>
      <c r="G1767" s="14">
        <v>0.62282680000000001</v>
      </c>
      <c r="H1767" s="14">
        <v>0.51581809999999995</v>
      </c>
      <c r="R1767" s="11">
        <f t="shared" si="56"/>
        <v>1.1146201613278915E-2</v>
      </c>
      <c r="Z1767" s="11">
        <f t="shared" si="55"/>
        <v>1.4658246288573352E-2</v>
      </c>
    </row>
    <row r="1768" spans="1:26" x14ac:dyDescent="0.2">
      <c r="A1768" s="45">
        <v>323</v>
      </c>
      <c r="B1768" s="45">
        <v>2001</v>
      </c>
      <c r="C1768" s="17">
        <v>0</v>
      </c>
      <c r="D1768" s="14">
        <v>3.9439999999999999E-4</v>
      </c>
      <c r="E1768" s="14">
        <v>0.28962460000000001</v>
      </c>
      <c r="F1768" s="14">
        <v>6.4422499999999994E-2</v>
      </c>
      <c r="G1768" s="14">
        <v>0.94309180000000004</v>
      </c>
      <c r="H1768" s="14">
        <v>0.54840420000000001</v>
      </c>
      <c r="R1768" s="11">
        <f t="shared" si="56"/>
        <v>6.8080272218950348E-3</v>
      </c>
      <c r="Z1768" s="11">
        <f t="shared" si="55"/>
        <v>8.8740196961685468E-3</v>
      </c>
    </row>
    <row r="1769" spans="1:26" x14ac:dyDescent="0.2">
      <c r="A1769" s="45">
        <v>323</v>
      </c>
      <c r="B1769" s="45">
        <v>2002</v>
      </c>
      <c r="C1769" s="17">
        <v>0</v>
      </c>
      <c r="D1769" s="14">
        <v>-2.7410799999999999E-2</v>
      </c>
      <c r="E1769" s="14">
        <v>0.28048640000000002</v>
      </c>
      <c r="F1769" s="14">
        <v>2.9704399999999999E-2</v>
      </c>
      <c r="G1769" s="14">
        <v>0.46731889999999998</v>
      </c>
      <c r="H1769" s="14">
        <v>0.52141570000000004</v>
      </c>
      <c r="R1769" s="11">
        <f t="shared" si="56"/>
        <v>1.9196703311486155E-2</v>
      </c>
      <c r="Z1769" s="11">
        <f t="shared" si="55"/>
        <v>2.4487026363358654E-2</v>
      </c>
    </row>
    <row r="1770" spans="1:26" x14ac:dyDescent="0.2">
      <c r="A1770" s="45">
        <v>324</v>
      </c>
      <c r="B1770" s="45">
        <v>1995</v>
      </c>
      <c r="C1770" s="17">
        <v>0</v>
      </c>
      <c r="D1770" s="14">
        <v>0.401586</v>
      </c>
      <c r="E1770" s="14">
        <v>0.2781691</v>
      </c>
      <c r="F1770" s="14">
        <v>4.9048000000000001E-2</v>
      </c>
      <c r="G1770" s="14">
        <v>1.394647</v>
      </c>
      <c r="H1770" s="14">
        <v>0.53671919999999995</v>
      </c>
      <c r="R1770" s="11">
        <f t="shared" si="56"/>
        <v>3.8234198518976659E-3</v>
      </c>
      <c r="Z1770" s="11">
        <f t="shared" si="55"/>
        <v>4.8756687775346023E-3</v>
      </c>
    </row>
    <row r="1771" spans="1:26" x14ac:dyDescent="0.2">
      <c r="A1771" s="45">
        <v>324</v>
      </c>
      <c r="B1771" s="45">
        <v>1996</v>
      </c>
      <c r="C1771" s="17">
        <v>0</v>
      </c>
      <c r="D1771" s="14">
        <v>0.46343279999999998</v>
      </c>
      <c r="E1771" s="14">
        <v>0.29116700000000001</v>
      </c>
      <c r="F1771" s="14">
        <v>5.6059400000000002E-2</v>
      </c>
      <c r="G1771" s="14">
        <v>0.97193969999999996</v>
      </c>
      <c r="H1771" s="14">
        <v>0.55580130000000005</v>
      </c>
      <c r="R1771" s="11">
        <f t="shared" si="56"/>
        <v>6.9355226754795806E-3</v>
      </c>
      <c r="Z1771" s="11">
        <f t="shared" si="55"/>
        <v>8.9734687928591326E-3</v>
      </c>
    </row>
    <row r="1772" spans="1:26" x14ac:dyDescent="0.2">
      <c r="A1772" s="45">
        <v>324</v>
      </c>
      <c r="B1772" s="45">
        <v>1997</v>
      </c>
      <c r="C1772" s="17">
        <v>0</v>
      </c>
      <c r="D1772" s="14">
        <v>0.42453800000000003</v>
      </c>
      <c r="E1772" s="14">
        <v>0.29761019999999999</v>
      </c>
      <c r="F1772" s="14">
        <v>6.0536399999999997E-2</v>
      </c>
      <c r="G1772" s="14">
        <v>0.83826909999999999</v>
      </c>
      <c r="H1772" s="14">
        <v>0.54914660000000004</v>
      </c>
      <c r="R1772" s="11">
        <f t="shared" si="56"/>
        <v>8.1925578389722784E-3</v>
      </c>
      <c r="Z1772" s="11">
        <f t="shared" si="55"/>
        <v>1.0667820248104601E-2</v>
      </c>
    </row>
    <row r="1773" spans="1:26" x14ac:dyDescent="0.2">
      <c r="A1773" s="45">
        <v>324</v>
      </c>
      <c r="B1773" s="45">
        <v>1998</v>
      </c>
      <c r="C1773" s="17">
        <v>0</v>
      </c>
      <c r="D1773" s="14">
        <v>0.45538109999999998</v>
      </c>
      <c r="E1773" s="14">
        <v>0.30716520000000003</v>
      </c>
      <c r="F1773" s="14">
        <v>3.5837099999999997E-2</v>
      </c>
      <c r="G1773" s="14">
        <v>0.96299369999999995</v>
      </c>
      <c r="H1773" s="14">
        <v>0.46922419999999998</v>
      </c>
      <c r="R1773" s="11">
        <f t="shared" si="56"/>
        <v>8.0709113595796769E-3</v>
      </c>
      <c r="Z1773" s="11">
        <f t="shared" si="55"/>
        <v>1.0276703548410912E-2</v>
      </c>
    </row>
    <row r="1774" spans="1:26" x14ac:dyDescent="0.2">
      <c r="A1774" s="45">
        <v>324</v>
      </c>
      <c r="B1774" s="45">
        <v>1999</v>
      </c>
      <c r="C1774" s="17">
        <v>0</v>
      </c>
      <c r="D1774" s="14">
        <v>0.46410190000000001</v>
      </c>
      <c r="E1774" s="14">
        <v>0.31484099999999998</v>
      </c>
      <c r="F1774" s="14">
        <v>5.7831899999999999E-2</v>
      </c>
      <c r="G1774" s="14">
        <v>0.7903618</v>
      </c>
      <c r="H1774" s="14">
        <v>0.5175379</v>
      </c>
      <c r="R1774" s="11">
        <f t="shared" si="56"/>
        <v>8.8068595041282446E-3</v>
      </c>
      <c r="Z1774" s="11">
        <f t="shared" si="55"/>
        <v>1.14591054162702E-2</v>
      </c>
    </row>
    <row r="1775" spans="1:26" x14ac:dyDescent="0.2">
      <c r="A1775" s="45">
        <v>324</v>
      </c>
      <c r="B1775" s="45">
        <v>2000</v>
      </c>
      <c r="C1775" s="17">
        <v>0</v>
      </c>
      <c r="D1775" s="14">
        <v>0.44356370000000001</v>
      </c>
      <c r="E1775" s="14">
        <v>0.3151523</v>
      </c>
      <c r="F1775" s="14">
        <v>5.71843E-2</v>
      </c>
      <c r="G1775" s="14">
        <v>0.74139169999999999</v>
      </c>
      <c r="H1775" s="14">
        <v>0.52411890000000005</v>
      </c>
      <c r="R1775" s="11">
        <f t="shared" si="56"/>
        <v>9.5595178792341889E-3</v>
      </c>
      <c r="Z1775" s="11">
        <f t="shared" si="55"/>
        <v>1.2442445534231499E-2</v>
      </c>
    </row>
    <row r="1776" spans="1:26" x14ac:dyDescent="0.2">
      <c r="A1776" s="45">
        <v>324</v>
      </c>
      <c r="B1776" s="45">
        <v>2001</v>
      </c>
      <c r="C1776" s="17">
        <v>0</v>
      </c>
      <c r="D1776" s="14">
        <v>0.42653669999999999</v>
      </c>
      <c r="E1776" s="14">
        <v>0.4392916</v>
      </c>
      <c r="F1776" s="14">
        <v>5.26405E-2</v>
      </c>
      <c r="G1776" s="14">
        <v>1.706542</v>
      </c>
      <c r="H1776" s="14">
        <v>0.58491610000000005</v>
      </c>
      <c r="R1776" s="11">
        <f t="shared" si="56"/>
        <v>1.791649373884071E-3</v>
      </c>
      <c r="Z1776" s="11">
        <f t="shared" si="55"/>
        <v>2.2896651009300271E-3</v>
      </c>
    </row>
    <row r="1777" spans="1:26" x14ac:dyDescent="0.2">
      <c r="A1777" s="45">
        <v>324</v>
      </c>
      <c r="B1777" s="45">
        <v>2002</v>
      </c>
      <c r="C1777" s="17">
        <v>0</v>
      </c>
      <c r="D1777" s="14">
        <v>0.40545059999999999</v>
      </c>
      <c r="E1777" s="14">
        <v>0.48428379999999999</v>
      </c>
      <c r="F1777" s="14">
        <v>4.0463300000000001E-2</v>
      </c>
      <c r="G1777" s="14">
        <v>1.507253</v>
      </c>
      <c r="H1777" s="14">
        <v>0.58384349999999996</v>
      </c>
      <c r="R1777" s="11">
        <f t="shared" si="56"/>
        <v>2.5394805061995864E-3</v>
      </c>
      <c r="Z1777" s="11">
        <f t="shared" si="55"/>
        <v>3.2316165644273556E-3</v>
      </c>
    </row>
    <row r="1778" spans="1:26" x14ac:dyDescent="0.2">
      <c r="A1778" s="45">
        <v>324</v>
      </c>
      <c r="B1778" s="45">
        <v>2003</v>
      </c>
      <c r="C1778" s="17">
        <v>0</v>
      </c>
      <c r="D1778" s="14">
        <v>0.43082969999999998</v>
      </c>
      <c r="E1778" s="14">
        <v>0.4898593</v>
      </c>
      <c r="F1778" s="14">
        <v>5.44923E-2</v>
      </c>
      <c r="G1778" s="14">
        <v>1.4041619999999999</v>
      </c>
      <c r="H1778" s="14">
        <v>0.51119510000000001</v>
      </c>
      <c r="R1778" s="11">
        <f t="shared" si="56"/>
        <v>2.6533021007748782E-3</v>
      </c>
      <c r="Z1778" s="11">
        <f t="shared" si="55"/>
        <v>3.4236601351901748E-3</v>
      </c>
    </row>
    <row r="1779" spans="1:26" x14ac:dyDescent="0.2">
      <c r="A1779" s="45">
        <v>324</v>
      </c>
      <c r="B1779" s="45">
        <v>2004</v>
      </c>
      <c r="C1779" s="17">
        <v>0</v>
      </c>
      <c r="D1779" s="14">
        <v>0.51607950000000002</v>
      </c>
      <c r="E1779" s="14">
        <v>0.43184080000000002</v>
      </c>
      <c r="F1779" s="14">
        <v>5.79678E-2</v>
      </c>
      <c r="G1779" s="14">
        <v>1.4460679999999999</v>
      </c>
      <c r="H1779" s="14">
        <v>0.53747210000000001</v>
      </c>
      <c r="R1779" s="11">
        <f t="shared" si="56"/>
        <v>2.6263896086504467E-3</v>
      </c>
      <c r="Z1779" s="11">
        <f t="shared" si="55"/>
        <v>3.3887489439814065E-3</v>
      </c>
    </row>
    <row r="1780" spans="1:26" x14ac:dyDescent="0.2">
      <c r="A1780" s="45">
        <v>325</v>
      </c>
      <c r="B1780" s="45">
        <v>2002</v>
      </c>
      <c r="C1780" s="17">
        <v>0</v>
      </c>
      <c r="D1780" s="14">
        <v>0.32769330000000002</v>
      </c>
      <c r="E1780" s="14">
        <v>0.31305260000000001</v>
      </c>
      <c r="F1780" s="14">
        <v>4.3577400000000002E-2</v>
      </c>
      <c r="G1780" s="14">
        <v>0.73999320000000002</v>
      </c>
      <c r="H1780" s="14">
        <v>0.34704069999999998</v>
      </c>
      <c r="R1780" s="11">
        <f t="shared" si="56"/>
        <v>1.0702810301204235E-2</v>
      </c>
      <c r="Z1780" s="11">
        <f t="shared" si="55"/>
        <v>1.3772790740038661E-2</v>
      </c>
    </row>
    <row r="1781" spans="1:26" x14ac:dyDescent="0.2">
      <c r="A1781" s="45">
        <v>325</v>
      </c>
      <c r="B1781" s="45">
        <v>2003</v>
      </c>
      <c r="C1781" s="17">
        <v>0</v>
      </c>
      <c r="D1781" s="14">
        <v>0.43642629999999999</v>
      </c>
      <c r="E1781" s="14">
        <v>0.28509499999999999</v>
      </c>
      <c r="F1781" s="14">
        <v>5.4790100000000001E-2</v>
      </c>
      <c r="G1781" s="14">
        <v>0.58788879999999999</v>
      </c>
      <c r="H1781" s="14">
        <v>0.29247719999999999</v>
      </c>
      <c r="R1781" s="11">
        <f t="shared" si="56"/>
        <v>1.2956252586816678E-2</v>
      </c>
      <c r="Z1781" s="11">
        <f t="shared" si="55"/>
        <v>1.6852553002736973E-2</v>
      </c>
    </row>
    <row r="1782" spans="1:26" x14ac:dyDescent="0.2">
      <c r="A1782" s="45">
        <v>325</v>
      </c>
      <c r="B1782" s="45">
        <v>2004</v>
      </c>
      <c r="C1782" s="17">
        <v>0</v>
      </c>
      <c r="D1782" s="14">
        <v>0.36639549999999999</v>
      </c>
      <c r="E1782" s="14">
        <v>0.2653297</v>
      </c>
      <c r="F1782" s="14">
        <v>7.1560899999999997E-2</v>
      </c>
      <c r="G1782" s="14">
        <v>0.86375639999999998</v>
      </c>
      <c r="H1782" s="14">
        <v>0.4327086</v>
      </c>
      <c r="R1782" s="11">
        <f t="shared" si="56"/>
        <v>7.5534529769341477E-3</v>
      </c>
      <c r="Z1782" s="11">
        <f t="shared" si="55"/>
        <v>9.9095744089861722E-3</v>
      </c>
    </row>
    <row r="1783" spans="1:26" x14ac:dyDescent="0.2">
      <c r="A1783" s="45">
        <v>326</v>
      </c>
      <c r="B1783" s="45">
        <v>1995</v>
      </c>
      <c r="C1783" s="17">
        <v>0</v>
      </c>
      <c r="D1783" s="14">
        <v>0.37099320000000002</v>
      </c>
      <c r="E1783" s="14">
        <v>0.2819855</v>
      </c>
      <c r="F1783" s="14">
        <v>5.84878E-2</v>
      </c>
      <c r="G1783" s="14">
        <v>0.30903029999999998</v>
      </c>
      <c r="H1783" s="14">
        <v>0.52939990000000003</v>
      </c>
      <c r="R1783" s="11">
        <f t="shared" si="56"/>
        <v>1.957360844531799E-2</v>
      </c>
      <c r="Z1783" s="11">
        <f t="shared" si="55"/>
        <v>2.5634153744105905E-2</v>
      </c>
    </row>
    <row r="1784" spans="1:26" x14ac:dyDescent="0.2">
      <c r="A1784" s="45">
        <v>326</v>
      </c>
      <c r="B1784" s="45">
        <v>1996</v>
      </c>
      <c r="C1784" s="17">
        <v>0</v>
      </c>
      <c r="D1784" s="14">
        <v>0.39556910000000001</v>
      </c>
      <c r="E1784" s="14">
        <v>0.23498949999999999</v>
      </c>
      <c r="F1784" s="14">
        <v>1.62162E-2</v>
      </c>
      <c r="G1784" s="14">
        <v>0.27651239999999999</v>
      </c>
      <c r="H1784" s="14">
        <v>0.57363779999999998</v>
      </c>
      <c r="R1784" s="11">
        <f t="shared" si="56"/>
        <v>3.0604699947693187E-2</v>
      </c>
      <c r="Z1784" s="11">
        <f t="shared" si="55"/>
        <v>3.8600698681056526E-2</v>
      </c>
    </row>
    <row r="1785" spans="1:26" x14ac:dyDescent="0.2">
      <c r="A1785" s="45">
        <v>326</v>
      </c>
      <c r="B1785" s="45">
        <v>1997</v>
      </c>
      <c r="C1785" s="17">
        <v>0</v>
      </c>
      <c r="D1785" s="14">
        <v>0.36130459999999998</v>
      </c>
      <c r="E1785" s="14">
        <v>0.2692869</v>
      </c>
      <c r="F1785" s="14">
        <v>7.7510499999999996E-2</v>
      </c>
      <c r="G1785" s="14">
        <v>0.48844949999999998</v>
      </c>
      <c r="H1785" s="14">
        <v>0.65488749999999996</v>
      </c>
      <c r="R1785" s="11">
        <f t="shared" si="56"/>
        <v>1.2952536363932397E-2</v>
      </c>
      <c r="Z1785" s="11">
        <f t="shared" si="55"/>
        <v>1.7186828125029589E-2</v>
      </c>
    </row>
    <row r="1786" spans="1:26" x14ac:dyDescent="0.2">
      <c r="A1786" s="45">
        <v>326</v>
      </c>
      <c r="B1786" s="45">
        <v>1998</v>
      </c>
      <c r="C1786" s="17">
        <v>0</v>
      </c>
      <c r="D1786" s="14">
        <v>0.35326089999999999</v>
      </c>
      <c r="E1786" s="14">
        <v>0.27733180000000002</v>
      </c>
      <c r="F1786" s="14">
        <v>6.7806900000000003E-2</v>
      </c>
      <c r="G1786" s="14">
        <v>0.26160329999999998</v>
      </c>
      <c r="H1786" s="14">
        <v>0.62333369999999999</v>
      </c>
      <c r="R1786" s="11">
        <f t="shared" si="56"/>
        <v>1.9723893851908147E-2</v>
      </c>
      <c r="Z1786" s="11">
        <f t="shared" si="55"/>
        <v>2.6045094315524667E-2</v>
      </c>
    </row>
    <row r="1787" spans="1:26" x14ac:dyDescent="0.2">
      <c r="A1787" s="45">
        <v>326</v>
      </c>
      <c r="B1787" s="45">
        <v>1999</v>
      </c>
      <c r="C1787" s="17">
        <v>0</v>
      </c>
      <c r="D1787" s="14">
        <v>0.32650760000000001</v>
      </c>
      <c r="E1787" s="14">
        <v>0.28866130000000001</v>
      </c>
      <c r="F1787" s="14">
        <v>9.0970200000000001E-2</v>
      </c>
      <c r="G1787" s="14">
        <v>0.2322921</v>
      </c>
      <c r="H1787" s="14">
        <v>0.65125109999999997</v>
      </c>
      <c r="R1787" s="11">
        <f t="shared" si="56"/>
        <v>1.6939020786789893E-2</v>
      </c>
      <c r="Z1787" s="11">
        <f t="shared" si="55"/>
        <v>2.2830503140920548E-2</v>
      </c>
    </row>
    <row r="1788" spans="1:26" x14ac:dyDescent="0.2">
      <c r="A1788" s="45">
        <v>327</v>
      </c>
      <c r="B1788" s="45">
        <v>1996</v>
      </c>
      <c r="C1788" s="17">
        <v>0</v>
      </c>
      <c r="D1788" s="14">
        <v>0.1017342</v>
      </c>
      <c r="E1788" s="14">
        <v>6.1506100000000001E-2</v>
      </c>
      <c r="F1788" s="14">
        <v>3.4248800000000003E-2</v>
      </c>
      <c r="G1788" s="14">
        <v>0.74436239999999998</v>
      </c>
      <c r="H1788" s="14">
        <v>9.8503499999999994E-2</v>
      </c>
      <c r="R1788" s="11">
        <f t="shared" si="56"/>
        <v>1.6413888892298129E-2</v>
      </c>
      <c r="Z1788" s="11">
        <f t="shared" si="55"/>
        <v>2.0751932229951756E-2</v>
      </c>
    </row>
    <row r="1789" spans="1:26" x14ac:dyDescent="0.2">
      <c r="A1789" s="45">
        <v>327</v>
      </c>
      <c r="B1789" s="45">
        <v>1997</v>
      </c>
      <c r="C1789" s="17">
        <v>0</v>
      </c>
      <c r="D1789" s="14">
        <v>5.2795000000000002E-2</v>
      </c>
      <c r="E1789" s="14">
        <v>6.3954800000000006E-2</v>
      </c>
      <c r="F1789" s="14">
        <v>4.7096100000000002E-2</v>
      </c>
      <c r="G1789" s="14">
        <v>1.462294</v>
      </c>
      <c r="H1789" s="14">
        <v>8.7141200000000002E-2</v>
      </c>
      <c r="R1789" s="11">
        <f t="shared" si="56"/>
        <v>4.7564033344001918E-3</v>
      </c>
      <c r="Z1789" s="11">
        <f t="shared" si="55"/>
        <v>6.0013046451810595E-3</v>
      </c>
    </row>
    <row r="1790" spans="1:26" x14ac:dyDescent="0.2">
      <c r="A1790" s="45">
        <v>327</v>
      </c>
      <c r="B1790" s="45">
        <v>1998</v>
      </c>
      <c r="C1790" s="17">
        <v>0</v>
      </c>
      <c r="D1790" s="14">
        <v>5.5690400000000001E-2</v>
      </c>
      <c r="E1790" s="14">
        <v>4.7315000000000003E-2</v>
      </c>
      <c r="F1790" s="14">
        <v>4.7766299999999998E-2</v>
      </c>
      <c r="G1790" s="14">
        <v>1.5059979999999999</v>
      </c>
      <c r="H1790" s="14">
        <v>9.8156800000000002E-2</v>
      </c>
      <c r="R1790" s="11">
        <f t="shared" si="56"/>
        <v>4.5218204116155092E-3</v>
      </c>
      <c r="Z1790" s="11">
        <f t="shared" si="55"/>
        <v>5.7000996541639523E-3</v>
      </c>
    </row>
    <row r="1791" spans="1:26" x14ac:dyDescent="0.2">
      <c r="A1791" s="45">
        <v>328</v>
      </c>
      <c r="B1791" s="45">
        <v>1998</v>
      </c>
      <c r="C1791" s="17">
        <v>0</v>
      </c>
      <c r="D1791" s="14">
        <v>0.29818830000000002</v>
      </c>
      <c r="E1791" s="14">
        <v>4.78979E-2</v>
      </c>
      <c r="F1791" s="14">
        <v>4.1631700000000001E-2</v>
      </c>
      <c r="G1791" s="14">
        <v>0.27151219999999998</v>
      </c>
      <c r="H1791" s="14">
        <v>0.78633839999999999</v>
      </c>
      <c r="R1791" s="11">
        <f t="shared" si="56"/>
        <v>3.2964128300413446E-2</v>
      </c>
      <c r="Z1791" s="11">
        <f t="shared" si="55"/>
        <v>4.2132669270457335E-2</v>
      </c>
    </row>
    <row r="1792" spans="1:26" x14ac:dyDescent="0.2">
      <c r="A1792" s="45">
        <v>328</v>
      </c>
      <c r="B1792" s="45">
        <v>1999</v>
      </c>
      <c r="C1792" s="17">
        <v>0</v>
      </c>
      <c r="D1792" s="14">
        <v>0.226853</v>
      </c>
      <c r="E1792" s="14">
        <v>6.1306100000000002E-2</v>
      </c>
      <c r="F1792" s="14">
        <v>5.47717E-2</v>
      </c>
      <c r="G1792" s="14">
        <v>0.23006289999999999</v>
      </c>
      <c r="H1792" s="14">
        <v>0.83396599999999999</v>
      </c>
      <c r="R1792" s="11">
        <f t="shared" si="56"/>
        <v>3.1147882586089717E-2</v>
      </c>
      <c r="Z1792" s="11">
        <f t="shared" si="55"/>
        <v>4.0299092306902554E-2</v>
      </c>
    </row>
    <row r="1793" spans="1:26" x14ac:dyDescent="0.2">
      <c r="A1793" s="45">
        <v>328</v>
      </c>
      <c r="B1793" s="45">
        <v>2000</v>
      </c>
      <c r="C1793" s="17">
        <v>0</v>
      </c>
      <c r="D1793" s="14">
        <v>0.2526738</v>
      </c>
      <c r="E1793" s="14">
        <v>0.1071399</v>
      </c>
      <c r="F1793" s="14">
        <v>3.7194199999999997E-2</v>
      </c>
      <c r="G1793" s="14">
        <v>0.28602309999999997</v>
      </c>
      <c r="H1793" s="14">
        <v>0.77409130000000004</v>
      </c>
      <c r="R1793" s="11">
        <f t="shared" si="56"/>
        <v>3.0691910388069947E-2</v>
      </c>
      <c r="Z1793" s="11">
        <f t="shared" si="55"/>
        <v>3.9181532389897106E-2</v>
      </c>
    </row>
    <row r="1794" spans="1:26" x14ac:dyDescent="0.2">
      <c r="A1794" s="45">
        <v>328</v>
      </c>
      <c r="B1794" s="45">
        <v>2001</v>
      </c>
      <c r="C1794" s="17">
        <v>0</v>
      </c>
      <c r="D1794" s="14">
        <v>0.30893939999999998</v>
      </c>
      <c r="E1794" s="14">
        <v>0.14571410000000001</v>
      </c>
      <c r="F1794" s="14">
        <v>4.5533700000000003E-2</v>
      </c>
      <c r="G1794" s="14">
        <v>0.75547839999999999</v>
      </c>
      <c r="H1794" s="14">
        <v>0.66785689999999998</v>
      </c>
      <c r="R1794" s="11">
        <f t="shared" si="56"/>
        <v>1.3080053652207211E-2</v>
      </c>
      <c r="Z1794" s="11">
        <f t="shared" ref="Z1794:Z1857" si="57">1/(1+EXP(-(U$2+$V$2*E1794+$W$2*F1794+$X$2*G1794)))</f>
        <v>1.6746510980317854E-2</v>
      </c>
    </row>
    <row r="1795" spans="1:26" x14ac:dyDescent="0.2">
      <c r="A1795" s="45">
        <v>328</v>
      </c>
      <c r="B1795" s="45">
        <v>2002</v>
      </c>
      <c r="C1795" s="17">
        <v>0</v>
      </c>
      <c r="D1795" s="14">
        <v>0.1193965</v>
      </c>
      <c r="E1795" s="14">
        <v>0.1467183</v>
      </c>
      <c r="F1795" s="14">
        <v>4.69025E-2</v>
      </c>
      <c r="G1795" s="14">
        <v>0.6482369</v>
      </c>
      <c r="H1795" s="14">
        <v>0.66864509999999999</v>
      </c>
      <c r="R1795" s="11">
        <f t="shared" si="56"/>
        <v>1.5292076009197797E-2</v>
      </c>
      <c r="Z1795" s="11">
        <f t="shared" si="57"/>
        <v>1.9633892347138027E-2</v>
      </c>
    </row>
    <row r="1796" spans="1:26" x14ac:dyDescent="0.2">
      <c r="A1796" s="45">
        <v>328</v>
      </c>
      <c r="B1796" s="45">
        <v>2003</v>
      </c>
      <c r="C1796" s="17">
        <v>0</v>
      </c>
      <c r="D1796" s="14">
        <v>0.1631919</v>
      </c>
      <c r="E1796" s="14">
        <v>0.1537278</v>
      </c>
      <c r="F1796" s="14">
        <v>2.2698099999999999E-2</v>
      </c>
      <c r="G1796" s="14">
        <v>0.55409929999999996</v>
      </c>
      <c r="H1796" s="14">
        <v>0.67341379999999995</v>
      </c>
      <c r="R1796" s="11">
        <f t="shared" si="56"/>
        <v>2.121564066625245E-2</v>
      </c>
      <c r="Z1796" s="11">
        <f t="shared" si="57"/>
        <v>2.6733038534136163E-2</v>
      </c>
    </row>
    <row r="1797" spans="1:26" x14ac:dyDescent="0.2">
      <c r="A1797" s="45">
        <v>328</v>
      </c>
      <c r="B1797" s="45">
        <v>2004</v>
      </c>
      <c r="C1797" s="17">
        <v>0</v>
      </c>
      <c r="D1797" s="14">
        <v>0.17482300000000001</v>
      </c>
      <c r="E1797" s="14">
        <v>0.18474479999999999</v>
      </c>
      <c r="F1797" s="14">
        <v>4.2993000000000003E-2</v>
      </c>
      <c r="G1797" s="14">
        <v>0.56608879999999995</v>
      </c>
      <c r="H1797" s="14">
        <v>0.71233000000000002</v>
      </c>
      <c r="R1797" s="11">
        <f t="shared" si="56"/>
        <v>1.6987926045544468E-2</v>
      </c>
      <c r="Z1797" s="11">
        <f t="shared" si="57"/>
        <v>2.179861220958363E-2</v>
      </c>
    </row>
    <row r="1798" spans="1:26" x14ac:dyDescent="0.2">
      <c r="A1798" s="45">
        <v>329</v>
      </c>
      <c r="B1798" s="45">
        <v>1995</v>
      </c>
      <c r="C1798" s="17">
        <v>0</v>
      </c>
      <c r="D1798" s="14">
        <v>0.1445709</v>
      </c>
      <c r="E1798" s="14">
        <v>5.72147E-2</v>
      </c>
      <c r="F1798" s="14">
        <v>3.2760400000000002E-2</v>
      </c>
      <c r="G1798" s="14">
        <v>0.4335965</v>
      </c>
      <c r="H1798" s="14">
        <v>0.2575441</v>
      </c>
      <c r="R1798" s="11">
        <f t="shared" si="56"/>
        <v>2.7127712595911849E-2</v>
      </c>
      <c r="Z1798" s="11">
        <f t="shared" si="57"/>
        <v>3.4380212775522265E-2</v>
      </c>
    </row>
    <row r="1799" spans="1:26" x14ac:dyDescent="0.2">
      <c r="A1799" s="45">
        <v>329</v>
      </c>
      <c r="B1799" s="45">
        <v>1996</v>
      </c>
      <c r="C1799" s="17">
        <v>0</v>
      </c>
      <c r="D1799" s="14">
        <v>9.0489200000000006E-2</v>
      </c>
      <c r="E1799" s="14">
        <v>7.5216099999999994E-2</v>
      </c>
      <c r="F1799" s="14">
        <v>5.7647400000000001E-2</v>
      </c>
      <c r="G1799" s="14">
        <v>0.69899730000000004</v>
      </c>
      <c r="H1799" s="14">
        <v>0.29028749999999998</v>
      </c>
      <c r="R1799" s="11">
        <f t="shared" si="56"/>
        <v>1.437358586234453E-2</v>
      </c>
      <c r="Z1799" s="11">
        <f t="shared" si="57"/>
        <v>1.8554670668382636E-2</v>
      </c>
    </row>
    <row r="1800" spans="1:26" x14ac:dyDescent="0.2">
      <c r="A1800" s="45">
        <v>329</v>
      </c>
      <c r="B1800" s="45">
        <v>1997</v>
      </c>
      <c r="C1800" s="17">
        <v>0</v>
      </c>
      <c r="D1800" s="14">
        <v>5.7434199999999998E-2</v>
      </c>
      <c r="E1800" s="14">
        <v>-0.31427110000000003</v>
      </c>
      <c r="F1800" s="14">
        <v>6.3541299999999995E-2</v>
      </c>
      <c r="G1800" s="14">
        <v>1.1466050000000001</v>
      </c>
      <c r="H1800" s="14">
        <v>0.26226129999999997</v>
      </c>
      <c r="R1800" s="11">
        <f t="shared" si="56"/>
        <v>1.186749739167923E-2</v>
      </c>
      <c r="Z1800" s="11">
        <f t="shared" si="57"/>
        <v>1.5055989818530671E-2</v>
      </c>
    </row>
    <row r="1801" spans="1:26" x14ac:dyDescent="0.2">
      <c r="A1801" s="45">
        <v>329</v>
      </c>
      <c r="B1801" s="45">
        <v>1998</v>
      </c>
      <c r="C1801" s="17">
        <v>0</v>
      </c>
      <c r="D1801" s="14">
        <v>8.3031800000000003E-2</v>
      </c>
      <c r="E1801" s="14">
        <v>-0.24637429999999999</v>
      </c>
      <c r="F1801" s="14">
        <v>6.1765E-2</v>
      </c>
      <c r="G1801" s="14">
        <v>1.3471630000000001</v>
      </c>
      <c r="H1801" s="14">
        <v>0.24891469999999999</v>
      </c>
      <c r="R1801" s="11">
        <f t="shared" si="56"/>
        <v>7.9536717049337232E-3</v>
      </c>
      <c r="Z1801" s="11">
        <f t="shared" si="57"/>
        <v>1.0065979630347688E-2</v>
      </c>
    </row>
    <row r="1802" spans="1:26" x14ac:dyDescent="0.2">
      <c r="A1802" s="45">
        <v>329</v>
      </c>
      <c r="B1802" s="45">
        <v>1999</v>
      </c>
      <c r="C1802" s="17">
        <v>0</v>
      </c>
      <c r="D1802" s="14">
        <v>0.1140041</v>
      </c>
      <c r="E1802" s="14">
        <v>-0.2389577</v>
      </c>
      <c r="F1802" s="14">
        <v>6.6925899999999997E-2</v>
      </c>
      <c r="G1802" s="14">
        <v>0.99704729999999997</v>
      </c>
      <c r="H1802" s="14">
        <v>0.25961309999999999</v>
      </c>
      <c r="R1802" s="11">
        <f t="shared" si="56"/>
        <v>1.3121950713303297E-2</v>
      </c>
      <c r="Z1802" s="11">
        <f t="shared" si="57"/>
        <v>1.6783943745447588E-2</v>
      </c>
    </row>
    <row r="1803" spans="1:26" x14ac:dyDescent="0.2">
      <c r="A1803" s="45">
        <v>330</v>
      </c>
      <c r="B1803" s="45">
        <v>1995</v>
      </c>
      <c r="C1803" s="17">
        <v>0</v>
      </c>
      <c r="D1803" s="14">
        <v>5.0177100000000002E-2</v>
      </c>
      <c r="E1803" s="14">
        <v>-0.58390379999999997</v>
      </c>
      <c r="F1803" s="14">
        <v>9.5544699999999996E-2</v>
      </c>
      <c r="G1803" s="14">
        <v>0.3489932</v>
      </c>
      <c r="H1803" s="14">
        <v>0.37838880000000003</v>
      </c>
      <c r="R1803" s="11">
        <f t="shared" si="56"/>
        <v>4.6757730444787704E-2</v>
      </c>
      <c r="Z1803" s="11">
        <f t="shared" si="57"/>
        <v>6.0703528632793192E-2</v>
      </c>
    </row>
    <row r="1804" spans="1:26" x14ac:dyDescent="0.2">
      <c r="A1804" s="45">
        <v>330</v>
      </c>
      <c r="B1804" s="45">
        <v>1996</v>
      </c>
      <c r="C1804" s="17">
        <v>0</v>
      </c>
      <c r="D1804" s="14">
        <v>2.6011099999999999E-2</v>
      </c>
      <c r="E1804" s="14">
        <v>-0.54456199999999999</v>
      </c>
      <c r="F1804" s="14">
        <v>6.4980999999999997E-2</v>
      </c>
      <c r="G1804" s="14">
        <v>0.61118070000000002</v>
      </c>
      <c r="H1804" s="14">
        <v>0.31789400000000001</v>
      </c>
      <c r="R1804" s="11">
        <f t="shared" si="56"/>
        <v>3.7491346627838436E-2</v>
      </c>
      <c r="Z1804" s="11">
        <f t="shared" si="57"/>
        <v>4.7464243112596706E-2</v>
      </c>
    </row>
    <row r="1805" spans="1:26" x14ac:dyDescent="0.2">
      <c r="A1805" s="45">
        <v>330</v>
      </c>
      <c r="B1805" s="45">
        <v>1997</v>
      </c>
      <c r="C1805" s="17">
        <v>0</v>
      </c>
      <c r="D1805" s="14">
        <v>6.8057199999999998E-2</v>
      </c>
      <c r="E1805" s="14">
        <v>-0.53634110000000002</v>
      </c>
      <c r="F1805" s="14">
        <v>5.3644600000000001E-2</v>
      </c>
      <c r="G1805" s="14">
        <v>0.53322049999999999</v>
      </c>
      <c r="H1805" s="14">
        <v>0.32013530000000001</v>
      </c>
      <c r="R1805" s="11">
        <f t="shared" si="56"/>
        <v>4.554373261874544E-2</v>
      </c>
      <c r="Z1805" s="11">
        <f t="shared" si="57"/>
        <v>5.7136371971494931E-2</v>
      </c>
    </row>
    <row r="1806" spans="1:26" x14ac:dyDescent="0.2">
      <c r="A1806" s="45">
        <v>331</v>
      </c>
      <c r="B1806" s="45">
        <v>1995</v>
      </c>
      <c r="C1806" s="17">
        <v>0</v>
      </c>
      <c r="D1806" s="14">
        <v>0.23011219999999999</v>
      </c>
      <c r="E1806" s="14">
        <v>0.63170959999999998</v>
      </c>
      <c r="F1806" s="14">
        <v>6.21489E-2</v>
      </c>
      <c r="G1806" s="14">
        <v>6.3047839999999997</v>
      </c>
      <c r="H1806" s="14">
        <v>0.29515580000000002</v>
      </c>
      <c r="R1806" s="11">
        <f t="shared" si="56"/>
        <v>8.2622719906172055E-7</v>
      </c>
      <c r="Z1806" s="11">
        <f t="shared" si="57"/>
        <v>9.6851858124644665E-7</v>
      </c>
    </row>
    <row r="1807" spans="1:26" x14ac:dyDescent="0.2">
      <c r="A1807" s="45">
        <v>331</v>
      </c>
      <c r="B1807" s="45">
        <v>1996</v>
      </c>
      <c r="C1807" s="17">
        <v>0</v>
      </c>
      <c r="D1807" s="14">
        <v>0.24546270000000001</v>
      </c>
      <c r="E1807" s="14">
        <v>0.56769009999999998</v>
      </c>
      <c r="F1807" s="14">
        <v>8.35336E-2</v>
      </c>
      <c r="G1807" s="14">
        <v>7.2645200000000001</v>
      </c>
      <c r="H1807" s="14">
        <v>0.30139320000000003</v>
      </c>
      <c r="R1807" s="11">
        <f t="shared" si="56"/>
        <v>1.6558239259436331E-7</v>
      </c>
      <c r="Z1807" s="11">
        <f t="shared" si="57"/>
        <v>1.9297620829934063E-7</v>
      </c>
    </row>
    <row r="1808" spans="1:26" x14ac:dyDescent="0.2">
      <c r="A1808" s="45">
        <v>331</v>
      </c>
      <c r="B1808" s="45">
        <v>1997</v>
      </c>
      <c r="C1808" s="17">
        <v>0</v>
      </c>
      <c r="D1808" s="14">
        <v>0.2824933</v>
      </c>
      <c r="E1808" s="14">
        <v>0.5920202</v>
      </c>
      <c r="F1808" s="14">
        <v>6.3426800000000005E-2</v>
      </c>
      <c r="G1808" s="14">
        <v>9.766788</v>
      </c>
      <c r="H1808" s="14">
        <v>0.29029060000000001</v>
      </c>
      <c r="R1808" s="11">
        <f t="shared" si="56"/>
        <v>3.481030254979339E-9</v>
      </c>
      <c r="Z1808" s="11">
        <f t="shared" si="57"/>
        <v>3.7798167009790932E-9</v>
      </c>
    </row>
    <row r="1809" spans="1:26" x14ac:dyDescent="0.2">
      <c r="A1809" s="45">
        <v>331</v>
      </c>
      <c r="B1809" s="45">
        <v>1998</v>
      </c>
      <c r="C1809" s="17">
        <v>0</v>
      </c>
      <c r="D1809" s="14">
        <v>0.14144010000000001</v>
      </c>
      <c r="E1809" s="14">
        <v>0.55088820000000005</v>
      </c>
      <c r="F1809" s="14">
        <v>5.8751999999999999E-2</v>
      </c>
      <c r="G1809" s="14">
        <v>8.9727490000000003</v>
      </c>
      <c r="H1809" s="14">
        <v>0.26650449999999998</v>
      </c>
      <c r="R1809" s="11">
        <f t="shared" si="56"/>
        <v>1.359775931744605E-8</v>
      </c>
      <c r="Z1809" s="11">
        <f t="shared" si="57"/>
        <v>1.4946785255539533E-8</v>
      </c>
    </row>
    <row r="1810" spans="1:26" x14ac:dyDescent="0.2">
      <c r="A1810" s="45">
        <v>331</v>
      </c>
      <c r="B1810" s="45">
        <v>1999</v>
      </c>
      <c r="C1810" s="17">
        <v>0</v>
      </c>
      <c r="D1810" s="14">
        <v>0.22065870000000001</v>
      </c>
      <c r="E1810" s="14">
        <v>0.56211480000000003</v>
      </c>
      <c r="F1810" s="14">
        <v>8.4740300000000005E-2</v>
      </c>
      <c r="G1810" s="14">
        <v>10.027340000000001</v>
      </c>
      <c r="H1810" s="14">
        <v>0.2781477</v>
      </c>
      <c r="R1810" s="11">
        <f t="shared" si="56"/>
        <v>2.0240678186438269E-9</v>
      </c>
      <c r="Z1810" s="11">
        <f t="shared" si="57"/>
        <v>2.2214594229482882E-9</v>
      </c>
    </row>
    <row r="1811" spans="1:26" x14ac:dyDescent="0.2">
      <c r="A1811" s="45">
        <v>331</v>
      </c>
      <c r="B1811" s="45">
        <v>2000</v>
      </c>
      <c r="C1811" s="17">
        <v>0</v>
      </c>
      <c r="D1811" s="14">
        <v>0.30317110000000003</v>
      </c>
      <c r="E1811" s="14">
        <v>0.60606369999999998</v>
      </c>
      <c r="F1811" s="14">
        <v>6.1032299999999998E-2</v>
      </c>
      <c r="G1811" s="14">
        <v>11.706480000000001</v>
      </c>
      <c r="H1811" s="14">
        <v>0.26079720000000001</v>
      </c>
      <c r="R1811" s="11">
        <f t="shared" si="56"/>
        <v>1.5802225106617019E-10</v>
      </c>
      <c r="Z1811" s="11">
        <f t="shared" si="57"/>
        <v>1.6416747371079472E-10</v>
      </c>
    </row>
    <row r="1812" spans="1:26" x14ac:dyDescent="0.2">
      <c r="A1812" s="45">
        <v>331</v>
      </c>
      <c r="B1812" s="45">
        <v>2001</v>
      </c>
      <c r="C1812" s="17">
        <v>0</v>
      </c>
      <c r="D1812" s="14">
        <v>0.3125964</v>
      </c>
      <c r="E1812" s="14">
        <v>0.62360329999999997</v>
      </c>
      <c r="F1812" s="14">
        <v>6.3258300000000003E-2</v>
      </c>
      <c r="G1812" s="14">
        <v>12.74689</v>
      </c>
      <c r="H1812" s="14">
        <v>0.24376120000000001</v>
      </c>
      <c r="R1812" s="11">
        <f t="shared" si="56"/>
        <v>2.8830551895190285E-11</v>
      </c>
      <c r="Z1812" s="11">
        <f t="shared" si="57"/>
        <v>2.934439429869644E-11</v>
      </c>
    </row>
    <row r="1813" spans="1:26" x14ac:dyDescent="0.2">
      <c r="A1813" s="45">
        <v>331</v>
      </c>
      <c r="B1813" s="45">
        <v>2002</v>
      </c>
      <c r="C1813" s="17">
        <v>0</v>
      </c>
      <c r="D1813" s="14">
        <v>0.22366749999999999</v>
      </c>
      <c r="E1813" s="14">
        <v>0.64354599999999995</v>
      </c>
      <c r="F1813" s="14">
        <v>7.9122499999999998E-2</v>
      </c>
      <c r="G1813" s="14">
        <v>8.9508749999999999</v>
      </c>
      <c r="H1813" s="14">
        <v>0.26007069999999999</v>
      </c>
      <c r="R1813" s="11">
        <f t="shared" si="56"/>
        <v>1.0455123131518003E-8</v>
      </c>
      <c r="Z1813" s="11">
        <f t="shared" si="57"/>
        <v>1.172869802064904E-8</v>
      </c>
    </row>
    <row r="1814" spans="1:26" x14ac:dyDescent="0.2">
      <c r="A1814" s="45">
        <v>331</v>
      </c>
      <c r="B1814" s="45">
        <v>2003</v>
      </c>
      <c r="C1814" s="17">
        <v>0</v>
      </c>
      <c r="D1814" s="14">
        <v>0.2127213</v>
      </c>
      <c r="E1814" s="14">
        <v>0.6548657</v>
      </c>
      <c r="F1814" s="14">
        <v>6.9369200000000006E-2</v>
      </c>
      <c r="G1814" s="14">
        <v>7.187182</v>
      </c>
      <c r="H1814" s="14">
        <v>0.25812839999999998</v>
      </c>
      <c r="R1814" s="11">
        <f t="shared" si="56"/>
        <v>1.8479757497953799E-7</v>
      </c>
      <c r="Z1814" s="11">
        <f t="shared" si="57"/>
        <v>2.1388524487176914E-7</v>
      </c>
    </row>
    <row r="1815" spans="1:26" x14ac:dyDescent="0.2">
      <c r="A1815" s="45">
        <v>331</v>
      </c>
      <c r="B1815" s="45">
        <v>2004</v>
      </c>
      <c r="C1815" s="17">
        <v>0</v>
      </c>
      <c r="D1815" s="14">
        <v>0.2915797</v>
      </c>
      <c r="E1815" s="14">
        <v>0.67398409999999997</v>
      </c>
      <c r="F1815" s="14">
        <v>8.6289599999999994E-2</v>
      </c>
      <c r="G1815" s="14">
        <v>8.7803810000000002</v>
      </c>
      <c r="H1815" s="14">
        <v>0.26498620000000001</v>
      </c>
      <c r="R1815" s="11">
        <f t="shared" ref="R1815:R1878" si="58">1/(1+EXP(-(K$2+$M$2*E1815+$N$2*F1815+$O$2*G1815)))</f>
        <v>1.2393878409545475E-8</v>
      </c>
      <c r="Z1815" s="11">
        <f t="shared" si="57"/>
        <v>1.4052803225928982E-8</v>
      </c>
    </row>
    <row r="1816" spans="1:26" x14ac:dyDescent="0.2">
      <c r="A1816" s="45">
        <v>332</v>
      </c>
      <c r="B1816" s="45">
        <v>1995</v>
      </c>
      <c r="C1816" s="17">
        <v>0</v>
      </c>
      <c r="D1816" s="14">
        <v>7.2155800000000006E-2</v>
      </c>
      <c r="E1816" s="14">
        <v>0.2355602</v>
      </c>
      <c r="F1816" s="14">
        <v>7.7038899999999993E-2</v>
      </c>
      <c r="G1816" s="14">
        <v>0.90508270000000002</v>
      </c>
      <c r="H1816" s="14">
        <v>0.55850290000000002</v>
      </c>
      <c r="R1816" s="11">
        <f t="shared" si="58"/>
        <v>7.0716892731888491E-3</v>
      </c>
      <c r="Z1816" s="11">
        <f t="shared" si="57"/>
        <v>9.3025028805529767E-3</v>
      </c>
    </row>
    <row r="1817" spans="1:26" x14ac:dyDescent="0.2">
      <c r="A1817" s="45">
        <v>332</v>
      </c>
      <c r="B1817" s="45">
        <v>1996</v>
      </c>
      <c r="C1817" s="17">
        <v>0</v>
      </c>
      <c r="D1817" s="14">
        <v>8.7959200000000001E-2</v>
      </c>
      <c r="E1817" s="14">
        <v>0.23480019999999999</v>
      </c>
      <c r="F1817" s="14">
        <v>5.7409000000000002E-2</v>
      </c>
      <c r="G1817" s="14">
        <v>0.89712720000000001</v>
      </c>
      <c r="H1817" s="14">
        <v>0.53471139999999995</v>
      </c>
      <c r="R1817" s="11">
        <f t="shared" si="58"/>
        <v>8.3778115473298314E-3</v>
      </c>
      <c r="Z1817" s="11">
        <f t="shared" si="57"/>
        <v>1.0843748430228265E-2</v>
      </c>
    </row>
    <row r="1818" spans="1:26" x14ac:dyDescent="0.2">
      <c r="A1818" s="45">
        <v>332</v>
      </c>
      <c r="B1818" s="45">
        <v>1997</v>
      </c>
      <c r="C1818" s="17">
        <v>0</v>
      </c>
      <c r="D1818" s="14">
        <v>-2.8442200000000001E-2</v>
      </c>
      <c r="E1818" s="14">
        <v>0.22135730000000001</v>
      </c>
      <c r="F1818" s="14">
        <v>7.81163E-2</v>
      </c>
      <c r="G1818" s="14">
        <v>0.98867819999999995</v>
      </c>
      <c r="H1818" s="14">
        <v>0.50134350000000005</v>
      </c>
      <c r="R1818" s="11">
        <f t="shared" si="58"/>
        <v>6.2696630769475846E-3</v>
      </c>
      <c r="Z1818" s="11">
        <f t="shared" si="57"/>
        <v>8.2377636631646677E-3</v>
      </c>
    </row>
    <row r="1819" spans="1:26" x14ac:dyDescent="0.2">
      <c r="A1819" s="45">
        <v>332</v>
      </c>
      <c r="B1819" s="45">
        <v>1998</v>
      </c>
      <c r="C1819" s="17">
        <v>0</v>
      </c>
      <c r="D1819" s="14">
        <v>-7.6936199999999996E-2</v>
      </c>
      <c r="E1819" s="14">
        <v>0.2107212</v>
      </c>
      <c r="F1819" s="14">
        <v>5.6711699999999997E-2</v>
      </c>
      <c r="G1819" s="14">
        <v>0.6859691</v>
      </c>
      <c r="H1819" s="14">
        <v>0.45895560000000002</v>
      </c>
      <c r="R1819" s="11">
        <f t="shared" si="58"/>
        <v>1.2168445621415429E-2</v>
      </c>
      <c r="Z1819" s="11">
        <f t="shared" si="57"/>
        <v>1.5782874352658838E-2</v>
      </c>
    </row>
    <row r="1820" spans="1:26" x14ac:dyDescent="0.2">
      <c r="A1820" s="45">
        <v>332</v>
      </c>
      <c r="B1820" s="45">
        <v>1999</v>
      </c>
      <c r="C1820" s="17">
        <v>0</v>
      </c>
      <c r="D1820" s="14">
        <v>-1.5487000000000001E-2</v>
      </c>
      <c r="E1820" s="14">
        <v>0.2201012</v>
      </c>
      <c r="F1820" s="14">
        <v>6.23067E-2</v>
      </c>
      <c r="G1820" s="14">
        <v>0.90949740000000001</v>
      </c>
      <c r="H1820" s="14">
        <v>0.52779129999999996</v>
      </c>
      <c r="R1820" s="11">
        <f t="shared" si="58"/>
        <v>8.0718108001092744E-3</v>
      </c>
      <c r="Z1820" s="11">
        <f t="shared" si="57"/>
        <v>1.0482164492886565E-2</v>
      </c>
    </row>
    <row r="1821" spans="1:26" x14ac:dyDescent="0.2">
      <c r="A1821" s="45">
        <v>332</v>
      </c>
      <c r="B1821" s="45">
        <v>2000</v>
      </c>
      <c r="C1821" s="17">
        <v>0</v>
      </c>
      <c r="D1821" s="14">
        <v>1.72304E-2</v>
      </c>
      <c r="E1821" s="14">
        <v>0.2362059</v>
      </c>
      <c r="F1821" s="14">
        <v>5.9556499999999998E-2</v>
      </c>
      <c r="G1821" s="14">
        <v>0.69560270000000002</v>
      </c>
      <c r="H1821" s="14">
        <v>0.44729380000000002</v>
      </c>
      <c r="R1821" s="11">
        <f t="shared" si="58"/>
        <v>1.1297309516280076E-2</v>
      </c>
      <c r="Z1821" s="11">
        <f t="shared" si="57"/>
        <v>1.4700112863622742E-2</v>
      </c>
    </row>
    <row r="1822" spans="1:26" x14ac:dyDescent="0.2">
      <c r="A1822" s="45">
        <v>332</v>
      </c>
      <c r="B1822" s="45">
        <v>2001</v>
      </c>
      <c r="C1822" s="17">
        <v>0</v>
      </c>
      <c r="D1822" s="14">
        <v>1.6238200000000001E-2</v>
      </c>
      <c r="E1822" s="14">
        <v>0.25087280000000001</v>
      </c>
      <c r="F1822" s="14">
        <v>5.1244999999999999E-2</v>
      </c>
      <c r="G1822" s="14">
        <v>0.84234620000000004</v>
      </c>
      <c r="H1822" s="14">
        <v>0.49759520000000002</v>
      </c>
      <c r="R1822" s="11">
        <f t="shared" si="58"/>
        <v>9.3728552193571603E-3</v>
      </c>
      <c r="Z1822" s="11">
        <f t="shared" si="57"/>
        <v>1.2088674194755122E-2</v>
      </c>
    </row>
    <row r="1823" spans="1:26" x14ac:dyDescent="0.2">
      <c r="A1823" s="45">
        <v>332</v>
      </c>
      <c r="B1823" s="45">
        <v>2002</v>
      </c>
      <c r="C1823" s="17">
        <v>0</v>
      </c>
      <c r="D1823" s="14">
        <v>4.4272300000000001E-2</v>
      </c>
      <c r="E1823" s="14">
        <v>0.27952050000000001</v>
      </c>
      <c r="F1823" s="14">
        <v>5.1787699999999999E-2</v>
      </c>
      <c r="G1823" s="14">
        <v>0.92826679999999995</v>
      </c>
      <c r="H1823" s="14">
        <v>0.50140969999999996</v>
      </c>
      <c r="R1823" s="11">
        <f t="shared" si="58"/>
        <v>7.8183050854291353E-3</v>
      </c>
      <c r="Z1823" s="11">
        <f t="shared" si="57"/>
        <v>1.00836289762737E-2</v>
      </c>
    </row>
    <row r="1824" spans="1:26" x14ac:dyDescent="0.2">
      <c r="A1824" s="45">
        <v>332</v>
      </c>
      <c r="B1824" s="45">
        <v>2003</v>
      </c>
      <c r="C1824" s="17">
        <v>0</v>
      </c>
      <c r="D1824" s="14">
        <v>2.1114899999999999E-2</v>
      </c>
      <c r="E1824" s="14">
        <v>0.2830416</v>
      </c>
      <c r="F1824" s="14">
        <v>6.2903899999999999E-2</v>
      </c>
      <c r="G1824" s="14">
        <v>0.98772819999999995</v>
      </c>
      <c r="H1824" s="14">
        <v>0.48859599999999997</v>
      </c>
      <c r="R1824" s="11">
        <f t="shared" si="58"/>
        <v>6.4819251314255861E-3</v>
      </c>
      <c r="Z1824" s="11">
        <f t="shared" si="57"/>
        <v>8.4292685333709639E-3</v>
      </c>
    </row>
    <row r="1825" spans="1:26" x14ac:dyDescent="0.2">
      <c r="A1825" s="45">
        <v>332</v>
      </c>
      <c r="B1825" s="45">
        <v>2004</v>
      </c>
      <c r="C1825" s="17">
        <v>0</v>
      </c>
      <c r="D1825" s="14">
        <v>2.1830200000000001E-2</v>
      </c>
      <c r="E1825" s="14">
        <v>0.31777820000000001</v>
      </c>
      <c r="F1825" s="14">
        <v>6.6143400000000005E-2</v>
      </c>
      <c r="G1825" s="14">
        <v>1.1244449999999999</v>
      </c>
      <c r="H1825" s="14">
        <v>0.47174100000000002</v>
      </c>
      <c r="R1825" s="11">
        <f t="shared" si="58"/>
        <v>4.837410910232637E-3</v>
      </c>
      <c r="Z1825" s="11">
        <f t="shared" si="57"/>
        <v>6.2990548629323264E-3</v>
      </c>
    </row>
    <row r="1826" spans="1:26" x14ac:dyDescent="0.2">
      <c r="A1826" s="45">
        <v>333</v>
      </c>
      <c r="B1826" s="45">
        <v>1995</v>
      </c>
      <c r="C1826" s="17">
        <v>0</v>
      </c>
      <c r="D1826" s="14">
        <v>0.41628399999999999</v>
      </c>
      <c r="E1826" s="14">
        <v>0.21698999999999999</v>
      </c>
      <c r="F1826" s="14">
        <v>0.1183507</v>
      </c>
      <c r="G1826" s="14">
        <v>3.5134949999999998</v>
      </c>
      <c r="H1826" s="14">
        <v>0.51232420000000001</v>
      </c>
      <c r="R1826" s="11">
        <f t="shared" si="58"/>
        <v>8.2324135114277249E-5</v>
      </c>
      <c r="Z1826" s="11">
        <f t="shared" si="57"/>
        <v>1.0593864169264545E-4</v>
      </c>
    </row>
    <row r="1827" spans="1:26" x14ac:dyDescent="0.2">
      <c r="A1827" s="45">
        <v>333</v>
      </c>
      <c r="B1827" s="45">
        <v>1996</v>
      </c>
      <c r="C1827" s="17">
        <v>0</v>
      </c>
      <c r="D1827" s="14">
        <v>4.9563200000000002E-2</v>
      </c>
      <c r="E1827" s="14">
        <v>0.30891629999999998</v>
      </c>
      <c r="F1827" s="14">
        <v>0.16352849999999999</v>
      </c>
      <c r="G1827" s="14">
        <v>2.9396770000000001</v>
      </c>
      <c r="H1827" s="14">
        <v>0.7769798</v>
      </c>
      <c r="R1827" s="11">
        <f t="shared" si="58"/>
        <v>1.2521244109176281E-4</v>
      </c>
      <c r="Z1827" s="11">
        <f t="shared" si="57"/>
        <v>1.6986531079956236E-4</v>
      </c>
    </row>
    <row r="1828" spans="1:26" x14ac:dyDescent="0.2">
      <c r="A1828" s="45">
        <v>333</v>
      </c>
      <c r="B1828" s="45">
        <v>1997</v>
      </c>
      <c r="C1828" s="17">
        <v>0</v>
      </c>
      <c r="D1828" s="14">
        <v>4.2073300000000001E-2</v>
      </c>
      <c r="E1828" s="14">
        <v>0.32516800000000001</v>
      </c>
      <c r="F1828" s="14">
        <v>9.9607899999999999E-2</v>
      </c>
      <c r="G1828" s="14">
        <v>3.3869120000000001</v>
      </c>
      <c r="H1828" s="14">
        <v>0.50648000000000004</v>
      </c>
      <c r="R1828" s="11">
        <f t="shared" si="58"/>
        <v>9.9983015243460785E-5</v>
      </c>
      <c r="Z1828" s="11">
        <f t="shared" si="57"/>
        <v>1.2752649694967825E-4</v>
      </c>
    </row>
    <row r="1829" spans="1:26" x14ac:dyDescent="0.2">
      <c r="A1829" s="45">
        <v>333</v>
      </c>
      <c r="B1829" s="45">
        <v>1998</v>
      </c>
      <c r="C1829" s="17">
        <v>0</v>
      </c>
      <c r="D1829" s="14">
        <v>-0.10171289999999999</v>
      </c>
      <c r="E1829" s="14">
        <v>0.15690779999999999</v>
      </c>
      <c r="F1829" s="14">
        <v>0.10399120000000001</v>
      </c>
      <c r="G1829" s="14">
        <v>3.038001</v>
      </c>
      <c r="H1829" s="14">
        <v>0.51690579999999997</v>
      </c>
      <c r="R1829" s="11">
        <f t="shared" si="58"/>
        <v>2.1497019611571667E-4</v>
      </c>
      <c r="Z1829" s="11">
        <f t="shared" si="57"/>
        <v>2.7569609966064023E-4</v>
      </c>
    </row>
    <row r="1830" spans="1:26" x14ac:dyDescent="0.2">
      <c r="A1830" s="45">
        <v>333</v>
      </c>
      <c r="B1830" s="45">
        <v>1999</v>
      </c>
      <c r="C1830" s="17">
        <v>0</v>
      </c>
      <c r="D1830" s="14">
        <v>-0.1308792</v>
      </c>
      <c r="E1830" s="14">
        <v>9.4371099999999999E-2</v>
      </c>
      <c r="F1830" s="14">
        <v>9.1541800000000006E-2</v>
      </c>
      <c r="G1830" s="14">
        <v>2.2183440000000001</v>
      </c>
      <c r="H1830" s="14">
        <v>0.48964249999999998</v>
      </c>
      <c r="R1830" s="11">
        <f t="shared" si="58"/>
        <v>9.5955359197968926E-4</v>
      </c>
      <c r="Z1830" s="11">
        <f t="shared" si="57"/>
        <v>1.237380836208395E-3</v>
      </c>
    </row>
    <row r="1831" spans="1:26" x14ac:dyDescent="0.2">
      <c r="A1831" s="45">
        <v>334</v>
      </c>
      <c r="B1831" s="45">
        <v>1999</v>
      </c>
      <c r="C1831" s="17">
        <v>0</v>
      </c>
      <c r="D1831" s="14">
        <v>0.35917460000000001</v>
      </c>
      <c r="E1831" s="14">
        <v>-1.6127359999999999</v>
      </c>
      <c r="F1831" s="14">
        <v>0.10970779999999999</v>
      </c>
      <c r="G1831" s="14">
        <v>0.14214370000000001</v>
      </c>
      <c r="H1831" s="14">
        <v>0.34761229999999999</v>
      </c>
      <c r="R1831" s="11">
        <f t="shared" si="58"/>
        <v>0.2137271715950734</v>
      </c>
      <c r="Z1831" s="11">
        <f t="shared" si="57"/>
        <v>0.26000484967546283</v>
      </c>
    </row>
    <row r="1832" spans="1:26" x14ac:dyDescent="0.2">
      <c r="A1832" s="45">
        <v>334</v>
      </c>
      <c r="B1832" s="45">
        <v>2000</v>
      </c>
      <c r="C1832" s="17">
        <v>0</v>
      </c>
      <c r="D1832" s="14">
        <v>0.28799599999999997</v>
      </c>
      <c r="E1832" s="14">
        <v>-1.8197589999999999</v>
      </c>
      <c r="F1832" s="14">
        <v>0.1036501</v>
      </c>
      <c r="G1832" s="14">
        <v>0.10348400000000001</v>
      </c>
      <c r="H1832" s="14">
        <v>0.41119889999999998</v>
      </c>
      <c r="R1832" s="11">
        <f t="shared" si="58"/>
        <v>0.29079541803751457</v>
      </c>
      <c r="Z1832" s="11">
        <f t="shared" si="57"/>
        <v>0.34387480050313396</v>
      </c>
    </row>
    <row r="1833" spans="1:26" x14ac:dyDescent="0.2">
      <c r="A1833" s="45">
        <v>334</v>
      </c>
      <c r="B1833" s="45">
        <v>2001</v>
      </c>
      <c r="C1833" s="17">
        <v>0</v>
      </c>
      <c r="D1833" s="14">
        <v>0.2191293</v>
      </c>
      <c r="E1833" s="14">
        <v>-1.802265</v>
      </c>
      <c r="F1833" s="14">
        <v>9.7609199999999993E-2</v>
      </c>
      <c r="G1833" s="14">
        <v>0.14084160000000001</v>
      </c>
      <c r="H1833" s="14">
        <v>0.40312710000000002</v>
      </c>
      <c r="R1833" s="11">
        <f t="shared" si="58"/>
        <v>0.28329571920918134</v>
      </c>
      <c r="Z1833" s="11">
        <f t="shared" si="57"/>
        <v>0.33450112375245078</v>
      </c>
    </row>
    <row r="1834" spans="1:26" x14ac:dyDescent="0.2">
      <c r="A1834" s="45">
        <v>334</v>
      </c>
      <c r="B1834" s="45">
        <v>2002</v>
      </c>
      <c r="C1834" s="17">
        <v>0</v>
      </c>
      <c r="D1834" s="14">
        <v>0.20928069999999999</v>
      </c>
      <c r="E1834" s="14">
        <v>-1.717363</v>
      </c>
      <c r="F1834" s="14">
        <v>0.10513840000000001</v>
      </c>
      <c r="G1834" s="14">
        <v>0.1554411</v>
      </c>
      <c r="H1834" s="14">
        <v>0.42604540000000002</v>
      </c>
      <c r="R1834" s="11">
        <f t="shared" si="58"/>
        <v>0.24321866159096531</v>
      </c>
      <c r="Z1834" s="11">
        <f t="shared" si="57"/>
        <v>0.29191988016111181</v>
      </c>
    </row>
    <row r="1835" spans="1:26" x14ac:dyDescent="0.2">
      <c r="A1835" s="45">
        <v>334</v>
      </c>
      <c r="B1835" s="45">
        <v>2003</v>
      </c>
      <c r="C1835" s="17">
        <v>0</v>
      </c>
      <c r="D1835" s="14">
        <v>0.25325700000000001</v>
      </c>
      <c r="E1835" s="14">
        <v>-1.5575330000000001</v>
      </c>
      <c r="F1835" s="14">
        <v>0.1146962</v>
      </c>
      <c r="G1835" s="14">
        <v>0.32777659999999997</v>
      </c>
      <c r="H1835" s="14">
        <v>0.45876420000000001</v>
      </c>
      <c r="R1835" s="11">
        <f t="shared" si="58"/>
        <v>0.15205211361547868</v>
      </c>
      <c r="Z1835" s="11">
        <f t="shared" si="57"/>
        <v>0.18846083778695885</v>
      </c>
    </row>
    <row r="1836" spans="1:26" x14ac:dyDescent="0.2">
      <c r="A1836" s="45">
        <v>334</v>
      </c>
      <c r="B1836" s="45">
        <v>2004</v>
      </c>
      <c r="C1836" s="17">
        <v>0</v>
      </c>
      <c r="D1836" s="14">
        <v>0.31210009999999999</v>
      </c>
      <c r="E1836" s="14">
        <v>-1.5414140000000001</v>
      </c>
      <c r="F1836" s="14">
        <v>0.13111809999999999</v>
      </c>
      <c r="G1836" s="14">
        <v>0.49606689999999998</v>
      </c>
      <c r="H1836" s="14">
        <v>0.4858828</v>
      </c>
      <c r="R1836" s="11">
        <f t="shared" si="58"/>
        <v>0.10512071969228276</v>
      </c>
      <c r="Z1836" s="11">
        <f t="shared" si="57"/>
        <v>0.13322748919873362</v>
      </c>
    </row>
    <row r="1837" spans="1:26" x14ac:dyDescent="0.2">
      <c r="A1837" s="45">
        <v>335</v>
      </c>
      <c r="B1837" s="45">
        <v>1995</v>
      </c>
      <c r="C1837" s="17">
        <v>0</v>
      </c>
      <c r="D1837" s="14">
        <v>0.38643179999999999</v>
      </c>
      <c r="E1837" s="14">
        <v>0.246837</v>
      </c>
      <c r="F1837" s="14">
        <v>4.5046000000000003E-2</v>
      </c>
      <c r="G1837" s="14">
        <v>0.29635489999999998</v>
      </c>
      <c r="H1837" s="14">
        <v>0.71106740000000002</v>
      </c>
      <c r="R1837" s="11">
        <f t="shared" si="58"/>
        <v>2.3317042260086775E-2</v>
      </c>
      <c r="Z1837" s="11">
        <f t="shared" si="57"/>
        <v>3.0149392832083018E-2</v>
      </c>
    </row>
    <row r="1838" spans="1:26" x14ac:dyDescent="0.2">
      <c r="A1838" s="45">
        <v>335</v>
      </c>
      <c r="B1838" s="45">
        <v>1996</v>
      </c>
      <c r="C1838" s="17">
        <v>0</v>
      </c>
      <c r="D1838" s="14">
        <v>0.33778019999999997</v>
      </c>
      <c r="E1838" s="14">
        <v>0.25388129999999998</v>
      </c>
      <c r="F1838" s="14">
        <v>4.3602000000000002E-2</v>
      </c>
      <c r="G1838" s="14">
        <v>0.62243959999999998</v>
      </c>
      <c r="H1838" s="14">
        <v>0.69777040000000001</v>
      </c>
      <c r="R1838" s="11">
        <f t="shared" si="58"/>
        <v>1.4017719462013443E-2</v>
      </c>
      <c r="Z1838" s="11">
        <f t="shared" si="57"/>
        <v>1.8031502266971731E-2</v>
      </c>
    </row>
    <row r="1839" spans="1:26" x14ac:dyDescent="0.2">
      <c r="A1839" s="45">
        <v>335</v>
      </c>
      <c r="B1839" s="45">
        <v>1997</v>
      </c>
      <c r="C1839" s="17">
        <v>0</v>
      </c>
      <c r="D1839" s="14">
        <v>0.33445809999999998</v>
      </c>
      <c r="E1839" s="14">
        <v>0.2847442</v>
      </c>
      <c r="F1839" s="14">
        <v>5.3331000000000003E-2</v>
      </c>
      <c r="G1839" s="14">
        <v>0.69244839999999996</v>
      </c>
      <c r="H1839" s="14">
        <v>0.74753349999999996</v>
      </c>
      <c r="R1839" s="11">
        <f t="shared" si="58"/>
        <v>1.1122724791308609E-2</v>
      </c>
      <c r="Z1839" s="11">
        <f t="shared" si="57"/>
        <v>1.4425722328063986E-2</v>
      </c>
    </row>
    <row r="1840" spans="1:26" x14ac:dyDescent="0.2">
      <c r="A1840" s="45">
        <v>336</v>
      </c>
      <c r="B1840" s="45">
        <v>1995</v>
      </c>
      <c r="C1840" s="17">
        <v>0</v>
      </c>
      <c r="D1840" s="14">
        <v>6.7412000000000001E-3</v>
      </c>
      <c r="E1840" s="14">
        <v>0.1129134</v>
      </c>
      <c r="F1840" s="14">
        <v>6.7600599999999997E-2</v>
      </c>
      <c r="G1840" s="14">
        <v>1.024583</v>
      </c>
      <c r="H1840" s="14">
        <v>0.29624060000000002</v>
      </c>
      <c r="R1840" s="11">
        <f t="shared" si="58"/>
        <v>7.5310177858857463E-3</v>
      </c>
      <c r="Z1840" s="11">
        <f t="shared" si="57"/>
        <v>9.763390164305644E-3</v>
      </c>
    </row>
    <row r="1841" spans="1:26" x14ac:dyDescent="0.2">
      <c r="A1841" s="45">
        <v>336</v>
      </c>
      <c r="B1841" s="45">
        <v>1996</v>
      </c>
      <c r="C1841" s="17">
        <v>0</v>
      </c>
      <c r="D1841" s="14">
        <v>1.36261E-2</v>
      </c>
      <c r="E1841" s="14">
        <v>0.1115126</v>
      </c>
      <c r="F1841" s="14">
        <v>5.4103699999999998E-2</v>
      </c>
      <c r="G1841" s="14">
        <v>1.0974109999999999</v>
      </c>
      <c r="H1841" s="14">
        <v>0.3166022</v>
      </c>
      <c r="R1841" s="11">
        <f t="shared" si="58"/>
        <v>7.4858659998296691E-3</v>
      </c>
      <c r="Z1841" s="11">
        <f t="shared" si="57"/>
        <v>9.5835409697375192E-3</v>
      </c>
    </row>
    <row r="1842" spans="1:26" x14ac:dyDescent="0.2">
      <c r="A1842" s="45">
        <v>336</v>
      </c>
      <c r="B1842" s="45">
        <v>1997</v>
      </c>
      <c r="C1842" s="17">
        <v>0</v>
      </c>
      <c r="D1842" s="14">
        <v>-7.3302099999999995E-2</v>
      </c>
      <c r="E1842" s="14">
        <v>0.1148883</v>
      </c>
      <c r="F1842" s="14">
        <v>4.45884E-2</v>
      </c>
      <c r="G1842" s="14">
        <v>1.0451239999999999</v>
      </c>
      <c r="H1842" s="14">
        <v>0.37328430000000001</v>
      </c>
      <c r="R1842" s="11">
        <f t="shared" si="58"/>
        <v>8.7259025979745438E-3</v>
      </c>
      <c r="Z1842" s="11">
        <f t="shared" si="57"/>
        <v>1.10952432340275E-2</v>
      </c>
    </row>
    <row r="1843" spans="1:26" x14ac:dyDescent="0.2">
      <c r="A1843" s="45">
        <v>336</v>
      </c>
      <c r="B1843" s="45">
        <v>1998</v>
      </c>
      <c r="C1843" s="17">
        <v>0</v>
      </c>
      <c r="D1843" s="14">
        <v>-3.51642E-2</v>
      </c>
      <c r="E1843" s="14">
        <v>5.2313400000000003E-2</v>
      </c>
      <c r="F1843" s="14">
        <v>4.1253999999999999E-2</v>
      </c>
      <c r="G1843" s="14">
        <v>0.23784340000000001</v>
      </c>
      <c r="H1843" s="14">
        <v>0.15551309999999999</v>
      </c>
      <c r="R1843" s="11">
        <f t="shared" si="58"/>
        <v>3.4604296559303513E-2</v>
      </c>
      <c r="Z1843" s="11">
        <f t="shared" si="57"/>
        <v>4.4232822067888887E-2</v>
      </c>
    </row>
    <row r="1844" spans="1:26" x14ac:dyDescent="0.2">
      <c r="A1844" s="45">
        <v>336</v>
      </c>
      <c r="B1844" s="45">
        <v>1999</v>
      </c>
      <c r="C1844" s="17">
        <v>0</v>
      </c>
      <c r="D1844" s="14">
        <v>-5.4685900000000003E-2</v>
      </c>
      <c r="E1844" s="14">
        <v>1.4279699999999999E-2</v>
      </c>
      <c r="F1844" s="14">
        <v>4.4648300000000002E-2</v>
      </c>
      <c r="G1844" s="14">
        <v>0.32234040000000003</v>
      </c>
      <c r="H1844" s="14">
        <v>6.8800399999999998E-2</v>
      </c>
      <c r="R1844" s="11">
        <f t="shared" si="58"/>
        <v>3.1217431072699676E-2</v>
      </c>
      <c r="Z1844" s="11">
        <f t="shared" si="57"/>
        <v>3.9927914128836298E-2</v>
      </c>
    </row>
    <row r="1845" spans="1:26" x14ac:dyDescent="0.2">
      <c r="A1845" s="45">
        <v>336</v>
      </c>
      <c r="B1845" s="45">
        <v>2000</v>
      </c>
      <c r="C1845" s="17">
        <v>0</v>
      </c>
      <c r="D1845" s="14">
        <v>-7.0713100000000001E-2</v>
      </c>
      <c r="E1845" s="14">
        <v>2.8830000000000001E-2</v>
      </c>
      <c r="F1845" s="14">
        <v>5.36506E-2</v>
      </c>
      <c r="G1845" s="14">
        <v>0.92660810000000005</v>
      </c>
      <c r="H1845" s="14">
        <v>0.1332729</v>
      </c>
      <c r="R1845" s="11">
        <f t="shared" si="58"/>
        <v>1.1083115653714285E-2</v>
      </c>
      <c r="Z1845" s="11">
        <f t="shared" si="57"/>
        <v>1.4182178457350028E-2</v>
      </c>
    </row>
    <row r="1846" spans="1:26" x14ac:dyDescent="0.2">
      <c r="A1846" s="45">
        <v>336</v>
      </c>
      <c r="B1846" s="45">
        <v>2001</v>
      </c>
      <c r="C1846" s="17">
        <v>0</v>
      </c>
      <c r="D1846" s="14">
        <v>-4.4514699999999997E-2</v>
      </c>
      <c r="E1846" s="14">
        <v>4.5358299999999997E-2</v>
      </c>
      <c r="F1846" s="14">
        <v>3.5160400000000001E-2</v>
      </c>
      <c r="G1846" s="14">
        <v>0.8789399</v>
      </c>
      <c r="H1846" s="14">
        <v>6.2482099999999999E-2</v>
      </c>
      <c r="R1846" s="11">
        <f t="shared" si="58"/>
        <v>1.3501620568918326E-2</v>
      </c>
      <c r="Z1846" s="11">
        <f t="shared" si="57"/>
        <v>1.7036898462150511E-2</v>
      </c>
    </row>
    <row r="1847" spans="1:26" x14ac:dyDescent="0.2">
      <c r="A1847" s="45">
        <v>336</v>
      </c>
      <c r="B1847" s="45">
        <v>2002</v>
      </c>
      <c r="C1847" s="17">
        <v>0</v>
      </c>
      <c r="D1847" s="14">
        <v>-6.7118000000000004E-3</v>
      </c>
      <c r="E1847" s="14">
        <v>6.5523499999999998E-2</v>
      </c>
      <c r="F1847" s="14">
        <v>3.0388999999999999E-2</v>
      </c>
      <c r="G1847" s="14">
        <v>0.67616310000000002</v>
      </c>
      <c r="H1847" s="14">
        <v>5.4667E-2</v>
      </c>
      <c r="R1847" s="11">
        <f t="shared" si="58"/>
        <v>1.8718226280003768E-2</v>
      </c>
      <c r="Z1847" s="11">
        <f t="shared" si="57"/>
        <v>2.3615468042495615E-2</v>
      </c>
    </row>
    <row r="1848" spans="1:26" x14ac:dyDescent="0.2">
      <c r="A1848" s="45">
        <v>336</v>
      </c>
      <c r="B1848" s="45">
        <v>2003</v>
      </c>
      <c r="C1848" s="17">
        <v>0</v>
      </c>
      <c r="D1848" s="14">
        <v>2.2006999999999999E-2</v>
      </c>
      <c r="E1848" s="14">
        <v>9.53296E-2</v>
      </c>
      <c r="F1848" s="14">
        <v>5.1310300000000003E-2</v>
      </c>
      <c r="G1848" s="14">
        <v>1.0139</v>
      </c>
      <c r="H1848" s="14">
        <v>5.1939399999999997E-2</v>
      </c>
      <c r="R1848" s="11">
        <f t="shared" si="58"/>
        <v>8.9397570522405639E-3</v>
      </c>
      <c r="Z1848" s="11">
        <f t="shared" si="57"/>
        <v>1.1428777688777043E-2</v>
      </c>
    </row>
    <row r="1849" spans="1:26" x14ac:dyDescent="0.2">
      <c r="A1849" s="45">
        <v>336</v>
      </c>
      <c r="B1849" s="45">
        <v>2004</v>
      </c>
      <c r="C1849" s="17">
        <v>0</v>
      </c>
      <c r="D1849" s="14">
        <v>-5.5668999999999996E-3</v>
      </c>
      <c r="E1849" s="14">
        <v>0.1056491</v>
      </c>
      <c r="F1849" s="14">
        <v>3.8063E-2</v>
      </c>
      <c r="G1849" s="14">
        <v>1.2749090000000001</v>
      </c>
      <c r="H1849" s="14">
        <v>5.7226100000000002E-2</v>
      </c>
      <c r="R1849" s="11">
        <f t="shared" si="58"/>
        <v>6.4754017723387567E-3</v>
      </c>
      <c r="Z1849" s="11">
        <f t="shared" si="57"/>
        <v>8.1515659648998002E-3</v>
      </c>
    </row>
    <row r="1850" spans="1:26" x14ac:dyDescent="0.2">
      <c r="A1850" s="45">
        <v>337</v>
      </c>
      <c r="B1850" s="45">
        <v>1995</v>
      </c>
      <c r="C1850" s="17">
        <v>0</v>
      </c>
      <c r="D1850" s="14">
        <v>0.43257679999999998</v>
      </c>
      <c r="E1850" s="14">
        <v>0.2639415</v>
      </c>
      <c r="F1850" s="14">
        <v>5.71242E-2</v>
      </c>
      <c r="G1850" s="14">
        <v>0.760965</v>
      </c>
      <c r="H1850" s="14">
        <v>0.5121329</v>
      </c>
      <c r="R1850" s="11">
        <f t="shared" si="58"/>
        <v>9.9827666979383813E-3</v>
      </c>
      <c r="Z1850" s="11">
        <f t="shared" si="57"/>
        <v>1.2963026280148874E-2</v>
      </c>
    </row>
    <row r="1851" spans="1:26" x14ac:dyDescent="0.2">
      <c r="A1851" s="45">
        <v>337</v>
      </c>
      <c r="B1851" s="45">
        <v>1996</v>
      </c>
      <c r="C1851" s="17">
        <v>0</v>
      </c>
      <c r="D1851" s="14">
        <v>0.48795759999999999</v>
      </c>
      <c r="E1851" s="14">
        <v>0.27622449999999998</v>
      </c>
      <c r="F1851" s="14">
        <v>5.2134199999999999E-2</v>
      </c>
      <c r="G1851" s="14">
        <v>0.87608050000000004</v>
      </c>
      <c r="H1851" s="14">
        <v>0.49092439999999998</v>
      </c>
      <c r="R1851" s="11">
        <f t="shared" si="58"/>
        <v>8.5075789449743644E-3</v>
      </c>
      <c r="Z1851" s="11">
        <f t="shared" si="57"/>
        <v>1.0984743250983845E-2</v>
      </c>
    </row>
    <row r="1852" spans="1:26" x14ac:dyDescent="0.2">
      <c r="A1852" s="45">
        <v>337</v>
      </c>
      <c r="B1852" s="45">
        <v>1997</v>
      </c>
      <c r="C1852" s="17">
        <v>0</v>
      </c>
      <c r="D1852" s="14">
        <v>0.49344909999999997</v>
      </c>
      <c r="E1852" s="14">
        <v>0.35413559999999999</v>
      </c>
      <c r="F1852" s="14">
        <v>5.17233E-2</v>
      </c>
      <c r="G1852" s="14">
        <v>1.116679</v>
      </c>
      <c r="H1852" s="14">
        <v>0.48898760000000002</v>
      </c>
      <c r="R1852" s="11">
        <f t="shared" si="58"/>
        <v>5.2114721148652709E-3</v>
      </c>
      <c r="Z1852" s="11">
        <f t="shared" si="57"/>
        <v>6.7156193860296943E-3</v>
      </c>
    </row>
    <row r="1853" spans="1:26" x14ac:dyDescent="0.2">
      <c r="A1853" s="45">
        <v>337</v>
      </c>
      <c r="B1853" s="45">
        <v>1998</v>
      </c>
      <c r="C1853" s="17">
        <v>0</v>
      </c>
      <c r="D1853" s="14">
        <v>0.52307099999999995</v>
      </c>
      <c r="E1853" s="14">
        <v>0.3766312</v>
      </c>
      <c r="F1853" s="14">
        <v>3.0161400000000001E-2</v>
      </c>
      <c r="G1853" s="14">
        <v>1.368995</v>
      </c>
      <c r="H1853" s="14">
        <v>0.4789465</v>
      </c>
      <c r="R1853" s="11">
        <f t="shared" si="58"/>
        <v>4.0138148217248159E-3</v>
      </c>
      <c r="Z1853" s="11">
        <f t="shared" si="57"/>
        <v>5.0597584511886786E-3</v>
      </c>
    </row>
    <row r="1854" spans="1:26" x14ac:dyDescent="0.2">
      <c r="A1854" s="45">
        <v>338</v>
      </c>
      <c r="B1854" s="45">
        <v>1995</v>
      </c>
      <c r="C1854" s="17">
        <v>0</v>
      </c>
      <c r="D1854" s="14">
        <v>-7.1533999999999999E-3</v>
      </c>
      <c r="E1854" s="14">
        <v>0.31322499999999998</v>
      </c>
      <c r="F1854" s="14">
        <v>4.31992E-2</v>
      </c>
      <c r="G1854" s="14">
        <v>1.3637319999999999</v>
      </c>
      <c r="H1854" s="14">
        <v>0.117284</v>
      </c>
      <c r="R1854" s="11">
        <f t="shared" si="58"/>
        <v>3.9990140738215526E-3</v>
      </c>
      <c r="Z1854" s="11">
        <f t="shared" si="57"/>
        <v>5.0845894908612514E-3</v>
      </c>
    </row>
    <row r="1855" spans="1:26" x14ac:dyDescent="0.2">
      <c r="A1855" s="45">
        <v>338</v>
      </c>
      <c r="B1855" s="45">
        <v>1996</v>
      </c>
      <c r="C1855" s="17">
        <v>0</v>
      </c>
      <c r="D1855" s="14">
        <v>4.9058900000000003E-2</v>
      </c>
      <c r="E1855" s="14">
        <v>0.3789613</v>
      </c>
      <c r="F1855" s="14">
        <v>6.5734699999999993E-2</v>
      </c>
      <c r="G1855" s="14">
        <v>1.2162329999999999</v>
      </c>
      <c r="H1855" s="14">
        <v>0.1401551</v>
      </c>
      <c r="R1855" s="11">
        <f t="shared" si="58"/>
        <v>3.8397855312677326E-3</v>
      </c>
      <c r="Z1855" s="11">
        <f t="shared" si="57"/>
        <v>5.0002181526046189E-3</v>
      </c>
    </row>
    <row r="1856" spans="1:26" x14ac:dyDescent="0.2">
      <c r="A1856" s="45">
        <v>338</v>
      </c>
      <c r="B1856" s="45">
        <v>1997</v>
      </c>
      <c r="C1856" s="17">
        <v>0</v>
      </c>
      <c r="D1856" s="14">
        <v>-2.1881000000000001E-3</v>
      </c>
      <c r="E1856" s="14">
        <v>0.31206709999999999</v>
      </c>
      <c r="F1856" s="14">
        <v>6.8880800000000006E-2</v>
      </c>
      <c r="G1856" s="14">
        <v>2.0081760000000002</v>
      </c>
      <c r="H1856" s="14">
        <v>0.15299450000000001</v>
      </c>
      <c r="R1856" s="11">
        <f t="shared" si="58"/>
        <v>1.1713484230869103E-3</v>
      </c>
      <c r="Z1856" s="11">
        <f t="shared" si="57"/>
        <v>1.5006566658523079E-3</v>
      </c>
    </row>
    <row r="1857" spans="1:26" x14ac:dyDescent="0.2">
      <c r="A1857" s="45">
        <v>338</v>
      </c>
      <c r="B1857" s="45">
        <v>1998</v>
      </c>
      <c r="C1857" s="17">
        <v>0</v>
      </c>
      <c r="D1857" s="14">
        <v>0.1035494</v>
      </c>
      <c r="E1857" s="14">
        <v>0.378243</v>
      </c>
      <c r="F1857" s="14">
        <v>7.0190900000000001E-2</v>
      </c>
      <c r="G1857" s="14">
        <v>3.2131069999999999</v>
      </c>
      <c r="H1857" s="14">
        <v>0.147233</v>
      </c>
      <c r="R1857" s="11">
        <f t="shared" si="58"/>
        <v>1.5447876596126151E-4</v>
      </c>
      <c r="Z1857" s="11">
        <f t="shared" si="57"/>
        <v>1.9342747435281319E-4</v>
      </c>
    </row>
    <row r="1858" spans="1:26" x14ac:dyDescent="0.2">
      <c r="A1858" s="45">
        <v>338</v>
      </c>
      <c r="B1858" s="45">
        <v>1999</v>
      </c>
      <c r="C1858" s="17">
        <v>0</v>
      </c>
      <c r="D1858" s="14">
        <v>0.12795339999999999</v>
      </c>
      <c r="E1858" s="14">
        <v>0.45097500000000001</v>
      </c>
      <c r="F1858" s="14">
        <v>3.0689500000000002E-2</v>
      </c>
      <c r="G1858" s="14">
        <v>4.6013549999999999</v>
      </c>
      <c r="H1858" s="14">
        <v>7.6998899999999995E-2</v>
      </c>
      <c r="R1858" s="11">
        <f t="shared" si="58"/>
        <v>2.0865697011335667E-5</v>
      </c>
      <c r="Z1858" s="11">
        <f t="shared" ref="Z1858:Z1921" si="59">1/(1+EXP(-(U$2+$V$2*E1858+$W$2*F1858+$X$2*G1858)))</f>
        <v>2.4594686362821669E-5</v>
      </c>
    </row>
    <row r="1859" spans="1:26" x14ac:dyDescent="0.2">
      <c r="A1859" s="45">
        <v>338</v>
      </c>
      <c r="B1859" s="45">
        <v>2000</v>
      </c>
      <c r="C1859" s="17">
        <v>0</v>
      </c>
      <c r="D1859" s="14">
        <v>6.4568999999999998E-3</v>
      </c>
      <c r="E1859" s="14">
        <v>0.3561723</v>
      </c>
      <c r="F1859" s="14">
        <v>2.3370499999999999E-2</v>
      </c>
      <c r="G1859" s="14">
        <v>0.48823759999999999</v>
      </c>
      <c r="H1859" s="14">
        <v>0.1069413</v>
      </c>
      <c r="R1859" s="11">
        <f t="shared" si="58"/>
        <v>1.752661102416465E-2</v>
      </c>
      <c r="Z1859" s="11">
        <f t="shared" si="59"/>
        <v>2.2300399524917143E-2</v>
      </c>
    </row>
    <row r="1860" spans="1:26" x14ac:dyDescent="0.2">
      <c r="A1860" s="45">
        <v>338</v>
      </c>
      <c r="B1860" s="45">
        <v>2001</v>
      </c>
      <c r="C1860" s="17">
        <v>0</v>
      </c>
      <c r="D1860" s="14">
        <v>2.8592800000000002E-2</v>
      </c>
      <c r="E1860" s="14">
        <v>0.36081039999999998</v>
      </c>
      <c r="F1860" s="14">
        <v>4.2749099999999998E-2</v>
      </c>
      <c r="G1860" s="14">
        <v>0.67075430000000003</v>
      </c>
      <c r="H1860" s="14">
        <v>9.5463900000000004E-2</v>
      </c>
      <c r="R1860" s="11">
        <f t="shared" si="58"/>
        <v>1.1217881597944318E-2</v>
      </c>
      <c r="Z1860" s="11">
        <f t="shared" si="59"/>
        <v>1.4468808752200239E-2</v>
      </c>
    </row>
    <row r="1861" spans="1:26" x14ac:dyDescent="0.2">
      <c r="A1861" s="45">
        <v>338</v>
      </c>
      <c r="B1861" s="45">
        <v>2002</v>
      </c>
      <c r="C1861" s="17">
        <v>0</v>
      </c>
      <c r="D1861" s="14">
        <v>3.6834600000000002E-2</v>
      </c>
      <c r="E1861" s="14">
        <v>0.40633789999999997</v>
      </c>
      <c r="F1861" s="14">
        <v>4.3839299999999998E-2</v>
      </c>
      <c r="G1861" s="14">
        <v>0.60774930000000005</v>
      </c>
      <c r="H1861" s="14">
        <v>9.0366299999999997E-2</v>
      </c>
      <c r="R1861" s="11">
        <f t="shared" si="58"/>
        <v>1.1504122500871114E-2</v>
      </c>
      <c r="Z1861" s="11">
        <f t="shared" si="59"/>
        <v>1.4893013228015126E-2</v>
      </c>
    </row>
    <row r="1862" spans="1:26" x14ac:dyDescent="0.2">
      <c r="A1862" s="45">
        <v>338</v>
      </c>
      <c r="B1862" s="45">
        <v>2003</v>
      </c>
      <c r="C1862" s="17">
        <v>0</v>
      </c>
      <c r="D1862" s="14">
        <v>7.9368999999999995E-2</v>
      </c>
      <c r="E1862" s="14">
        <v>0.41834529999999998</v>
      </c>
      <c r="F1862" s="14">
        <v>3.4604999999999997E-2</v>
      </c>
      <c r="G1862" s="14">
        <v>0.78409180000000001</v>
      </c>
      <c r="H1862" s="14">
        <v>0.1037134</v>
      </c>
      <c r="R1862" s="11">
        <f t="shared" si="58"/>
        <v>9.2111138162739078E-3</v>
      </c>
      <c r="Z1862" s="11">
        <f t="shared" si="59"/>
        <v>1.1803204435517651E-2</v>
      </c>
    </row>
    <row r="1863" spans="1:26" x14ac:dyDescent="0.2">
      <c r="A1863" s="45">
        <v>338</v>
      </c>
      <c r="B1863" s="45">
        <v>2004</v>
      </c>
      <c r="C1863" s="17">
        <v>0</v>
      </c>
      <c r="D1863" s="14">
        <v>2.05258E-2</v>
      </c>
      <c r="E1863" s="14">
        <v>0.36917689999999997</v>
      </c>
      <c r="F1863" s="14">
        <v>3.9587900000000002E-2</v>
      </c>
      <c r="G1863" s="14">
        <v>0.81857449999999998</v>
      </c>
      <c r="H1863" s="14">
        <v>0.1048206</v>
      </c>
      <c r="R1863" s="11">
        <f t="shared" si="58"/>
        <v>9.0007240673007204E-3</v>
      </c>
      <c r="Z1863" s="11">
        <f t="shared" si="59"/>
        <v>1.1553009258675671E-2</v>
      </c>
    </row>
    <row r="1864" spans="1:26" x14ac:dyDescent="0.2">
      <c r="A1864" s="45">
        <v>339</v>
      </c>
      <c r="B1864" s="45">
        <v>1995</v>
      </c>
      <c r="C1864" s="17">
        <v>0</v>
      </c>
      <c r="D1864" s="14">
        <v>1.07908E-2</v>
      </c>
      <c r="E1864" s="14">
        <v>0.13428880000000001</v>
      </c>
      <c r="F1864" s="14">
        <v>2.26622E-2</v>
      </c>
      <c r="G1864" s="14">
        <v>0.58636270000000001</v>
      </c>
      <c r="H1864" s="14">
        <v>0.10934339999999999</v>
      </c>
      <c r="R1864" s="11">
        <f t="shared" si="58"/>
        <v>2.0746041270368339E-2</v>
      </c>
      <c r="Z1864" s="11">
        <f t="shared" si="59"/>
        <v>2.6108796325845091E-2</v>
      </c>
    </row>
    <row r="1865" spans="1:26" x14ac:dyDescent="0.2">
      <c r="A1865" s="45">
        <v>339</v>
      </c>
      <c r="B1865" s="45">
        <v>1996</v>
      </c>
      <c r="C1865" s="17">
        <v>0</v>
      </c>
      <c r="D1865" s="14">
        <v>-0.10420749999999999</v>
      </c>
      <c r="E1865" s="14">
        <v>0.1000177</v>
      </c>
      <c r="F1865" s="14">
        <v>3.6191000000000001E-2</v>
      </c>
      <c r="G1865" s="14">
        <v>0.42041499999999998</v>
      </c>
      <c r="H1865" s="14">
        <v>0.1056024</v>
      </c>
      <c r="R1865" s="11">
        <f t="shared" si="58"/>
        <v>2.5373003789176701E-2</v>
      </c>
      <c r="Z1865" s="11">
        <f t="shared" si="59"/>
        <v>3.2314485036205945E-2</v>
      </c>
    </row>
    <row r="1866" spans="1:26" x14ac:dyDescent="0.2">
      <c r="A1866" s="45">
        <v>339</v>
      </c>
      <c r="B1866" s="45">
        <v>1997</v>
      </c>
      <c r="C1866" s="17">
        <v>0</v>
      </c>
      <c r="D1866" s="14">
        <v>-1.686E-3</v>
      </c>
      <c r="E1866" s="14">
        <v>0.16128100000000001</v>
      </c>
      <c r="F1866" s="14">
        <v>8.1659999999999996E-3</v>
      </c>
      <c r="G1866" s="14">
        <v>0.61126329999999995</v>
      </c>
      <c r="H1866" s="14">
        <v>0.1174553</v>
      </c>
      <c r="R1866" s="11">
        <f t="shared" si="58"/>
        <v>2.1511775474572125E-2</v>
      </c>
      <c r="Z1866" s="11">
        <f t="shared" si="59"/>
        <v>2.6765646681314984E-2</v>
      </c>
    </row>
    <row r="1867" spans="1:26" x14ac:dyDescent="0.2">
      <c r="A1867" s="45">
        <v>339</v>
      </c>
      <c r="B1867" s="45">
        <v>1998</v>
      </c>
      <c r="C1867" s="17">
        <v>0</v>
      </c>
      <c r="D1867" s="14">
        <v>2.0048000000000002E-3</v>
      </c>
      <c r="E1867" s="14">
        <v>0.12632399999999999</v>
      </c>
      <c r="F1867" s="14">
        <v>1.7809999999999999E-2</v>
      </c>
      <c r="G1867" s="14">
        <v>0.40642869999999998</v>
      </c>
      <c r="H1867" s="14">
        <v>9.67441E-2</v>
      </c>
      <c r="R1867" s="11">
        <f t="shared" si="58"/>
        <v>2.8823987867369331E-2</v>
      </c>
      <c r="Z1867" s="11">
        <f t="shared" si="59"/>
        <v>3.618762352589449E-2</v>
      </c>
    </row>
    <row r="1868" spans="1:26" x14ac:dyDescent="0.2">
      <c r="A1868" s="45">
        <v>339</v>
      </c>
      <c r="B1868" s="45">
        <v>1999</v>
      </c>
      <c r="C1868" s="17">
        <v>0</v>
      </c>
      <c r="D1868" s="14">
        <v>-6.6971500000000003E-2</v>
      </c>
      <c r="E1868" s="14">
        <v>0.1324911</v>
      </c>
      <c r="F1868" s="14">
        <v>1.5987399999999999E-2</v>
      </c>
      <c r="G1868" s="14">
        <v>0.2218868</v>
      </c>
      <c r="H1868" s="14">
        <v>8.5984599999999994E-2</v>
      </c>
      <c r="R1868" s="11">
        <f t="shared" si="58"/>
        <v>3.8508642862906228E-2</v>
      </c>
      <c r="Z1868" s="11">
        <f t="shared" si="59"/>
        <v>4.8351370172153491E-2</v>
      </c>
    </row>
    <row r="1869" spans="1:26" x14ac:dyDescent="0.2">
      <c r="A1869" s="45">
        <v>339</v>
      </c>
      <c r="B1869" s="45">
        <v>2000</v>
      </c>
      <c r="C1869" s="17">
        <v>0</v>
      </c>
      <c r="D1869" s="14">
        <v>-4.1897999999999996E-3</v>
      </c>
      <c r="E1869" s="14">
        <v>0.1070565</v>
      </c>
      <c r="F1869" s="14">
        <v>3.8946099999999997E-2</v>
      </c>
      <c r="G1869" s="14">
        <v>0.32173659999999998</v>
      </c>
      <c r="H1869" s="14">
        <v>0.10122920000000001</v>
      </c>
      <c r="R1869" s="11">
        <f t="shared" si="58"/>
        <v>2.8654032913715193E-2</v>
      </c>
      <c r="Z1869" s="11">
        <f t="shared" si="59"/>
        <v>3.6624058211606622E-2</v>
      </c>
    </row>
    <row r="1870" spans="1:26" x14ac:dyDescent="0.2">
      <c r="A1870" s="45">
        <v>339</v>
      </c>
      <c r="B1870" s="45">
        <v>2001</v>
      </c>
      <c r="C1870" s="17">
        <v>0</v>
      </c>
      <c r="D1870" s="14">
        <v>-2.5488400000000001E-2</v>
      </c>
      <c r="E1870" s="14">
        <v>0.1122128</v>
      </c>
      <c r="F1870" s="14">
        <v>4.2870499999999999E-2</v>
      </c>
      <c r="G1870" s="14">
        <v>0.24747259999999999</v>
      </c>
      <c r="H1870" s="14">
        <v>6.9779900000000006E-2</v>
      </c>
      <c r="R1870" s="11">
        <f t="shared" si="58"/>
        <v>3.0950375178164142E-2</v>
      </c>
      <c r="Z1870" s="11">
        <f t="shared" si="59"/>
        <v>3.9724518593524591E-2</v>
      </c>
    </row>
    <row r="1871" spans="1:26" x14ac:dyDescent="0.2">
      <c r="A1871" s="45">
        <v>339</v>
      </c>
      <c r="B1871" s="45">
        <v>2002</v>
      </c>
      <c r="C1871" s="17">
        <v>0</v>
      </c>
      <c r="D1871" s="14">
        <v>-7.247E-4</v>
      </c>
      <c r="E1871" s="14">
        <v>5.7922E-3</v>
      </c>
      <c r="F1871" s="14">
        <v>4.6122099999999999E-2</v>
      </c>
      <c r="G1871" s="14">
        <v>0.16075519999999999</v>
      </c>
      <c r="H1871" s="14">
        <v>7.8265000000000001E-2</v>
      </c>
      <c r="R1871" s="11">
        <f t="shared" si="58"/>
        <v>4.004008899229531E-2</v>
      </c>
      <c r="Z1871" s="11">
        <f t="shared" si="59"/>
        <v>5.129989686529883E-2</v>
      </c>
    </row>
    <row r="1872" spans="1:26" x14ac:dyDescent="0.2">
      <c r="A1872" s="45">
        <v>339</v>
      </c>
      <c r="B1872" s="45">
        <v>2003</v>
      </c>
      <c r="C1872" s="17">
        <v>0</v>
      </c>
      <c r="D1872" s="14">
        <v>4.1288900000000003E-2</v>
      </c>
      <c r="E1872" s="14">
        <v>1.2505499999999999E-2</v>
      </c>
      <c r="F1872" s="14">
        <v>3.4242099999999998E-2</v>
      </c>
      <c r="G1872" s="14">
        <v>0.34067029999999998</v>
      </c>
      <c r="H1872" s="14">
        <v>8.7765800000000005E-2</v>
      </c>
      <c r="R1872" s="11">
        <f t="shared" si="58"/>
        <v>3.297564384435709E-2</v>
      </c>
      <c r="Z1872" s="11">
        <f t="shared" si="59"/>
        <v>4.1793680115498846E-2</v>
      </c>
    </row>
    <row r="1873" spans="1:26" x14ac:dyDescent="0.2">
      <c r="A1873" s="45">
        <v>339</v>
      </c>
      <c r="B1873" s="45">
        <v>2004</v>
      </c>
      <c r="C1873" s="17">
        <v>0</v>
      </c>
      <c r="D1873" s="14">
        <v>2.9095599999999999E-2</v>
      </c>
      <c r="E1873" s="14">
        <v>4.7631899999999998E-2</v>
      </c>
      <c r="F1873" s="14">
        <v>3.4573100000000002E-2</v>
      </c>
      <c r="G1873" s="14">
        <v>0.5635445</v>
      </c>
      <c r="H1873" s="14">
        <v>0.102502</v>
      </c>
      <c r="R1873" s="11">
        <f t="shared" si="58"/>
        <v>2.215370610448604E-2</v>
      </c>
      <c r="Z1873" s="11">
        <f t="shared" si="59"/>
        <v>2.8068322603649176E-2</v>
      </c>
    </row>
    <row r="1874" spans="1:26" x14ac:dyDescent="0.2">
      <c r="A1874" s="45">
        <v>340</v>
      </c>
      <c r="B1874" s="45">
        <v>1998</v>
      </c>
      <c r="C1874" s="17">
        <v>0</v>
      </c>
      <c r="D1874" s="14">
        <v>-9.3621999999999993E-3</v>
      </c>
      <c r="E1874" s="14">
        <v>0.17837169999999999</v>
      </c>
      <c r="F1874" s="14">
        <v>5.9791299999999999E-2</v>
      </c>
      <c r="G1874" s="14">
        <v>1.378193</v>
      </c>
      <c r="H1874" s="14">
        <v>0.3195558</v>
      </c>
      <c r="R1874" s="11">
        <f t="shared" si="58"/>
        <v>4.162836436934195E-3</v>
      </c>
      <c r="Z1874" s="11">
        <f t="shared" si="59"/>
        <v>5.3384334438768581E-3</v>
      </c>
    </row>
    <row r="1875" spans="1:26" x14ac:dyDescent="0.2">
      <c r="A1875" s="45">
        <v>340</v>
      </c>
      <c r="B1875" s="45">
        <v>1999</v>
      </c>
      <c r="C1875" s="17">
        <v>0</v>
      </c>
      <c r="D1875" s="14">
        <v>-1.08728E-2</v>
      </c>
      <c r="E1875" s="14">
        <v>0.13649919999999999</v>
      </c>
      <c r="F1875" s="14">
        <v>2.8472600000000001E-2</v>
      </c>
      <c r="G1875" s="14">
        <v>0.35147810000000002</v>
      </c>
      <c r="H1875" s="14">
        <v>0.33318750000000003</v>
      </c>
      <c r="R1875" s="11">
        <f t="shared" si="58"/>
        <v>2.8475662831007911E-2</v>
      </c>
      <c r="Z1875" s="11">
        <f t="shared" si="59"/>
        <v>3.61103506709579E-2</v>
      </c>
    </row>
    <row r="1876" spans="1:26" x14ac:dyDescent="0.2">
      <c r="A1876" s="45">
        <v>340</v>
      </c>
      <c r="B1876" s="45">
        <v>2000</v>
      </c>
      <c r="C1876" s="17">
        <v>0</v>
      </c>
      <c r="D1876" s="14">
        <v>1.24409E-2</v>
      </c>
      <c r="E1876" s="14">
        <v>1.26924E-2</v>
      </c>
      <c r="F1876" s="14">
        <v>2.0090799999999999E-2</v>
      </c>
      <c r="G1876" s="14">
        <v>0.19823579999999999</v>
      </c>
      <c r="H1876" s="14">
        <v>0.32564880000000002</v>
      </c>
      <c r="R1876" s="11">
        <f t="shared" si="58"/>
        <v>4.5714544859600657E-2</v>
      </c>
      <c r="Z1876" s="11">
        <f t="shared" si="59"/>
        <v>5.7277361363726062E-2</v>
      </c>
    </row>
    <row r="1877" spans="1:26" x14ac:dyDescent="0.2">
      <c r="A1877" s="45">
        <v>340</v>
      </c>
      <c r="B1877" s="45">
        <v>2001</v>
      </c>
      <c r="C1877" s="17">
        <v>0</v>
      </c>
      <c r="D1877" s="14">
        <v>-2.1635499999999998E-2</v>
      </c>
      <c r="E1877" s="14">
        <v>-9.5325999999999994E-2</v>
      </c>
      <c r="F1877" s="14">
        <v>4.5633899999999998E-2</v>
      </c>
      <c r="G1877" s="14">
        <v>0.79382620000000004</v>
      </c>
      <c r="H1877" s="14">
        <v>0.34593980000000002</v>
      </c>
      <c r="R1877" s="11">
        <f t="shared" si="58"/>
        <v>1.7379433342600722E-2</v>
      </c>
      <c r="Z1877" s="11">
        <f t="shared" si="59"/>
        <v>2.2028652702786169E-2</v>
      </c>
    </row>
    <row r="1878" spans="1:26" x14ac:dyDescent="0.2">
      <c r="A1878" s="45">
        <v>340</v>
      </c>
      <c r="B1878" s="45">
        <v>2002</v>
      </c>
      <c r="C1878" s="17">
        <v>0</v>
      </c>
      <c r="D1878" s="14">
        <v>-3.7165900000000002E-2</v>
      </c>
      <c r="E1878" s="14">
        <v>-0.27521129999999999</v>
      </c>
      <c r="F1878" s="14">
        <v>3.3587899999999997E-2</v>
      </c>
      <c r="G1878" s="14">
        <v>0.35124</v>
      </c>
      <c r="H1878" s="14">
        <v>0.37649569999999999</v>
      </c>
      <c r="R1878" s="11">
        <f t="shared" si="58"/>
        <v>4.8719986305420883E-2</v>
      </c>
      <c r="Z1878" s="11">
        <f t="shared" si="59"/>
        <v>6.0869997745108755E-2</v>
      </c>
    </row>
    <row r="1879" spans="1:26" x14ac:dyDescent="0.2">
      <c r="A1879" s="45">
        <v>340</v>
      </c>
      <c r="B1879" s="45">
        <v>2003</v>
      </c>
      <c r="C1879" s="17">
        <v>0</v>
      </c>
      <c r="D1879" s="14">
        <v>-2.7819699999999999E-2</v>
      </c>
      <c r="E1879" s="14">
        <v>-0.46211150000000001</v>
      </c>
      <c r="F1879" s="14">
        <v>3.3844100000000002E-2</v>
      </c>
      <c r="G1879" s="14">
        <v>0.73421360000000002</v>
      </c>
      <c r="H1879" s="14">
        <v>0.48821360000000003</v>
      </c>
      <c r="R1879" s="11">
        <f t="shared" ref="R1879:R1942" si="60">1/(1+EXP(-(K$2+$M$2*E1879+$N$2*F1879+$O$2*G1879)))</f>
        <v>3.5151078239477197E-2</v>
      </c>
      <c r="Z1879" s="11">
        <f t="shared" si="59"/>
        <v>4.3461711976148718E-2</v>
      </c>
    </row>
    <row r="1880" spans="1:26" x14ac:dyDescent="0.2">
      <c r="A1880" s="45">
        <v>340</v>
      </c>
      <c r="B1880" s="45">
        <v>2004</v>
      </c>
      <c r="C1880" s="17">
        <v>0</v>
      </c>
      <c r="D1880" s="14">
        <v>-7.1968500000000005E-2</v>
      </c>
      <c r="E1880" s="14">
        <v>-0.47384809999999999</v>
      </c>
      <c r="F1880" s="14">
        <v>4.5018700000000002E-2</v>
      </c>
      <c r="G1880" s="14">
        <v>1.5423199999999999</v>
      </c>
      <c r="H1880" s="14">
        <v>0.57934580000000002</v>
      </c>
      <c r="R1880" s="11">
        <f t="shared" si="60"/>
        <v>9.2629099844245832E-3</v>
      </c>
      <c r="Z1880" s="11">
        <f t="shared" si="59"/>
        <v>1.1423502041205211E-2</v>
      </c>
    </row>
    <row r="1881" spans="1:26" x14ac:dyDescent="0.2">
      <c r="A1881" s="45">
        <v>341</v>
      </c>
      <c r="B1881" s="45">
        <v>1995</v>
      </c>
      <c r="C1881" s="17">
        <v>0</v>
      </c>
      <c r="D1881" s="14">
        <v>0.30686560000000002</v>
      </c>
      <c r="E1881" s="14">
        <v>0.4061264</v>
      </c>
      <c r="F1881" s="14">
        <v>6.3635200000000003E-2</v>
      </c>
      <c r="G1881" s="14">
        <v>3.040721</v>
      </c>
      <c r="H1881" s="14">
        <v>0.39672210000000002</v>
      </c>
      <c r="R1881" s="11">
        <f t="shared" si="60"/>
        <v>2.0574038461460356E-4</v>
      </c>
      <c r="Z1881" s="11">
        <f t="shared" si="59"/>
        <v>2.5745025814996239E-4</v>
      </c>
    </row>
    <row r="1882" spans="1:26" x14ac:dyDescent="0.2">
      <c r="A1882" s="45">
        <v>341</v>
      </c>
      <c r="B1882" s="45">
        <v>1996</v>
      </c>
      <c r="C1882" s="17">
        <v>0</v>
      </c>
      <c r="D1882" s="14">
        <v>9.7180900000000001E-2</v>
      </c>
      <c r="E1882" s="14">
        <v>0.1168223</v>
      </c>
      <c r="F1882" s="14">
        <v>2.6910699999999999E-2</v>
      </c>
      <c r="G1882" s="14">
        <v>0.98079099999999997</v>
      </c>
      <c r="H1882" s="14">
        <v>0.53285199999999999</v>
      </c>
      <c r="R1882" s="11">
        <f t="shared" si="60"/>
        <v>1.1078796752682116E-2</v>
      </c>
      <c r="Z1882" s="11">
        <f t="shared" si="59"/>
        <v>1.3898541385243466E-2</v>
      </c>
    </row>
    <row r="1883" spans="1:26" x14ac:dyDescent="0.2">
      <c r="A1883" s="45">
        <v>341</v>
      </c>
      <c r="B1883" s="45">
        <v>1997</v>
      </c>
      <c r="C1883" s="17">
        <v>0</v>
      </c>
      <c r="D1883" s="14">
        <v>0.1744589</v>
      </c>
      <c r="E1883" s="14">
        <v>0.15307109999999999</v>
      </c>
      <c r="F1883" s="14">
        <v>5.2562200000000003E-2</v>
      </c>
      <c r="G1883" s="14">
        <v>1.3417969999999999</v>
      </c>
      <c r="H1883" s="14">
        <v>0.60035039999999995</v>
      </c>
      <c r="R1883" s="11">
        <f t="shared" si="60"/>
        <v>4.8458594314838583E-3</v>
      </c>
      <c r="Z1883" s="11">
        <f t="shared" si="59"/>
        <v>6.1762557246792908E-3</v>
      </c>
    </row>
    <row r="1884" spans="1:26" x14ac:dyDescent="0.2">
      <c r="A1884" s="45">
        <v>341</v>
      </c>
      <c r="B1884" s="45">
        <v>2002</v>
      </c>
      <c r="C1884" s="17">
        <v>0</v>
      </c>
      <c r="D1884" s="14">
        <v>0.14423849999999999</v>
      </c>
      <c r="E1884" s="14">
        <v>7.99816E-2</v>
      </c>
      <c r="F1884" s="14">
        <v>4.1180599999999998E-2</v>
      </c>
      <c r="G1884" s="14">
        <v>0.52250779999999997</v>
      </c>
      <c r="H1884" s="14">
        <v>0.60877040000000004</v>
      </c>
      <c r="R1884" s="11">
        <f t="shared" si="60"/>
        <v>2.1418631557728791E-2</v>
      </c>
      <c r="Z1884" s="11">
        <f t="shared" si="59"/>
        <v>2.7339294594547054E-2</v>
      </c>
    </row>
    <row r="1885" spans="1:26" x14ac:dyDescent="0.2">
      <c r="A1885" s="45">
        <v>341</v>
      </c>
      <c r="B1885" s="45">
        <v>2003</v>
      </c>
      <c r="C1885" s="17">
        <v>1</v>
      </c>
      <c r="D1885" s="14">
        <v>0.2071114</v>
      </c>
      <c r="E1885" s="14">
        <v>0.1160848</v>
      </c>
      <c r="F1885" s="14">
        <v>3.12261E-2</v>
      </c>
      <c r="G1885" s="14">
        <v>1.1706490000000001</v>
      </c>
      <c r="H1885" s="14">
        <v>0.47583350000000002</v>
      </c>
      <c r="R1885" s="11">
        <f t="shared" si="60"/>
        <v>7.9422478272157555E-3</v>
      </c>
      <c r="Z1885" s="11">
        <f t="shared" si="59"/>
        <v>9.9651352333208487E-3</v>
      </c>
    </row>
    <row r="1886" spans="1:26" x14ac:dyDescent="0.2">
      <c r="A1886" s="45">
        <v>342</v>
      </c>
      <c r="B1886" s="45">
        <v>1995</v>
      </c>
      <c r="C1886" s="17">
        <v>0</v>
      </c>
      <c r="D1886" s="14">
        <v>5.8667999999999998E-2</v>
      </c>
      <c r="E1886" s="14">
        <v>0.88146020000000003</v>
      </c>
      <c r="F1886" s="14">
        <v>8.8371599999999995E-2</v>
      </c>
      <c r="G1886" s="14">
        <v>5.9510290000000001</v>
      </c>
      <c r="H1886" s="14">
        <v>0.41781370000000001</v>
      </c>
      <c r="R1886" s="11">
        <f t="shared" si="60"/>
        <v>8.1869552886015663E-7</v>
      </c>
      <c r="Z1886" s="11">
        <f t="shared" si="59"/>
        <v>9.9670563577245692E-7</v>
      </c>
    </row>
    <row r="1887" spans="1:26" x14ac:dyDescent="0.2">
      <c r="A1887" s="45">
        <v>342</v>
      </c>
      <c r="B1887" s="45">
        <v>1996</v>
      </c>
      <c r="C1887" s="17">
        <v>0</v>
      </c>
      <c r="D1887" s="14">
        <v>-0.1077617</v>
      </c>
      <c r="E1887" s="14">
        <v>0.8212045</v>
      </c>
      <c r="F1887" s="14">
        <v>8.2530300000000001E-2</v>
      </c>
      <c r="G1887" s="14">
        <v>3.6866889999999999</v>
      </c>
      <c r="H1887" s="14">
        <v>0.33500580000000002</v>
      </c>
      <c r="R1887" s="11">
        <f t="shared" si="60"/>
        <v>3.4560115434875276E-5</v>
      </c>
      <c r="Z1887" s="11">
        <f t="shared" si="59"/>
        <v>4.3923286397565419E-5</v>
      </c>
    </row>
    <row r="1888" spans="1:26" x14ac:dyDescent="0.2">
      <c r="A1888" s="45">
        <v>342</v>
      </c>
      <c r="B1888" s="45">
        <v>1997</v>
      </c>
      <c r="C1888" s="17">
        <v>0</v>
      </c>
      <c r="D1888" s="14">
        <v>-9.1599999999999997E-3</v>
      </c>
      <c r="E1888" s="14">
        <v>0.22043650000000001</v>
      </c>
      <c r="F1888" s="14">
        <v>9.2177499999999996E-2</v>
      </c>
      <c r="G1888" s="14">
        <v>5.286505</v>
      </c>
      <c r="H1888" s="14">
        <v>0.35602070000000002</v>
      </c>
      <c r="R1888" s="11">
        <f t="shared" si="60"/>
        <v>5.9872481272709614E-6</v>
      </c>
      <c r="Z1888" s="11">
        <f t="shared" si="59"/>
        <v>7.2533975015360491E-6</v>
      </c>
    </row>
    <row r="1889" spans="1:26" x14ac:dyDescent="0.2">
      <c r="A1889" s="45">
        <v>342</v>
      </c>
      <c r="B1889" s="45">
        <v>1998</v>
      </c>
      <c r="C1889" s="17">
        <v>0</v>
      </c>
      <c r="D1889" s="14">
        <v>-1.9495999999999999E-3</v>
      </c>
      <c r="E1889" s="14">
        <v>0.23940049999999999</v>
      </c>
      <c r="F1889" s="14">
        <v>4.45546E-2</v>
      </c>
      <c r="G1889" s="14">
        <v>3.3565939999999999</v>
      </c>
      <c r="H1889" s="14">
        <v>0.35125679999999998</v>
      </c>
      <c r="R1889" s="11">
        <f t="shared" si="60"/>
        <v>1.8462238918291821E-4</v>
      </c>
      <c r="Z1889" s="11">
        <f t="shared" si="59"/>
        <v>2.2457837525042504E-4</v>
      </c>
    </row>
    <row r="1890" spans="1:26" x14ac:dyDescent="0.2">
      <c r="A1890" s="45">
        <v>342</v>
      </c>
      <c r="B1890" s="45">
        <v>1999</v>
      </c>
      <c r="C1890" s="17">
        <v>0</v>
      </c>
      <c r="D1890" s="14">
        <v>3.4632799999999998E-2</v>
      </c>
      <c r="E1890" s="14">
        <v>0.24017250000000001</v>
      </c>
      <c r="F1890" s="14">
        <v>7.1950600000000003E-2</v>
      </c>
      <c r="G1890" s="14">
        <v>3.1642610000000002</v>
      </c>
      <c r="H1890" s="14">
        <v>0.35562139999999998</v>
      </c>
      <c r="R1890" s="11">
        <f t="shared" si="60"/>
        <v>2.0124679472774119E-4</v>
      </c>
      <c r="Z1890" s="11">
        <f t="shared" si="59"/>
        <v>2.5142689470757898E-4</v>
      </c>
    </row>
    <row r="1891" spans="1:26" x14ac:dyDescent="0.2">
      <c r="A1891" s="45">
        <v>342</v>
      </c>
      <c r="B1891" s="45">
        <v>2000</v>
      </c>
      <c r="C1891" s="17">
        <v>0</v>
      </c>
      <c r="D1891" s="14">
        <v>-0.14041609999999999</v>
      </c>
      <c r="E1891" s="14">
        <v>0.24944939999999999</v>
      </c>
      <c r="F1891" s="14">
        <v>6.7982000000000001E-2</v>
      </c>
      <c r="G1891" s="14">
        <v>2.691573</v>
      </c>
      <c r="H1891" s="14">
        <v>0.34874080000000002</v>
      </c>
      <c r="R1891" s="11">
        <f t="shared" si="60"/>
        <v>4.3520930454284058E-4</v>
      </c>
      <c r="Z1891" s="11">
        <f t="shared" si="59"/>
        <v>5.4777195689235914E-4</v>
      </c>
    </row>
    <row r="1892" spans="1:26" x14ac:dyDescent="0.2">
      <c r="A1892" s="45">
        <v>342</v>
      </c>
      <c r="B1892" s="45">
        <v>2001</v>
      </c>
      <c r="C1892" s="17">
        <v>0</v>
      </c>
      <c r="D1892" s="14">
        <v>3.3146999999999999E-3</v>
      </c>
      <c r="E1892" s="14">
        <v>0.11998109999999999</v>
      </c>
      <c r="F1892" s="14">
        <v>5.3627599999999997E-2</v>
      </c>
      <c r="G1892" s="14">
        <v>1.3196129999999999</v>
      </c>
      <c r="H1892" s="14">
        <v>0.2006444</v>
      </c>
      <c r="R1892" s="11">
        <f t="shared" si="60"/>
        <v>5.2210117447759261E-3</v>
      </c>
      <c r="Z1892" s="11">
        <f t="shared" si="59"/>
        <v>6.6552194505342206E-3</v>
      </c>
    </row>
    <row r="1893" spans="1:26" x14ac:dyDescent="0.2">
      <c r="A1893" s="45">
        <v>342</v>
      </c>
      <c r="B1893" s="45">
        <v>2002</v>
      </c>
      <c r="C1893" s="17">
        <v>0</v>
      </c>
      <c r="D1893" s="14">
        <v>-8.7895299999999996E-2</v>
      </c>
      <c r="E1893" s="14">
        <v>0.1166036</v>
      </c>
      <c r="F1893" s="14">
        <v>6.2295999999999997E-2</v>
      </c>
      <c r="G1893" s="14">
        <v>1.519058</v>
      </c>
      <c r="H1893" s="14">
        <v>0.2294098</v>
      </c>
      <c r="R1893" s="11">
        <f t="shared" si="60"/>
        <v>3.5682979725207026E-3</v>
      </c>
      <c r="Z1893" s="11">
        <f t="shared" si="59"/>
        <v>4.5623656061548569E-3</v>
      </c>
    </row>
    <row r="1894" spans="1:26" x14ac:dyDescent="0.2">
      <c r="A1894" s="45">
        <v>342</v>
      </c>
      <c r="B1894" s="45">
        <v>2003</v>
      </c>
      <c r="C1894" s="17">
        <v>0</v>
      </c>
      <c r="D1894" s="14">
        <v>-7.1369699999999994E-2</v>
      </c>
      <c r="E1894" s="14">
        <v>0.17161589999999999</v>
      </c>
      <c r="F1894" s="14">
        <v>8.0425200000000002E-2</v>
      </c>
      <c r="G1894" s="14">
        <v>1.798019</v>
      </c>
      <c r="H1894" s="14">
        <v>0.23843239999999999</v>
      </c>
      <c r="R1894" s="11">
        <f t="shared" si="60"/>
        <v>1.8299261248427934E-3</v>
      </c>
      <c r="Z1894" s="11">
        <f t="shared" si="59"/>
        <v>2.3657434468491809E-3</v>
      </c>
    </row>
    <row r="1895" spans="1:26" x14ac:dyDescent="0.2">
      <c r="A1895" s="45">
        <v>342</v>
      </c>
      <c r="B1895" s="45">
        <v>2004</v>
      </c>
      <c r="C1895" s="17">
        <v>0</v>
      </c>
      <c r="D1895" s="14">
        <v>-4.4336599999999997E-2</v>
      </c>
      <c r="E1895" s="14">
        <v>0.2317525</v>
      </c>
      <c r="F1895" s="14">
        <v>6.6089899999999993E-2</v>
      </c>
      <c r="G1895" s="14">
        <v>2.188364</v>
      </c>
      <c r="H1895" s="14">
        <v>0.25376720000000003</v>
      </c>
      <c r="R1895" s="11">
        <f t="shared" si="60"/>
        <v>1.0103268472507372E-3</v>
      </c>
      <c r="Z1895" s="11">
        <f t="shared" si="59"/>
        <v>1.2828311452701162E-3</v>
      </c>
    </row>
    <row r="1896" spans="1:26" x14ac:dyDescent="0.2">
      <c r="A1896" s="45">
        <v>343</v>
      </c>
      <c r="B1896" s="45">
        <v>1995</v>
      </c>
      <c r="C1896" s="17">
        <v>0</v>
      </c>
      <c r="D1896" s="14">
        <v>0.33046120000000001</v>
      </c>
      <c r="E1896" s="14">
        <v>0.36815429999999999</v>
      </c>
      <c r="F1896" s="14">
        <v>6.8178900000000001E-2</v>
      </c>
      <c r="G1896" s="14">
        <v>0.75441800000000003</v>
      </c>
      <c r="H1896" s="14">
        <v>0.54886190000000001</v>
      </c>
      <c r="R1896" s="11">
        <f t="shared" si="60"/>
        <v>7.9517195183643388E-3</v>
      </c>
      <c r="Z1896" s="11">
        <f t="shared" si="59"/>
        <v>1.0463433039065755E-2</v>
      </c>
    </row>
    <row r="1897" spans="1:26" x14ac:dyDescent="0.2">
      <c r="A1897" s="45">
        <v>343</v>
      </c>
      <c r="B1897" s="45">
        <v>1996</v>
      </c>
      <c r="C1897" s="17">
        <v>0</v>
      </c>
      <c r="D1897" s="14">
        <v>0.30703469999999999</v>
      </c>
      <c r="E1897" s="14">
        <v>0.36311270000000001</v>
      </c>
      <c r="F1897" s="14">
        <v>7.0388300000000001E-2</v>
      </c>
      <c r="G1897" s="14">
        <v>0.96885540000000003</v>
      </c>
      <c r="H1897" s="14">
        <v>0.53360200000000002</v>
      </c>
      <c r="R1897" s="11">
        <f t="shared" si="60"/>
        <v>5.6051290079864877E-3</v>
      </c>
      <c r="Z1897" s="11">
        <f t="shared" si="59"/>
        <v>7.3585779121381383E-3</v>
      </c>
    </row>
    <row r="1898" spans="1:26" x14ac:dyDescent="0.2">
      <c r="A1898" s="45">
        <v>343</v>
      </c>
      <c r="B1898" s="45">
        <v>1997</v>
      </c>
      <c r="C1898" s="17">
        <v>0</v>
      </c>
      <c r="D1898" s="14">
        <v>0.446737</v>
      </c>
      <c r="E1898" s="14">
        <v>0.33656540000000001</v>
      </c>
      <c r="F1898" s="14">
        <v>6.8524699999999994E-2</v>
      </c>
      <c r="G1898" s="14">
        <v>1.1224229999999999</v>
      </c>
      <c r="H1898" s="14">
        <v>0.52926390000000001</v>
      </c>
      <c r="R1898" s="11">
        <f t="shared" si="60"/>
        <v>4.6340955026439477E-3</v>
      </c>
      <c r="Z1898" s="11">
        <f t="shared" si="59"/>
        <v>6.0505380528532594E-3</v>
      </c>
    </row>
    <row r="1899" spans="1:26" x14ac:dyDescent="0.2">
      <c r="A1899" s="45">
        <v>343</v>
      </c>
      <c r="B1899" s="45">
        <v>1998</v>
      </c>
      <c r="C1899" s="17">
        <v>0</v>
      </c>
      <c r="D1899" s="14">
        <v>0.46781410000000001</v>
      </c>
      <c r="E1899" s="14">
        <v>0.34329520000000002</v>
      </c>
      <c r="F1899" s="14">
        <v>8.2051100000000002E-2</v>
      </c>
      <c r="G1899" s="14">
        <v>0.97750210000000004</v>
      </c>
      <c r="H1899" s="14">
        <v>0.62697599999999998</v>
      </c>
      <c r="R1899" s="11">
        <f t="shared" si="60"/>
        <v>5.1854071527236067E-3</v>
      </c>
      <c r="Z1899" s="11">
        <f t="shared" si="59"/>
        <v>6.8674709744769658E-3</v>
      </c>
    </row>
    <row r="1900" spans="1:26" x14ac:dyDescent="0.2">
      <c r="A1900" s="45">
        <v>343</v>
      </c>
      <c r="B1900" s="45">
        <v>1999</v>
      </c>
      <c r="C1900" s="17">
        <v>0</v>
      </c>
      <c r="D1900" s="14">
        <v>0.5544557</v>
      </c>
      <c r="E1900" s="14">
        <v>0.34132839999999998</v>
      </c>
      <c r="F1900" s="14">
        <v>4.9561500000000001E-2</v>
      </c>
      <c r="G1900" s="14">
        <v>0.77728109999999995</v>
      </c>
      <c r="H1900" s="14">
        <v>0.4523336</v>
      </c>
      <c r="R1900" s="11">
        <f t="shared" si="60"/>
        <v>9.2403612444321871E-3</v>
      </c>
      <c r="Z1900" s="11">
        <f t="shared" si="59"/>
        <v>1.1955443055460587E-2</v>
      </c>
    </row>
    <row r="1901" spans="1:26" x14ac:dyDescent="0.2">
      <c r="A1901" s="45">
        <v>343</v>
      </c>
      <c r="B1901" s="45">
        <v>2000</v>
      </c>
      <c r="C1901" s="17">
        <v>0</v>
      </c>
      <c r="D1901" s="14">
        <v>0.45764169999999998</v>
      </c>
      <c r="E1901" s="14">
        <v>0.35649530000000001</v>
      </c>
      <c r="F1901" s="14">
        <v>2.5202599999999999E-2</v>
      </c>
      <c r="G1901" s="14">
        <v>0.64979750000000003</v>
      </c>
      <c r="H1901" s="14">
        <v>0.4577579</v>
      </c>
      <c r="R1901" s="11">
        <f t="shared" si="60"/>
        <v>1.3400944405035345E-2</v>
      </c>
      <c r="Z1901" s="11">
        <f t="shared" si="59"/>
        <v>1.7036256311541029E-2</v>
      </c>
    </row>
    <row r="1902" spans="1:26" x14ac:dyDescent="0.2">
      <c r="A1902" s="45">
        <v>343</v>
      </c>
      <c r="B1902" s="45">
        <v>2001</v>
      </c>
      <c r="C1902" s="17">
        <v>0</v>
      </c>
      <c r="D1902" s="14">
        <v>0.54441569999999995</v>
      </c>
      <c r="E1902" s="14">
        <v>0.42699920000000002</v>
      </c>
      <c r="F1902" s="14">
        <v>1.7551400000000002E-2</v>
      </c>
      <c r="G1902" s="14">
        <v>0.96188269999999998</v>
      </c>
      <c r="H1902" s="14">
        <v>0.4861608</v>
      </c>
      <c r="R1902" s="11">
        <f t="shared" si="60"/>
        <v>7.8638234596762873E-3</v>
      </c>
      <c r="Z1902" s="11">
        <f t="shared" si="59"/>
        <v>9.9065328862869596E-3</v>
      </c>
    </row>
    <row r="1903" spans="1:26" x14ac:dyDescent="0.2">
      <c r="A1903" s="45">
        <v>343</v>
      </c>
      <c r="B1903" s="45">
        <v>2002</v>
      </c>
      <c r="C1903" s="17">
        <v>0</v>
      </c>
      <c r="D1903" s="14">
        <v>0.51447790000000004</v>
      </c>
      <c r="E1903" s="14">
        <v>0.3839746</v>
      </c>
      <c r="F1903" s="14">
        <v>4.1084799999999998E-2</v>
      </c>
      <c r="G1903" s="14">
        <v>0.91610910000000001</v>
      </c>
      <c r="H1903" s="14">
        <v>0.43056339999999999</v>
      </c>
      <c r="R1903" s="11">
        <f t="shared" si="60"/>
        <v>7.4628333995191741E-3</v>
      </c>
      <c r="Z1903" s="11">
        <f t="shared" si="59"/>
        <v>9.5793195541195187E-3</v>
      </c>
    </row>
    <row r="1904" spans="1:26" x14ac:dyDescent="0.2">
      <c r="A1904" s="45">
        <v>343</v>
      </c>
      <c r="B1904" s="45">
        <v>2003</v>
      </c>
      <c r="C1904" s="17">
        <v>0</v>
      </c>
      <c r="D1904" s="14">
        <v>0.48393130000000001</v>
      </c>
      <c r="E1904" s="14">
        <v>0.41842980000000002</v>
      </c>
      <c r="F1904" s="14">
        <v>5.2387299999999998E-2</v>
      </c>
      <c r="G1904" s="14">
        <v>1.6941660000000001</v>
      </c>
      <c r="H1904" s="14">
        <v>0.42333880000000002</v>
      </c>
      <c r="R1904" s="11">
        <f t="shared" si="60"/>
        <v>1.8872524214250466E-3</v>
      </c>
      <c r="Z1904" s="11">
        <f t="shared" si="59"/>
        <v>2.4102146844720007E-3</v>
      </c>
    </row>
    <row r="1905" spans="1:26" x14ac:dyDescent="0.2">
      <c r="A1905" s="45">
        <v>343</v>
      </c>
      <c r="B1905" s="45">
        <v>2004</v>
      </c>
      <c r="C1905" s="17">
        <v>0</v>
      </c>
      <c r="D1905" s="14">
        <v>0.48793769999999997</v>
      </c>
      <c r="E1905" s="14">
        <v>0.38592769999999998</v>
      </c>
      <c r="F1905" s="14">
        <v>3.5791499999999997E-2</v>
      </c>
      <c r="G1905" s="14">
        <v>0.96911910000000001</v>
      </c>
      <c r="H1905" s="14">
        <v>0.40603460000000002</v>
      </c>
      <c r="R1905" s="11">
        <f t="shared" si="60"/>
        <v>7.136971717113574E-3</v>
      </c>
      <c r="Z1905" s="11">
        <f t="shared" si="59"/>
        <v>9.1126491403682106E-3</v>
      </c>
    </row>
    <row r="1906" spans="1:26" x14ac:dyDescent="0.2">
      <c r="A1906" s="45">
        <v>344</v>
      </c>
      <c r="B1906" s="45">
        <v>1999</v>
      </c>
      <c r="C1906" s="17">
        <v>0</v>
      </c>
      <c r="D1906" s="14">
        <v>0.21452560000000001</v>
      </c>
      <c r="E1906" s="14">
        <v>0.25362279999999998</v>
      </c>
      <c r="F1906" s="14">
        <v>4.9115499999999999E-2</v>
      </c>
      <c r="G1906" s="14">
        <v>0.72656160000000003</v>
      </c>
      <c r="H1906" s="14">
        <v>0.24358150000000001</v>
      </c>
      <c r="R1906" s="11">
        <f t="shared" si="60"/>
        <v>1.1396676953915143E-2</v>
      </c>
      <c r="Z1906" s="11">
        <f t="shared" si="59"/>
        <v>1.4703219739040367E-2</v>
      </c>
    </row>
    <row r="1907" spans="1:26" x14ac:dyDescent="0.2">
      <c r="A1907" s="45">
        <v>344</v>
      </c>
      <c r="B1907" s="45">
        <v>2000</v>
      </c>
      <c r="C1907" s="17">
        <v>0</v>
      </c>
      <c r="D1907" s="14">
        <v>0.23531560000000001</v>
      </c>
      <c r="E1907" s="14">
        <v>0.2561621</v>
      </c>
      <c r="F1907" s="14">
        <v>5.6292000000000002E-2</v>
      </c>
      <c r="G1907" s="14">
        <v>0.56891230000000004</v>
      </c>
      <c r="H1907" s="14">
        <v>0.26790170000000002</v>
      </c>
      <c r="R1907" s="11">
        <f t="shared" si="60"/>
        <v>1.3750424056628118E-2</v>
      </c>
      <c r="Z1907" s="11">
        <f t="shared" si="59"/>
        <v>1.7892773481926479E-2</v>
      </c>
    </row>
    <row r="1908" spans="1:26" x14ac:dyDescent="0.2">
      <c r="A1908" s="45">
        <v>344</v>
      </c>
      <c r="B1908" s="45">
        <v>2001</v>
      </c>
      <c r="C1908" s="17">
        <v>0</v>
      </c>
      <c r="D1908" s="14">
        <v>0.2384279</v>
      </c>
      <c r="E1908" s="14">
        <v>0.27828930000000002</v>
      </c>
      <c r="F1908" s="14">
        <v>5.3421400000000001E-2</v>
      </c>
      <c r="G1908" s="14">
        <v>1.129589</v>
      </c>
      <c r="H1908" s="14">
        <v>0.27132070000000003</v>
      </c>
      <c r="R1908" s="11">
        <f t="shared" si="60"/>
        <v>5.6213723319291998E-3</v>
      </c>
      <c r="Z1908" s="11">
        <f t="shared" si="59"/>
        <v>7.232243561821834E-3</v>
      </c>
    </row>
    <row r="1909" spans="1:26" x14ac:dyDescent="0.2">
      <c r="A1909" s="45">
        <v>344</v>
      </c>
      <c r="B1909" s="45">
        <v>2002</v>
      </c>
      <c r="C1909" s="17">
        <v>0</v>
      </c>
      <c r="D1909" s="14">
        <v>0.2835799</v>
      </c>
      <c r="E1909" s="14">
        <v>0.2092021</v>
      </c>
      <c r="F1909" s="14">
        <v>5.8959900000000003E-2</v>
      </c>
      <c r="G1909" s="14">
        <v>1.595067</v>
      </c>
      <c r="H1909" s="14">
        <v>0.2885877</v>
      </c>
      <c r="R1909" s="11">
        <f t="shared" si="60"/>
        <v>2.8398112282092556E-3</v>
      </c>
      <c r="Z1909" s="11">
        <f t="shared" si="59"/>
        <v>3.6272101855835456E-3</v>
      </c>
    </row>
    <row r="1910" spans="1:26" x14ac:dyDescent="0.2">
      <c r="A1910" s="45">
        <v>344</v>
      </c>
      <c r="B1910" s="45">
        <v>2003</v>
      </c>
      <c r="C1910" s="17">
        <v>0</v>
      </c>
      <c r="D1910" s="14">
        <v>0.27290629999999999</v>
      </c>
      <c r="E1910" s="14">
        <v>0.1798951</v>
      </c>
      <c r="F1910" s="14">
        <v>4.8227300000000001E-2</v>
      </c>
      <c r="G1910" s="14">
        <v>1.172523</v>
      </c>
      <c r="H1910" s="14">
        <v>0.28069050000000001</v>
      </c>
      <c r="R1910" s="11">
        <f t="shared" si="60"/>
        <v>6.3096433870138769E-3</v>
      </c>
      <c r="Z1910" s="11">
        <f t="shared" si="59"/>
        <v>8.0473912481053116E-3</v>
      </c>
    </row>
    <row r="1911" spans="1:26" x14ac:dyDescent="0.2">
      <c r="A1911" s="45">
        <v>344</v>
      </c>
      <c r="B1911" s="45">
        <v>2004</v>
      </c>
      <c r="C1911" s="17">
        <v>0</v>
      </c>
      <c r="D1911" s="14">
        <v>0.18571399999999999</v>
      </c>
      <c r="E1911" s="14">
        <v>0.20670469999999999</v>
      </c>
      <c r="F1911" s="14">
        <v>5.52092E-2</v>
      </c>
      <c r="G1911" s="14">
        <v>1.6271439999999999</v>
      </c>
      <c r="H1911" s="14">
        <v>0.3196698</v>
      </c>
      <c r="R1911" s="11">
        <f t="shared" si="60"/>
        <v>2.7907278087217777E-3</v>
      </c>
      <c r="Z1911" s="11">
        <f t="shared" si="59"/>
        <v>3.5508593117845716E-3</v>
      </c>
    </row>
    <row r="1912" spans="1:26" x14ac:dyDescent="0.2">
      <c r="A1912" s="45">
        <v>345</v>
      </c>
      <c r="B1912" s="45">
        <v>1995</v>
      </c>
      <c r="C1912" s="17">
        <v>0</v>
      </c>
      <c r="D1912" s="14">
        <v>8.81218E-2</v>
      </c>
      <c r="E1912" s="14">
        <v>0.42403049999999998</v>
      </c>
      <c r="F1912" s="14">
        <v>4.1552600000000002E-2</v>
      </c>
      <c r="G1912" s="14">
        <v>1.8100039999999999</v>
      </c>
      <c r="H1912" s="14">
        <v>0.15861120000000001</v>
      </c>
      <c r="R1912" s="11">
        <f t="shared" si="60"/>
        <v>1.6976366749950585E-3</v>
      </c>
      <c r="Z1912" s="11">
        <f t="shared" si="59"/>
        <v>2.1439879993628164E-3</v>
      </c>
    </row>
    <row r="1913" spans="1:26" x14ac:dyDescent="0.2">
      <c r="A1913" s="45">
        <v>345</v>
      </c>
      <c r="B1913" s="45">
        <v>1996</v>
      </c>
      <c r="C1913" s="17">
        <v>0</v>
      </c>
      <c r="D1913" s="14">
        <v>0.14045260000000001</v>
      </c>
      <c r="E1913" s="14">
        <v>0.47460010000000002</v>
      </c>
      <c r="F1913" s="14">
        <v>6.1320800000000002E-2</v>
      </c>
      <c r="G1913" s="14">
        <v>2.0152239999999999</v>
      </c>
      <c r="H1913" s="14">
        <v>0.18929699999999999</v>
      </c>
      <c r="R1913" s="11">
        <f t="shared" si="60"/>
        <v>9.7167913835455246E-4</v>
      </c>
      <c r="Z1913" s="11">
        <f t="shared" si="59"/>
        <v>1.2439522939168886E-3</v>
      </c>
    </row>
    <row r="1914" spans="1:26" x14ac:dyDescent="0.2">
      <c r="A1914" s="45">
        <v>345</v>
      </c>
      <c r="B1914" s="45">
        <v>1997</v>
      </c>
      <c r="C1914" s="17">
        <v>0</v>
      </c>
      <c r="D1914" s="14">
        <v>7.7552399999999994E-2</v>
      </c>
      <c r="E1914" s="14">
        <v>0.49197970000000002</v>
      </c>
      <c r="F1914" s="14">
        <v>4.7125599999999997E-2</v>
      </c>
      <c r="G1914" s="14">
        <v>1.8369519999999999</v>
      </c>
      <c r="H1914" s="14">
        <v>0.13245219999999999</v>
      </c>
      <c r="R1914" s="11">
        <f t="shared" si="60"/>
        <v>1.4094552007960326E-3</v>
      </c>
      <c r="Z1914" s="11">
        <f t="shared" si="59"/>
        <v>1.7914086058682277E-3</v>
      </c>
    </row>
    <row r="1915" spans="1:26" x14ac:dyDescent="0.2">
      <c r="A1915" s="45">
        <v>345</v>
      </c>
      <c r="B1915" s="45">
        <v>1998</v>
      </c>
      <c r="C1915" s="17">
        <v>0</v>
      </c>
      <c r="D1915" s="14">
        <v>0.1015321</v>
      </c>
      <c r="E1915" s="14">
        <v>0.4450887</v>
      </c>
      <c r="F1915" s="14">
        <v>-0.1002566</v>
      </c>
      <c r="G1915" s="14">
        <v>0.93077209999999999</v>
      </c>
      <c r="H1915" s="14">
        <v>0.1778825</v>
      </c>
      <c r="R1915" s="11">
        <f t="shared" si="60"/>
        <v>2.0393013831680108E-2</v>
      </c>
      <c r="Z1915" s="11">
        <f t="shared" si="59"/>
        <v>2.3333879865504878E-2</v>
      </c>
    </row>
    <row r="1916" spans="1:26" x14ac:dyDescent="0.2">
      <c r="A1916" s="45">
        <v>345</v>
      </c>
      <c r="B1916" s="45">
        <v>1999</v>
      </c>
      <c r="C1916" s="17">
        <v>0</v>
      </c>
      <c r="D1916" s="14">
        <v>9.25314E-2</v>
      </c>
      <c r="E1916" s="14">
        <v>0.1389039</v>
      </c>
      <c r="F1916" s="14">
        <v>6.4113799999999999E-2</v>
      </c>
      <c r="G1916" s="14">
        <v>1.2463960000000001</v>
      </c>
      <c r="H1916" s="14">
        <v>0.16940540000000001</v>
      </c>
      <c r="R1916" s="11">
        <f t="shared" si="60"/>
        <v>5.248529014061064E-3</v>
      </c>
      <c r="Z1916" s="11">
        <f t="shared" si="59"/>
        <v>6.7627790657444758E-3</v>
      </c>
    </row>
    <row r="1917" spans="1:26" x14ac:dyDescent="0.2">
      <c r="A1917" s="45">
        <v>345</v>
      </c>
      <c r="B1917" s="45">
        <v>2000</v>
      </c>
      <c r="C1917" s="17">
        <v>0</v>
      </c>
      <c r="D1917" s="14">
        <v>1.8805200000000001E-2</v>
      </c>
      <c r="E1917" s="14">
        <v>0.21228520000000001</v>
      </c>
      <c r="F1917" s="14">
        <v>8.0737600000000007E-2</v>
      </c>
      <c r="G1917" s="14">
        <v>1.286294</v>
      </c>
      <c r="H1917" s="14">
        <v>0.19232350000000001</v>
      </c>
      <c r="R1917" s="11">
        <f t="shared" si="60"/>
        <v>3.880902908451396E-3</v>
      </c>
      <c r="Z1917" s="11">
        <f t="shared" si="59"/>
        <v>5.07911396017309E-3</v>
      </c>
    </row>
    <row r="1918" spans="1:26" x14ac:dyDescent="0.2">
      <c r="A1918" s="45">
        <v>345</v>
      </c>
      <c r="B1918" s="45">
        <v>2001</v>
      </c>
      <c r="C1918" s="17">
        <v>0</v>
      </c>
      <c r="D1918" s="14">
        <v>4.6012900000000002E-2</v>
      </c>
      <c r="E1918" s="14">
        <v>0.16912269999999999</v>
      </c>
      <c r="F1918" s="14">
        <v>1.6549899999999999E-2</v>
      </c>
      <c r="G1918" s="14">
        <v>0.73830859999999998</v>
      </c>
      <c r="H1918" s="14">
        <v>0.1066737</v>
      </c>
      <c r="R1918" s="11">
        <f t="shared" si="60"/>
        <v>1.6329266470684577E-2</v>
      </c>
      <c r="Z1918" s="11">
        <f t="shared" si="59"/>
        <v>2.0430460183390873E-2</v>
      </c>
    </row>
    <row r="1919" spans="1:26" x14ac:dyDescent="0.2">
      <c r="A1919" s="45">
        <v>345</v>
      </c>
      <c r="B1919" s="45">
        <v>2002</v>
      </c>
      <c r="C1919" s="17">
        <v>0</v>
      </c>
      <c r="D1919" s="14">
        <v>2.9131000000000001E-3</v>
      </c>
      <c r="E1919" s="14">
        <v>0.1095641</v>
      </c>
      <c r="F1919" s="14">
        <v>8.6868999999999991E-3</v>
      </c>
      <c r="G1919" s="14">
        <v>0.6329439</v>
      </c>
      <c r="H1919" s="14">
        <v>0.12995989999999999</v>
      </c>
      <c r="R1919" s="11">
        <f t="shared" si="60"/>
        <v>2.2293211145826265E-2</v>
      </c>
      <c r="Z1919" s="11">
        <f t="shared" si="59"/>
        <v>2.7683409851697389E-2</v>
      </c>
    </row>
    <row r="1920" spans="1:26" x14ac:dyDescent="0.2">
      <c r="A1920" s="45">
        <v>345</v>
      </c>
      <c r="B1920" s="45">
        <v>2003</v>
      </c>
      <c r="C1920" s="17">
        <v>0</v>
      </c>
      <c r="D1920" s="14">
        <v>-2.60488E-2</v>
      </c>
      <c r="E1920" s="14">
        <v>0.1179318</v>
      </c>
      <c r="F1920" s="14">
        <v>5.8824300000000003E-2</v>
      </c>
      <c r="G1920" s="14">
        <v>0.65524660000000001</v>
      </c>
      <c r="H1920" s="14">
        <v>0.13378290000000001</v>
      </c>
      <c r="R1920" s="11">
        <f t="shared" si="60"/>
        <v>1.4348068804475117E-2</v>
      </c>
      <c r="Z1920" s="11">
        <f t="shared" si="59"/>
        <v>1.8583639087843704E-2</v>
      </c>
    </row>
    <row r="1921" spans="1:26" x14ac:dyDescent="0.2">
      <c r="A1921" s="45">
        <v>345</v>
      </c>
      <c r="B1921" s="45">
        <v>2004</v>
      </c>
      <c r="C1921" s="17">
        <v>0</v>
      </c>
      <c r="D1921" s="14">
        <v>-1.02419E-2</v>
      </c>
      <c r="E1921" s="14">
        <v>9.5400399999999996E-2</v>
      </c>
      <c r="F1921" s="14">
        <v>4.76882E-2</v>
      </c>
      <c r="G1921" s="14">
        <v>0.97322019999999998</v>
      </c>
      <c r="H1921" s="14">
        <v>0.13410130000000001</v>
      </c>
      <c r="R1921" s="11">
        <f t="shared" si="60"/>
        <v>9.8092734726137176E-3</v>
      </c>
      <c r="Z1921" s="11">
        <f t="shared" si="59"/>
        <v>1.2511712921915186E-2</v>
      </c>
    </row>
    <row r="1922" spans="1:26" x14ac:dyDescent="0.2">
      <c r="A1922" s="45">
        <v>346</v>
      </c>
      <c r="B1922" s="45">
        <v>1995</v>
      </c>
      <c r="C1922" s="17">
        <v>0</v>
      </c>
      <c r="D1922" s="14">
        <v>-5.8897999999999997E-3</v>
      </c>
      <c r="E1922" s="14">
        <v>-0.28355740000000001</v>
      </c>
      <c r="F1922" s="14">
        <v>3.6548999999999998E-2</v>
      </c>
      <c r="G1922" s="14">
        <v>0.29334569999999999</v>
      </c>
      <c r="H1922" s="14">
        <v>0.4127922</v>
      </c>
      <c r="R1922" s="11">
        <f t="shared" si="60"/>
        <v>5.2599778764003222E-2</v>
      </c>
      <c r="Z1922" s="11">
        <f t="shared" ref="Z1922:Z1985" si="61">1/(1+EXP(-(U$2+$V$2*E1922+$W$2*F1922+$X$2*G1922)))</f>
        <v>6.5860429692624609E-2</v>
      </c>
    </row>
    <row r="1923" spans="1:26" x14ac:dyDescent="0.2">
      <c r="A1923" s="45">
        <v>346</v>
      </c>
      <c r="B1923" s="45">
        <v>1996</v>
      </c>
      <c r="C1923" s="17">
        <v>0</v>
      </c>
      <c r="D1923" s="14">
        <v>-4.1586900000000003E-2</v>
      </c>
      <c r="E1923" s="14">
        <v>-5.7804899999999999E-2</v>
      </c>
      <c r="F1923" s="14">
        <v>2.7237500000000001E-2</v>
      </c>
      <c r="G1923" s="14">
        <v>0.31547930000000002</v>
      </c>
      <c r="H1923" s="14">
        <v>0.28462779999999999</v>
      </c>
      <c r="R1923" s="11">
        <f t="shared" si="60"/>
        <v>3.9923523163829661E-2</v>
      </c>
      <c r="Z1923" s="11">
        <f t="shared" si="61"/>
        <v>5.0139421040805147E-2</v>
      </c>
    </row>
    <row r="1924" spans="1:26" x14ac:dyDescent="0.2">
      <c r="A1924" s="45">
        <v>346</v>
      </c>
      <c r="B1924" s="45">
        <v>1997</v>
      </c>
      <c r="C1924" s="17">
        <v>0</v>
      </c>
      <c r="D1924" s="14">
        <v>0.1846439</v>
      </c>
      <c r="E1924" s="14">
        <v>7.8883000000000009E-3</v>
      </c>
      <c r="F1924" s="14">
        <v>4.2542400000000001E-2</v>
      </c>
      <c r="G1924" s="14">
        <v>0.37021369999999998</v>
      </c>
      <c r="H1924" s="14">
        <v>0.23420450000000001</v>
      </c>
      <c r="R1924" s="11">
        <f t="shared" si="60"/>
        <v>2.9735827672210721E-2</v>
      </c>
      <c r="Z1924" s="11">
        <f t="shared" si="61"/>
        <v>3.7939506811754557E-2</v>
      </c>
    </row>
    <row r="1925" spans="1:26" x14ac:dyDescent="0.2">
      <c r="A1925" s="45">
        <v>346</v>
      </c>
      <c r="B1925" s="45">
        <v>1998</v>
      </c>
      <c r="C1925" s="17">
        <v>0</v>
      </c>
      <c r="D1925" s="14">
        <v>2.7547200000000001E-2</v>
      </c>
      <c r="E1925" s="14">
        <v>6.8865000000000003E-3</v>
      </c>
      <c r="F1925" s="14">
        <v>2.8640800000000001E-2</v>
      </c>
      <c r="G1925" s="14">
        <v>0.2720245</v>
      </c>
      <c r="H1925" s="14">
        <v>0.22568270000000001</v>
      </c>
      <c r="R1925" s="11">
        <f t="shared" si="60"/>
        <v>3.856485892395968E-2</v>
      </c>
      <c r="Z1925" s="11">
        <f t="shared" si="61"/>
        <v>4.8650405087321553E-2</v>
      </c>
    </row>
    <row r="1926" spans="1:26" x14ac:dyDescent="0.2">
      <c r="A1926" s="45">
        <v>346</v>
      </c>
      <c r="B1926" s="45">
        <v>1999</v>
      </c>
      <c r="C1926" s="17">
        <v>0</v>
      </c>
      <c r="D1926" s="14">
        <v>3.4269999999999999E-3</v>
      </c>
      <c r="E1926" s="14">
        <v>-1.54799E-2</v>
      </c>
      <c r="F1926" s="14">
        <v>3.1400299999999999E-2</v>
      </c>
      <c r="G1926" s="14">
        <v>0.1767521</v>
      </c>
      <c r="H1926" s="14">
        <v>0.21088870000000001</v>
      </c>
      <c r="R1926" s="11">
        <f t="shared" si="60"/>
        <v>4.5053171201377237E-2</v>
      </c>
      <c r="Z1926" s="11">
        <f t="shared" si="61"/>
        <v>5.6928029294789767E-2</v>
      </c>
    </row>
    <row r="1927" spans="1:26" x14ac:dyDescent="0.2">
      <c r="A1927" s="45">
        <v>346</v>
      </c>
      <c r="B1927" s="45">
        <v>2000</v>
      </c>
      <c r="C1927" s="17">
        <v>0</v>
      </c>
      <c r="D1927" s="14">
        <v>-5.5793500000000003E-2</v>
      </c>
      <c r="E1927" s="14">
        <v>-6.7352400000000007E-2</v>
      </c>
      <c r="F1927" s="14">
        <v>-4.8051999999999999E-3</v>
      </c>
      <c r="G1927" s="14">
        <v>8.3462499999999995E-2</v>
      </c>
      <c r="H1927" s="14">
        <v>0.19193830000000001</v>
      </c>
      <c r="R1927" s="11">
        <f t="shared" si="60"/>
        <v>7.3093524861185866E-2</v>
      </c>
      <c r="Z1927" s="11">
        <f t="shared" si="61"/>
        <v>8.9231339316770311E-2</v>
      </c>
    </row>
    <row r="1928" spans="1:26" x14ac:dyDescent="0.2">
      <c r="A1928" s="45">
        <v>346</v>
      </c>
      <c r="B1928" s="45">
        <v>2001</v>
      </c>
      <c r="C1928" s="17">
        <v>0</v>
      </c>
      <c r="D1928" s="14">
        <v>-4.7099299999999997E-2</v>
      </c>
      <c r="E1928" s="14">
        <v>-0.1323993</v>
      </c>
      <c r="F1928" s="14">
        <v>2.2043400000000001E-2</v>
      </c>
      <c r="G1928" s="14">
        <v>5.9205399999999998E-2</v>
      </c>
      <c r="H1928" s="14">
        <v>0.1932633</v>
      </c>
      <c r="R1928" s="11">
        <f t="shared" si="60"/>
        <v>6.7758567116899815E-2</v>
      </c>
      <c r="Z1928" s="11">
        <f t="shared" si="61"/>
        <v>8.4379903047339194E-2</v>
      </c>
    </row>
    <row r="1929" spans="1:26" x14ac:dyDescent="0.2">
      <c r="A1929" s="45">
        <v>347</v>
      </c>
      <c r="B1929" s="45">
        <v>1995</v>
      </c>
      <c r="C1929" s="17">
        <v>0</v>
      </c>
      <c r="D1929" s="14">
        <v>3.3318300000000002E-2</v>
      </c>
      <c r="E1929" s="14">
        <v>0.30190090000000003</v>
      </c>
      <c r="F1929" s="14">
        <v>6.3475900000000002E-2</v>
      </c>
      <c r="G1929" s="14">
        <v>3.018475</v>
      </c>
      <c r="H1929" s="14">
        <v>0.32344440000000002</v>
      </c>
      <c r="R1929" s="11">
        <f t="shared" si="60"/>
        <v>2.4835119687975307E-4</v>
      </c>
      <c r="Z1929" s="11">
        <f t="shared" si="61"/>
        <v>3.0977072156702207E-4</v>
      </c>
    </row>
    <row r="1930" spans="1:26" x14ac:dyDescent="0.2">
      <c r="A1930" s="45">
        <v>347</v>
      </c>
      <c r="B1930" s="45">
        <v>1996</v>
      </c>
      <c r="C1930" s="17">
        <v>0</v>
      </c>
      <c r="D1930" s="14">
        <v>1.02133E-2</v>
      </c>
      <c r="E1930" s="14">
        <v>0.3601743</v>
      </c>
      <c r="F1930" s="14">
        <v>7.5184699999999993E-2</v>
      </c>
      <c r="G1930" s="14">
        <v>3.6778870000000001</v>
      </c>
      <c r="H1930" s="14">
        <v>0.3065544</v>
      </c>
      <c r="R1930" s="11">
        <f t="shared" si="60"/>
        <v>7.2660239333497301E-5</v>
      </c>
      <c r="Z1930" s="11">
        <f t="shared" si="61"/>
        <v>9.036893460558685E-5</v>
      </c>
    </row>
    <row r="1931" spans="1:26" x14ac:dyDescent="0.2">
      <c r="A1931" s="45">
        <v>347</v>
      </c>
      <c r="B1931" s="45">
        <v>1997</v>
      </c>
      <c r="C1931" s="17">
        <v>0</v>
      </c>
      <c r="D1931" s="14">
        <v>2.1591099999999998E-2</v>
      </c>
      <c r="E1931" s="14">
        <v>0.3752935</v>
      </c>
      <c r="F1931" s="14">
        <v>6.5762200000000007E-2</v>
      </c>
      <c r="G1931" s="14">
        <v>3.8677009999999998</v>
      </c>
      <c r="H1931" s="14">
        <v>0.30403360000000001</v>
      </c>
      <c r="R1931" s="11">
        <f t="shared" si="60"/>
        <v>5.6639768374656014E-5</v>
      </c>
      <c r="Z1931" s="11">
        <f t="shared" si="61"/>
        <v>6.9646815060301644E-5</v>
      </c>
    </row>
    <row r="1932" spans="1:26" x14ac:dyDescent="0.2">
      <c r="A1932" s="45">
        <v>347</v>
      </c>
      <c r="B1932" s="45">
        <v>1998</v>
      </c>
      <c r="C1932" s="17">
        <v>0</v>
      </c>
      <c r="D1932" s="14">
        <v>1.1305E-3</v>
      </c>
      <c r="E1932" s="14">
        <v>0.42032760000000002</v>
      </c>
      <c r="F1932" s="14">
        <v>5.7514799999999998E-2</v>
      </c>
      <c r="G1932" s="14">
        <v>3.8951829999999998</v>
      </c>
      <c r="H1932" s="14">
        <v>0.29099000000000003</v>
      </c>
      <c r="R1932" s="11">
        <f t="shared" si="60"/>
        <v>5.4239506011283615E-5</v>
      </c>
      <c r="Z1932" s="11">
        <f t="shared" si="61"/>
        <v>6.6308236151852484E-5</v>
      </c>
    </row>
    <row r="1933" spans="1:26" x14ac:dyDescent="0.2">
      <c r="A1933" s="45">
        <v>347</v>
      </c>
      <c r="B1933" s="45">
        <v>1999</v>
      </c>
      <c r="C1933" s="17">
        <v>0</v>
      </c>
      <c r="D1933" s="14">
        <v>-4.6232000000000001E-3</v>
      </c>
      <c r="E1933" s="14">
        <v>0.46099030000000002</v>
      </c>
      <c r="F1933" s="14">
        <v>7.2642100000000001E-2</v>
      </c>
      <c r="G1933" s="14">
        <v>4.6393750000000002</v>
      </c>
      <c r="H1933" s="14">
        <v>0.29591519999999999</v>
      </c>
      <c r="R1933" s="11">
        <f t="shared" si="60"/>
        <v>1.3837486185790486E-5</v>
      </c>
      <c r="Z1933" s="11">
        <f t="shared" si="61"/>
        <v>1.6872758837243808E-5</v>
      </c>
    </row>
    <row r="1934" spans="1:26" x14ac:dyDescent="0.2">
      <c r="A1934" s="45">
        <v>347</v>
      </c>
      <c r="B1934" s="45">
        <v>2000</v>
      </c>
      <c r="C1934" s="17">
        <v>0</v>
      </c>
      <c r="D1934" s="14">
        <v>-1.3990499999999999E-2</v>
      </c>
      <c r="E1934" s="14">
        <v>0.49014829999999998</v>
      </c>
      <c r="F1934" s="14">
        <v>9.2943700000000004E-2</v>
      </c>
      <c r="G1934" s="14">
        <v>4.3939320000000004</v>
      </c>
      <c r="H1934" s="14">
        <v>0.27534389999999997</v>
      </c>
      <c r="R1934" s="11">
        <f t="shared" si="60"/>
        <v>1.6671905019618444E-5</v>
      </c>
      <c r="Z1934" s="11">
        <f t="shared" si="61"/>
        <v>2.0802820764699679E-5</v>
      </c>
    </row>
    <row r="1935" spans="1:26" x14ac:dyDescent="0.2">
      <c r="A1935" s="45">
        <v>347</v>
      </c>
      <c r="B1935" s="45">
        <v>2001</v>
      </c>
      <c r="C1935" s="17">
        <v>0</v>
      </c>
      <c r="D1935" s="14">
        <v>4.9481999999999998E-3</v>
      </c>
      <c r="E1935" s="14">
        <v>0.51445099999999999</v>
      </c>
      <c r="F1935" s="14">
        <v>6.6588999999999995E-2</v>
      </c>
      <c r="G1935" s="14">
        <v>3.3774489999999999</v>
      </c>
      <c r="H1935" s="14">
        <v>0.25704490000000002</v>
      </c>
      <c r="R1935" s="11">
        <f t="shared" si="60"/>
        <v>1.0038159381570798E-4</v>
      </c>
      <c r="Z1935" s="11">
        <f t="shared" si="61"/>
        <v>1.2545359499532388E-4</v>
      </c>
    </row>
    <row r="1936" spans="1:26" x14ac:dyDescent="0.2">
      <c r="A1936" s="45">
        <v>347</v>
      </c>
      <c r="B1936" s="45">
        <v>2002</v>
      </c>
      <c r="C1936" s="17">
        <v>0</v>
      </c>
      <c r="D1936" s="14">
        <v>5.3287800000000003E-2</v>
      </c>
      <c r="E1936" s="14">
        <v>0.53420480000000004</v>
      </c>
      <c r="F1936" s="14">
        <v>7.6334200000000005E-2</v>
      </c>
      <c r="G1936" s="14">
        <v>2.5020660000000001</v>
      </c>
      <c r="H1936" s="14">
        <v>0.25170880000000001</v>
      </c>
      <c r="R1936" s="11">
        <f t="shared" si="60"/>
        <v>3.6396060498364167E-4</v>
      </c>
      <c r="Z1936" s="11">
        <f t="shared" si="61"/>
        <v>4.677183391032116E-4</v>
      </c>
    </row>
    <row r="1937" spans="1:26" x14ac:dyDescent="0.2">
      <c r="A1937" s="45">
        <v>347</v>
      </c>
      <c r="B1937" s="45">
        <v>2004</v>
      </c>
      <c r="C1937" s="17">
        <v>0</v>
      </c>
      <c r="D1937" s="14">
        <v>4.4463500000000003E-2</v>
      </c>
      <c r="E1937" s="14">
        <v>0.65808770000000005</v>
      </c>
      <c r="F1937" s="14">
        <v>6.6400500000000001E-2</v>
      </c>
      <c r="G1937" s="14">
        <v>3.1173259999999998</v>
      </c>
      <c r="H1937" s="14">
        <v>0.25814419999999999</v>
      </c>
      <c r="R1937" s="11">
        <f t="shared" si="60"/>
        <v>1.2348792206871463E-4</v>
      </c>
      <c r="Z1937" s="11">
        <f t="shared" si="61"/>
        <v>1.5595852253449396E-4</v>
      </c>
    </row>
    <row r="1938" spans="1:26" x14ac:dyDescent="0.2">
      <c r="A1938" s="45">
        <v>348</v>
      </c>
      <c r="B1938" s="45">
        <v>1995</v>
      </c>
      <c r="C1938" s="17">
        <v>0</v>
      </c>
      <c r="D1938" s="14">
        <v>3.6784799999999999E-2</v>
      </c>
      <c r="E1938" s="14">
        <v>0.30178389999999999</v>
      </c>
      <c r="F1938" s="14">
        <v>5.3466899999999998E-2</v>
      </c>
      <c r="G1938" s="14">
        <v>1.628085</v>
      </c>
      <c r="H1938" s="14">
        <v>0.26735150000000002</v>
      </c>
      <c r="R1938" s="11">
        <f t="shared" si="60"/>
        <v>2.461626872465799E-3</v>
      </c>
      <c r="Z1938" s="11">
        <f t="shared" si="61"/>
        <v>3.1380574693625402E-3</v>
      </c>
    </row>
    <row r="1939" spans="1:26" x14ac:dyDescent="0.2">
      <c r="A1939" s="45">
        <v>348</v>
      </c>
      <c r="B1939" s="45">
        <v>1996</v>
      </c>
      <c r="C1939" s="17">
        <v>0</v>
      </c>
      <c r="D1939" s="14">
        <v>4.5137499999999997E-2</v>
      </c>
      <c r="E1939" s="14">
        <v>0.31199769999999999</v>
      </c>
      <c r="F1939" s="14">
        <v>8.5207599999999994E-2</v>
      </c>
      <c r="G1939" s="14">
        <v>2.054916</v>
      </c>
      <c r="H1939" s="14">
        <v>0.25971159999999999</v>
      </c>
      <c r="R1939" s="11">
        <f t="shared" si="60"/>
        <v>9.5445953989399047E-4</v>
      </c>
      <c r="Z1939" s="11">
        <f t="shared" si="61"/>
        <v>1.2380461260804668E-3</v>
      </c>
    </row>
    <row r="1940" spans="1:26" x14ac:dyDescent="0.2">
      <c r="A1940" s="45">
        <v>348</v>
      </c>
      <c r="B1940" s="45">
        <v>1997</v>
      </c>
      <c r="C1940" s="17">
        <v>0</v>
      </c>
      <c r="D1940" s="14">
        <v>5.2586300000000002E-2</v>
      </c>
      <c r="E1940" s="14">
        <v>0.18842449999999999</v>
      </c>
      <c r="F1940" s="14">
        <v>5.7665300000000003E-2</v>
      </c>
      <c r="G1940" s="14">
        <v>1.542424</v>
      </c>
      <c r="H1940" s="14">
        <v>0.21695449999999999</v>
      </c>
      <c r="R1940" s="11">
        <f t="shared" si="60"/>
        <v>3.2149747380202558E-3</v>
      </c>
      <c r="Z1940" s="11">
        <f t="shared" si="61"/>
        <v>4.103457221521941E-3</v>
      </c>
    </row>
    <row r="1941" spans="1:26" x14ac:dyDescent="0.2">
      <c r="A1941" s="45">
        <v>348</v>
      </c>
      <c r="B1941" s="45">
        <v>1998</v>
      </c>
      <c r="C1941" s="17">
        <v>0</v>
      </c>
      <c r="D1941" s="14">
        <v>3.6958999999999998E-3</v>
      </c>
      <c r="E1941" s="14">
        <v>0.1975036</v>
      </c>
      <c r="F1941" s="14">
        <v>5.3207999999999998E-2</v>
      </c>
      <c r="G1941" s="14">
        <v>1.5730740000000001</v>
      </c>
      <c r="H1941" s="14">
        <v>0.20394689999999999</v>
      </c>
      <c r="R1941" s="11">
        <f t="shared" si="60"/>
        <v>3.1315014486438314E-3</v>
      </c>
      <c r="Z1941" s="11">
        <f t="shared" si="61"/>
        <v>3.9810463984068945E-3</v>
      </c>
    </row>
    <row r="1942" spans="1:26" x14ac:dyDescent="0.2">
      <c r="A1942" s="45">
        <v>348</v>
      </c>
      <c r="B1942" s="45">
        <v>1999</v>
      </c>
      <c r="C1942" s="17">
        <v>0</v>
      </c>
      <c r="D1942" s="14">
        <v>5.9231499999999999E-2</v>
      </c>
      <c r="E1942" s="14">
        <v>0.22676470000000001</v>
      </c>
      <c r="F1942" s="14">
        <v>8.0111699999999994E-2</v>
      </c>
      <c r="G1942" s="14">
        <v>2.1022090000000002</v>
      </c>
      <c r="H1942" s="14">
        <v>0.2348769</v>
      </c>
      <c r="R1942" s="11">
        <f t="shared" si="60"/>
        <v>1.0435495113625558E-3</v>
      </c>
      <c r="Z1942" s="11">
        <f t="shared" si="61"/>
        <v>1.3426117755320334E-3</v>
      </c>
    </row>
    <row r="1943" spans="1:26" x14ac:dyDescent="0.2">
      <c r="A1943" s="45">
        <v>348</v>
      </c>
      <c r="B1943" s="45">
        <v>2000</v>
      </c>
      <c r="C1943" s="17">
        <v>0</v>
      </c>
      <c r="D1943" s="14">
        <v>5.3358599999999999E-2</v>
      </c>
      <c r="E1943" s="14">
        <v>0.1712959</v>
      </c>
      <c r="F1943" s="14">
        <v>8.6955500000000005E-2</v>
      </c>
      <c r="G1943" s="14">
        <v>1.6227</v>
      </c>
      <c r="H1943" s="14">
        <v>0.2468101</v>
      </c>
      <c r="R1943" s="11">
        <f t="shared" ref="R1943:R2006" si="62">1/(1+EXP(-(K$2+$M$2*E1943+$N$2*F1943+$O$2*G1943)))</f>
        <v>2.2965875388941243E-3</v>
      </c>
      <c r="Z1943" s="11">
        <f t="shared" si="61"/>
        <v>2.9960040218863582E-3</v>
      </c>
    </row>
    <row r="1944" spans="1:26" x14ac:dyDescent="0.2">
      <c r="A1944" s="45">
        <v>348</v>
      </c>
      <c r="B1944" s="45">
        <v>2001</v>
      </c>
      <c r="C1944" s="17">
        <v>0</v>
      </c>
      <c r="D1944" s="14">
        <v>3.5095300000000003E-2</v>
      </c>
      <c r="E1944" s="14">
        <v>0.18578359999999999</v>
      </c>
      <c r="F1944" s="14">
        <v>6.5821099999999994E-2</v>
      </c>
      <c r="G1944" s="14">
        <v>2.0953759999999999</v>
      </c>
      <c r="H1944" s="14">
        <v>0.1946494</v>
      </c>
      <c r="R1944" s="11">
        <f t="shared" si="62"/>
        <v>1.2550857144321501E-3</v>
      </c>
      <c r="Z1944" s="11">
        <f t="shared" si="61"/>
        <v>1.5939013738598819E-3</v>
      </c>
    </row>
    <row r="1945" spans="1:26" x14ac:dyDescent="0.2">
      <c r="A1945" s="45">
        <v>348</v>
      </c>
      <c r="B1945" s="45">
        <v>2002</v>
      </c>
      <c r="C1945" s="17">
        <v>0</v>
      </c>
      <c r="D1945" s="14">
        <v>4.7306800000000003E-2</v>
      </c>
      <c r="E1945" s="14">
        <v>0.13815849999999999</v>
      </c>
      <c r="F1945" s="14">
        <v>6.6087800000000002E-2</v>
      </c>
      <c r="G1945" s="14">
        <v>1.9638040000000001</v>
      </c>
      <c r="H1945" s="14">
        <v>0.2054</v>
      </c>
      <c r="R1945" s="11">
        <f t="shared" si="62"/>
        <v>1.6546518551813739E-3</v>
      </c>
      <c r="Z1945" s="11">
        <f t="shared" si="61"/>
        <v>2.1042180829379956E-3</v>
      </c>
    </row>
    <row r="1946" spans="1:26" x14ac:dyDescent="0.2">
      <c r="A1946" s="45">
        <v>348</v>
      </c>
      <c r="B1946" s="45">
        <v>2003</v>
      </c>
      <c r="C1946" s="17">
        <v>0</v>
      </c>
      <c r="D1946" s="14">
        <v>5.46402E-2</v>
      </c>
      <c r="E1946" s="14">
        <v>0.12489790000000001</v>
      </c>
      <c r="F1946" s="14">
        <v>7.3633500000000005E-2</v>
      </c>
      <c r="G1946" s="14">
        <v>2.3882819999999998</v>
      </c>
      <c r="H1946" s="14">
        <v>0.2192723</v>
      </c>
      <c r="R1946" s="11">
        <f t="shared" si="62"/>
        <v>8.0808763725772237E-4</v>
      </c>
      <c r="Z1946" s="11">
        <f t="shared" si="61"/>
        <v>1.0241733401986587E-3</v>
      </c>
    </row>
    <row r="1947" spans="1:26" x14ac:dyDescent="0.2">
      <c r="A1947" s="45">
        <v>348</v>
      </c>
      <c r="B1947" s="45">
        <v>2004</v>
      </c>
      <c r="C1947" s="17">
        <v>0</v>
      </c>
      <c r="D1947" s="14">
        <v>5.6349999999999997E-2</v>
      </c>
      <c r="E1947" s="14">
        <v>0.1052987</v>
      </c>
      <c r="F1947" s="14">
        <v>7.1097599999999997E-2</v>
      </c>
      <c r="G1947" s="14">
        <v>1.8911549999999999</v>
      </c>
      <c r="H1947" s="14">
        <v>0.22037909999999999</v>
      </c>
      <c r="R1947" s="11">
        <f t="shared" si="62"/>
        <v>1.8717079440131699E-3</v>
      </c>
      <c r="Z1947" s="11">
        <f t="shared" si="61"/>
        <v>2.3910072301027434E-3</v>
      </c>
    </row>
    <row r="1948" spans="1:26" x14ac:dyDescent="0.2">
      <c r="A1948" s="45">
        <v>349</v>
      </c>
      <c r="B1948" s="45">
        <v>1995</v>
      </c>
      <c r="C1948" s="17">
        <v>0</v>
      </c>
      <c r="D1948" s="14">
        <v>0.2199554</v>
      </c>
      <c r="E1948" s="14">
        <v>-0.1047371</v>
      </c>
      <c r="F1948" s="14">
        <v>5.7938499999999997E-2</v>
      </c>
      <c r="G1948" s="14">
        <v>0.96686349999999999</v>
      </c>
      <c r="H1948" s="14">
        <v>0.46017659999999999</v>
      </c>
      <c r="R1948" s="11">
        <f t="shared" si="62"/>
        <v>1.2183335198939198E-2</v>
      </c>
      <c r="Z1948" s="11">
        <f t="shared" si="61"/>
        <v>1.5555305862318279E-2</v>
      </c>
    </row>
    <row r="1949" spans="1:26" x14ac:dyDescent="0.2">
      <c r="A1949" s="45">
        <v>349</v>
      </c>
      <c r="B1949" s="45">
        <v>1996</v>
      </c>
      <c r="C1949" s="17">
        <v>0</v>
      </c>
      <c r="D1949" s="14">
        <v>0.2144143</v>
      </c>
      <c r="E1949" s="14">
        <v>-4.2503600000000002E-2</v>
      </c>
      <c r="F1949" s="14">
        <v>5.9889100000000001E-2</v>
      </c>
      <c r="G1949" s="14">
        <v>0.93135120000000005</v>
      </c>
      <c r="H1949" s="14">
        <v>0.45829910000000001</v>
      </c>
      <c r="R1949" s="11">
        <f t="shared" si="62"/>
        <v>1.160177434369588E-2</v>
      </c>
      <c r="Z1949" s="11">
        <f t="shared" si="61"/>
        <v>1.488123145897967E-2</v>
      </c>
    </row>
    <row r="1950" spans="1:26" x14ac:dyDescent="0.2">
      <c r="A1950" s="45">
        <v>349</v>
      </c>
      <c r="B1950" s="45">
        <v>1997</v>
      </c>
      <c r="C1950" s="17">
        <v>0</v>
      </c>
      <c r="D1950" s="14">
        <v>0.2013865</v>
      </c>
      <c r="E1950" s="14">
        <v>9.9032400000000007E-2</v>
      </c>
      <c r="F1950" s="14">
        <v>6.5421499999999994E-2</v>
      </c>
      <c r="G1950" s="14">
        <v>1.7903960000000001</v>
      </c>
      <c r="H1950" s="14">
        <v>0.42746309999999998</v>
      </c>
      <c r="R1950" s="11">
        <f t="shared" si="62"/>
        <v>2.3198117918920794E-3</v>
      </c>
      <c r="Z1950" s="11">
        <f t="shared" si="61"/>
        <v>2.9552524356174829E-3</v>
      </c>
    </row>
    <row r="1951" spans="1:26" x14ac:dyDescent="0.2">
      <c r="A1951" s="45">
        <v>349</v>
      </c>
      <c r="B1951" s="45">
        <v>1998</v>
      </c>
      <c r="C1951" s="17">
        <v>0</v>
      </c>
      <c r="D1951" s="14">
        <v>0.22824939999999999</v>
      </c>
      <c r="E1951" s="14">
        <v>0.15675800000000001</v>
      </c>
      <c r="F1951" s="14">
        <v>6.2881099999999995E-2</v>
      </c>
      <c r="G1951" s="14">
        <v>1.4145030000000001</v>
      </c>
      <c r="H1951" s="14">
        <v>0.41336859999999997</v>
      </c>
      <c r="R1951" s="11">
        <f t="shared" si="62"/>
        <v>3.9560741181064053E-3</v>
      </c>
      <c r="Z1951" s="11">
        <f t="shared" si="61"/>
        <v>5.0785896326674745E-3</v>
      </c>
    </row>
    <row r="1952" spans="1:26" x14ac:dyDescent="0.2">
      <c r="A1952" s="45">
        <v>349</v>
      </c>
      <c r="B1952" s="45">
        <v>1999</v>
      </c>
      <c r="C1952" s="17">
        <v>0</v>
      </c>
      <c r="D1952" s="14">
        <v>0.1728364</v>
      </c>
      <c r="E1952" s="14">
        <v>0.13072320000000001</v>
      </c>
      <c r="F1952" s="14">
        <v>4.86404E-2</v>
      </c>
      <c r="G1952" s="14">
        <v>0.8316289</v>
      </c>
      <c r="H1952" s="14">
        <v>0.36352909999999999</v>
      </c>
      <c r="R1952" s="11">
        <f t="shared" si="62"/>
        <v>1.1567658211523411E-2</v>
      </c>
      <c r="Z1952" s="11">
        <f t="shared" si="61"/>
        <v>1.4821736350986468E-2</v>
      </c>
    </row>
    <row r="1953" spans="1:26" x14ac:dyDescent="0.2">
      <c r="A1953" s="45">
        <v>350</v>
      </c>
      <c r="B1953" s="45">
        <v>1995</v>
      </c>
      <c r="C1953" s="17">
        <v>0</v>
      </c>
      <c r="D1953" s="14">
        <v>-6.3846E-2</v>
      </c>
      <c r="E1953" s="14">
        <v>-0.35873759999999999</v>
      </c>
      <c r="F1953" s="14">
        <v>8.0672099999999997E-2</v>
      </c>
      <c r="G1953" s="14">
        <v>0.7273868</v>
      </c>
      <c r="H1953" s="14">
        <v>1.1982809999999999</v>
      </c>
      <c r="R1953" s="11">
        <f t="shared" si="62"/>
        <v>2.132488918961787E-2</v>
      </c>
      <c r="Z1953" s="11">
        <f t="shared" si="61"/>
        <v>2.7561938844479574E-2</v>
      </c>
    </row>
    <row r="1954" spans="1:26" x14ac:dyDescent="0.2">
      <c r="A1954" s="45">
        <v>350</v>
      </c>
      <c r="B1954" s="45">
        <v>1996</v>
      </c>
      <c r="C1954" s="17">
        <v>0</v>
      </c>
      <c r="D1954" s="14">
        <v>-3.3932900000000002E-2</v>
      </c>
      <c r="E1954" s="14">
        <v>-0.24014050000000001</v>
      </c>
      <c r="F1954" s="14">
        <v>7.8970200000000004E-2</v>
      </c>
      <c r="G1954" s="14">
        <v>0.86464050000000003</v>
      </c>
      <c r="H1954" s="14">
        <v>1.085815</v>
      </c>
      <c r="R1954" s="11">
        <f t="shared" si="62"/>
        <v>1.4717653324378112E-2</v>
      </c>
      <c r="Z1954" s="11">
        <f t="shared" si="61"/>
        <v>1.9053281342231828E-2</v>
      </c>
    </row>
    <row r="1955" spans="1:26" x14ac:dyDescent="0.2">
      <c r="A1955" s="45">
        <v>350</v>
      </c>
      <c r="B1955" s="45">
        <v>1997</v>
      </c>
      <c r="C1955" s="17">
        <v>0</v>
      </c>
      <c r="D1955" s="14">
        <v>-1.5794599999999999E-2</v>
      </c>
      <c r="E1955" s="14">
        <v>-0.16575139999999999</v>
      </c>
      <c r="F1955" s="14">
        <v>6.6106700000000004E-2</v>
      </c>
      <c r="G1955" s="14">
        <v>1.3502099999999999</v>
      </c>
      <c r="H1955" s="14">
        <v>1.0580000000000001</v>
      </c>
      <c r="R1955" s="11">
        <f t="shared" si="62"/>
        <v>6.8071677694782947E-3</v>
      </c>
      <c r="Z1955" s="11">
        <f t="shared" si="61"/>
        <v>8.6712416552357039E-3</v>
      </c>
    </row>
    <row r="1956" spans="1:26" x14ac:dyDescent="0.2">
      <c r="A1956" s="45">
        <v>350</v>
      </c>
      <c r="B1956" s="45">
        <v>1998</v>
      </c>
      <c r="C1956" s="17">
        <v>0</v>
      </c>
      <c r="D1956" s="14">
        <v>-4.4053599999999998E-2</v>
      </c>
      <c r="E1956" s="14">
        <v>-9.4616000000000006E-2</v>
      </c>
      <c r="F1956" s="14">
        <v>8.6015400000000006E-2</v>
      </c>
      <c r="G1956" s="14">
        <v>2.2177709999999999</v>
      </c>
      <c r="H1956" s="14">
        <v>1.130428</v>
      </c>
      <c r="R1956" s="11">
        <f t="shared" si="62"/>
        <v>1.3208315184697061E-3</v>
      </c>
      <c r="Z1956" s="11">
        <f t="shared" si="61"/>
        <v>1.6844924299749195E-3</v>
      </c>
    </row>
    <row r="1957" spans="1:26" x14ac:dyDescent="0.2">
      <c r="A1957" s="45">
        <v>350</v>
      </c>
      <c r="B1957" s="45">
        <v>1999</v>
      </c>
      <c r="C1957" s="17">
        <v>0</v>
      </c>
      <c r="D1957" s="14">
        <v>2.6142800000000001E-2</v>
      </c>
      <c r="E1957" s="14">
        <v>4.6127099999999997E-2</v>
      </c>
      <c r="F1957" s="14">
        <v>6.5608E-2</v>
      </c>
      <c r="G1957" s="14">
        <v>0.97690770000000005</v>
      </c>
      <c r="H1957" s="14">
        <v>0.65700970000000003</v>
      </c>
      <c r="R1957" s="11">
        <f t="shared" si="62"/>
        <v>9.083750192746964E-3</v>
      </c>
      <c r="Z1957" s="11">
        <f t="shared" si="61"/>
        <v>1.1737561566420045E-2</v>
      </c>
    </row>
    <row r="1958" spans="1:26" x14ac:dyDescent="0.2">
      <c r="A1958" s="45">
        <v>350</v>
      </c>
      <c r="B1958" s="45">
        <v>2000</v>
      </c>
      <c r="C1958" s="17">
        <v>0</v>
      </c>
      <c r="D1958" s="14">
        <v>1.7649600000000001E-2</v>
      </c>
      <c r="E1958" s="14">
        <v>8.6082000000000006E-2</v>
      </c>
      <c r="F1958" s="14">
        <v>7.0121900000000001E-2</v>
      </c>
      <c r="G1958" s="14">
        <v>1.3625689999999999</v>
      </c>
      <c r="H1958" s="14">
        <v>0.73484530000000003</v>
      </c>
      <c r="R1958" s="11">
        <f t="shared" si="62"/>
        <v>4.4921002068869648E-3</v>
      </c>
      <c r="Z1958" s="11">
        <f t="shared" si="61"/>
        <v>5.792584749957262E-3</v>
      </c>
    </row>
    <row r="1959" spans="1:26" x14ac:dyDescent="0.2">
      <c r="A1959" s="45">
        <v>350</v>
      </c>
      <c r="B1959" s="45">
        <v>2001</v>
      </c>
      <c r="C1959" s="17">
        <v>0</v>
      </c>
      <c r="D1959" s="14">
        <v>4.1135699999999997E-2</v>
      </c>
      <c r="E1959" s="14">
        <v>0.1431048</v>
      </c>
      <c r="F1959" s="14">
        <v>6.8371299999999996E-2</v>
      </c>
      <c r="G1959" s="14">
        <v>1.091045</v>
      </c>
      <c r="H1959" s="14">
        <v>0.66611050000000005</v>
      </c>
      <c r="R1959" s="11">
        <f t="shared" si="62"/>
        <v>6.4503937529576628E-3</v>
      </c>
      <c r="Z1959" s="11">
        <f t="shared" si="61"/>
        <v>8.3668275716868509E-3</v>
      </c>
    </row>
    <row r="1960" spans="1:26" x14ac:dyDescent="0.2">
      <c r="A1960" s="45">
        <v>350</v>
      </c>
      <c r="B1960" s="45">
        <v>2002</v>
      </c>
      <c r="C1960" s="17">
        <v>0</v>
      </c>
      <c r="D1960" s="14">
        <v>2.80824E-2</v>
      </c>
      <c r="E1960" s="14">
        <v>0.18439240000000001</v>
      </c>
      <c r="F1960" s="14">
        <v>7.69561E-2</v>
      </c>
      <c r="G1960" s="14">
        <v>0.73403359999999995</v>
      </c>
      <c r="H1960" s="14">
        <v>0.65360859999999998</v>
      </c>
      <c r="R1960" s="11">
        <f t="shared" si="62"/>
        <v>9.9822449756986013E-3</v>
      </c>
      <c r="Z1960" s="11">
        <f t="shared" si="61"/>
        <v>1.3144288398322414E-2</v>
      </c>
    </row>
    <row r="1961" spans="1:26" x14ac:dyDescent="0.2">
      <c r="A1961" s="45">
        <v>350</v>
      </c>
      <c r="B1961" s="45">
        <v>2003</v>
      </c>
      <c r="C1961" s="17">
        <v>0</v>
      </c>
      <c r="D1961" s="14">
        <v>2.9769E-2</v>
      </c>
      <c r="E1961" s="14">
        <v>0.2167897</v>
      </c>
      <c r="F1961" s="14">
        <v>6.3467300000000004E-2</v>
      </c>
      <c r="G1961" s="14">
        <v>0.87647850000000005</v>
      </c>
      <c r="H1961" s="14">
        <v>0.68250330000000003</v>
      </c>
      <c r="R1961" s="11">
        <f t="shared" si="62"/>
        <v>8.4666063817410223E-3</v>
      </c>
      <c r="Z1961" s="11">
        <f t="shared" si="61"/>
        <v>1.1010573177164253E-2</v>
      </c>
    </row>
    <row r="1962" spans="1:26" x14ac:dyDescent="0.2">
      <c r="A1962" s="45">
        <v>350</v>
      </c>
      <c r="B1962" s="45">
        <v>2004</v>
      </c>
      <c r="C1962" s="17">
        <v>0</v>
      </c>
      <c r="D1962" s="14">
        <v>2.12462E-2</v>
      </c>
      <c r="E1962" s="14">
        <v>0.18874589999999999</v>
      </c>
      <c r="F1962" s="14">
        <v>5.9909799999999999E-2</v>
      </c>
      <c r="G1962" s="14">
        <v>0.7670323</v>
      </c>
      <c r="H1962" s="14">
        <v>0.69618000000000002</v>
      </c>
      <c r="R1962" s="11">
        <f t="shared" si="62"/>
        <v>1.0777303194953174E-2</v>
      </c>
      <c r="Z1962" s="11">
        <f t="shared" si="61"/>
        <v>1.3985512871714749E-2</v>
      </c>
    </row>
    <row r="1963" spans="1:26" x14ac:dyDescent="0.2">
      <c r="A1963" s="45">
        <v>351</v>
      </c>
      <c r="B1963" s="45">
        <v>1999</v>
      </c>
      <c r="C1963" s="17">
        <v>0</v>
      </c>
      <c r="D1963" s="14">
        <v>0.47353800000000001</v>
      </c>
      <c r="E1963" s="14">
        <v>0.32877020000000001</v>
      </c>
      <c r="F1963" s="14">
        <v>5.1298400000000001E-2</v>
      </c>
      <c r="G1963" s="14">
        <v>5.5398139999999998</v>
      </c>
      <c r="H1963" s="14">
        <v>0.44556699999999999</v>
      </c>
      <c r="R1963" s="11">
        <f t="shared" si="62"/>
        <v>4.7371529212846674E-6</v>
      </c>
      <c r="Z1963" s="11">
        <f t="shared" si="61"/>
        <v>5.5394841896002764E-6</v>
      </c>
    </row>
    <row r="1964" spans="1:26" x14ac:dyDescent="0.2">
      <c r="A1964" s="45">
        <v>351</v>
      </c>
      <c r="B1964" s="45">
        <v>2000</v>
      </c>
      <c r="C1964" s="17">
        <v>0</v>
      </c>
      <c r="D1964" s="14">
        <v>0.66490570000000004</v>
      </c>
      <c r="E1964" s="14">
        <v>0.33366279999999998</v>
      </c>
      <c r="F1964" s="14">
        <v>9.1216099999999994E-2</v>
      </c>
      <c r="G1964" s="14">
        <v>2.0479240000000001</v>
      </c>
      <c r="H1964" s="14">
        <v>0.3385688</v>
      </c>
      <c r="R1964" s="11">
        <f t="shared" si="62"/>
        <v>8.9139436226138929E-4</v>
      </c>
      <c r="Z1964" s="11">
        <f t="shared" si="61"/>
        <v>1.1630081144380897E-3</v>
      </c>
    </row>
    <row r="1965" spans="1:26" x14ac:dyDescent="0.2">
      <c r="A1965" s="45">
        <v>351</v>
      </c>
      <c r="B1965" s="45">
        <v>2001</v>
      </c>
      <c r="C1965" s="17">
        <v>0</v>
      </c>
      <c r="D1965" s="14">
        <v>0.37515989999999999</v>
      </c>
      <c r="E1965" s="14">
        <v>0.22429560000000001</v>
      </c>
      <c r="F1965" s="14">
        <v>-1.29946E-2</v>
      </c>
      <c r="G1965" s="14">
        <v>1.2523850000000001</v>
      </c>
      <c r="H1965" s="14">
        <v>0.1871025</v>
      </c>
      <c r="R1965" s="11">
        <f t="shared" si="62"/>
        <v>8.4806132957312933E-3</v>
      </c>
      <c r="Z1965" s="11">
        <f t="shared" si="61"/>
        <v>1.028371344774903E-2</v>
      </c>
    </row>
    <row r="1966" spans="1:26" x14ac:dyDescent="0.2">
      <c r="A1966" s="45">
        <v>351</v>
      </c>
      <c r="B1966" s="45">
        <v>2002</v>
      </c>
      <c r="C1966" s="17">
        <v>0</v>
      </c>
      <c r="D1966" s="14">
        <v>0.33600210000000003</v>
      </c>
      <c r="E1966" s="14">
        <v>-0.19893920000000001</v>
      </c>
      <c r="F1966" s="14">
        <v>2.5737400000000001E-2</v>
      </c>
      <c r="G1966" s="14">
        <v>0.35601729999999998</v>
      </c>
      <c r="H1966" s="14">
        <v>0.25888329999999998</v>
      </c>
      <c r="R1966" s="11">
        <f t="shared" si="62"/>
        <v>4.6201648961782776E-2</v>
      </c>
      <c r="Z1966" s="11">
        <f t="shared" si="61"/>
        <v>5.7548461193837989E-2</v>
      </c>
    </row>
    <row r="1967" spans="1:26" x14ac:dyDescent="0.2">
      <c r="A1967" s="45">
        <v>351</v>
      </c>
      <c r="B1967" s="45">
        <v>2003</v>
      </c>
      <c r="C1967" s="17">
        <v>0</v>
      </c>
      <c r="D1967" s="14">
        <v>0.31569960000000002</v>
      </c>
      <c r="E1967" s="14">
        <v>-0.43457200000000001</v>
      </c>
      <c r="F1967" s="14">
        <v>5.4817200000000003E-2</v>
      </c>
      <c r="G1967" s="14">
        <v>1.2703059999999999</v>
      </c>
      <c r="H1967" s="14">
        <v>0.31350929999999999</v>
      </c>
      <c r="R1967" s="11">
        <f t="shared" si="62"/>
        <v>1.2438551757073958E-2</v>
      </c>
      <c r="Z1967" s="11">
        <f t="shared" si="61"/>
        <v>1.5562102882318475E-2</v>
      </c>
    </row>
    <row r="1968" spans="1:26" x14ac:dyDescent="0.2">
      <c r="A1968" s="45">
        <v>351</v>
      </c>
      <c r="B1968" s="45">
        <v>2004</v>
      </c>
      <c r="C1968" s="17">
        <v>0</v>
      </c>
      <c r="D1968" s="14">
        <v>0.43570680000000001</v>
      </c>
      <c r="E1968" s="14">
        <v>-0.27327669999999998</v>
      </c>
      <c r="F1968" s="14">
        <v>4.9431999999999997E-2</v>
      </c>
      <c r="G1968" s="14">
        <v>0.72260159999999996</v>
      </c>
      <c r="H1968" s="14">
        <v>0.33246140000000002</v>
      </c>
      <c r="R1968" s="11">
        <f t="shared" si="62"/>
        <v>2.4290734896611387E-2</v>
      </c>
      <c r="Z1968" s="11">
        <f t="shared" si="61"/>
        <v>3.0688791728114628E-2</v>
      </c>
    </row>
    <row r="1969" spans="1:26" x14ac:dyDescent="0.2">
      <c r="A1969" s="45">
        <v>352</v>
      </c>
      <c r="B1969" s="45">
        <v>1995</v>
      </c>
      <c r="C1969" s="17">
        <v>0</v>
      </c>
      <c r="D1969" s="14">
        <v>0.4320486</v>
      </c>
      <c r="E1969" s="14">
        <v>0.23156860000000001</v>
      </c>
      <c r="F1969" s="14">
        <v>7.5750799999999993E-2</v>
      </c>
      <c r="G1969" s="14">
        <v>6.7143449999999998</v>
      </c>
      <c r="H1969" s="14">
        <v>0.21677389999999999</v>
      </c>
      <c r="R1969" s="11">
        <f t="shared" si="62"/>
        <v>6.9035555558838468E-7</v>
      </c>
      <c r="Z1969" s="11">
        <f t="shared" si="61"/>
        <v>7.9992638955267202E-7</v>
      </c>
    </row>
    <row r="1970" spans="1:26" x14ac:dyDescent="0.2">
      <c r="A1970" s="45">
        <v>352</v>
      </c>
      <c r="B1970" s="45">
        <v>1996</v>
      </c>
      <c r="C1970" s="17">
        <v>0</v>
      </c>
      <c r="D1970" s="14">
        <v>0.39268209999999998</v>
      </c>
      <c r="E1970" s="14">
        <v>0.26500259999999998</v>
      </c>
      <c r="F1970" s="14">
        <v>5.9284000000000003E-2</v>
      </c>
      <c r="G1970" s="14">
        <v>5.4434209999999998</v>
      </c>
      <c r="H1970" s="14">
        <v>0.17741180000000001</v>
      </c>
      <c r="R1970" s="11">
        <f t="shared" si="62"/>
        <v>5.685327890313053E-6</v>
      </c>
      <c r="Z1970" s="11">
        <f t="shared" si="61"/>
        <v>6.6914892143102244E-6</v>
      </c>
    </row>
    <row r="1971" spans="1:26" x14ac:dyDescent="0.2">
      <c r="A1971" s="45">
        <v>352</v>
      </c>
      <c r="B1971" s="45">
        <v>1997</v>
      </c>
      <c r="C1971" s="17">
        <v>0</v>
      </c>
      <c r="D1971" s="14">
        <v>0.2439818</v>
      </c>
      <c r="E1971" s="14">
        <v>0.3193957</v>
      </c>
      <c r="F1971" s="14">
        <v>4.9595100000000003E-2</v>
      </c>
      <c r="G1971" s="14">
        <v>4.9316300000000002</v>
      </c>
      <c r="H1971" s="14">
        <v>0.18977869999999999</v>
      </c>
      <c r="R1971" s="11">
        <f t="shared" si="62"/>
        <v>1.28312323562123E-5</v>
      </c>
      <c r="Z1971" s="11">
        <f t="shared" si="61"/>
        <v>1.5180644990636992E-5</v>
      </c>
    </row>
    <row r="1972" spans="1:26" x14ac:dyDescent="0.2">
      <c r="A1972" s="45">
        <v>352</v>
      </c>
      <c r="B1972" s="45">
        <v>1998</v>
      </c>
      <c r="C1972" s="17">
        <v>0</v>
      </c>
      <c r="D1972" s="14">
        <v>0.1102253</v>
      </c>
      <c r="E1972" s="14">
        <v>0.22072140000000001</v>
      </c>
      <c r="F1972" s="14">
        <v>3.3451500000000002E-2</v>
      </c>
      <c r="G1972" s="14">
        <v>1.791858</v>
      </c>
      <c r="H1972" s="14">
        <v>0.1973906</v>
      </c>
      <c r="R1972" s="11">
        <f t="shared" si="62"/>
        <v>2.5036846803521309E-3</v>
      </c>
      <c r="Z1972" s="11">
        <f t="shared" si="61"/>
        <v>3.119939929089979E-3</v>
      </c>
    </row>
    <row r="1973" spans="1:26" x14ac:dyDescent="0.2">
      <c r="A1973" s="45">
        <v>352</v>
      </c>
      <c r="B1973" s="45">
        <v>1999</v>
      </c>
      <c r="C1973" s="17">
        <v>0</v>
      </c>
      <c r="D1973" s="14">
        <v>0.2809758</v>
      </c>
      <c r="E1973" s="14">
        <v>0.2053044</v>
      </c>
      <c r="F1973" s="14">
        <v>6.2707600000000002E-2</v>
      </c>
      <c r="G1973" s="14">
        <v>7.4470429999999999</v>
      </c>
      <c r="H1973" s="14">
        <v>0.20718529999999999</v>
      </c>
      <c r="R1973" s="11">
        <f t="shared" si="62"/>
        <v>2.4767216032479547E-7</v>
      </c>
      <c r="Z1973" s="11">
        <f t="shared" si="61"/>
        <v>2.7913408450631503E-7</v>
      </c>
    </row>
    <row r="1974" spans="1:26" x14ac:dyDescent="0.2">
      <c r="A1974" s="45">
        <v>352</v>
      </c>
      <c r="B1974" s="45">
        <v>2000</v>
      </c>
      <c r="C1974" s="17">
        <v>0</v>
      </c>
      <c r="D1974" s="14">
        <v>0.38340679999999999</v>
      </c>
      <c r="E1974" s="14">
        <v>0.20092879999999999</v>
      </c>
      <c r="F1974" s="14">
        <v>4.21611E-2</v>
      </c>
      <c r="G1974" s="14">
        <v>3.1517400000000002</v>
      </c>
      <c r="H1974" s="14">
        <v>0.20910020000000001</v>
      </c>
      <c r="R1974" s="11">
        <f t="shared" si="62"/>
        <v>2.7582315595392579E-4</v>
      </c>
      <c r="Z1974" s="11">
        <f t="shared" si="61"/>
        <v>3.3592316665509453E-4</v>
      </c>
    </row>
    <row r="1975" spans="1:26" x14ac:dyDescent="0.2">
      <c r="A1975" s="45">
        <v>352</v>
      </c>
      <c r="B1975" s="45">
        <v>2001</v>
      </c>
      <c r="C1975" s="17">
        <v>0</v>
      </c>
      <c r="D1975" s="14">
        <v>0.29120459999999998</v>
      </c>
      <c r="E1975" s="14">
        <v>-4.2808400000000003E-2</v>
      </c>
      <c r="F1975" s="14">
        <v>5.3921000000000004E-3</v>
      </c>
      <c r="G1975" s="14">
        <v>2.724815</v>
      </c>
      <c r="H1975" s="14">
        <v>0.1270445</v>
      </c>
      <c r="R1975" s="11">
        <f t="shared" si="62"/>
        <v>1.0409154784977721E-3</v>
      </c>
      <c r="Z1975" s="11">
        <f t="shared" si="61"/>
        <v>1.2312135224721763E-3</v>
      </c>
    </row>
    <row r="1976" spans="1:26" x14ac:dyDescent="0.2">
      <c r="A1976" s="45">
        <v>352</v>
      </c>
      <c r="B1976" s="45">
        <v>2002</v>
      </c>
      <c r="C1976" s="17">
        <v>0</v>
      </c>
      <c r="D1976" s="14">
        <v>0.33498410000000001</v>
      </c>
      <c r="E1976" s="14">
        <v>-0.1261591</v>
      </c>
      <c r="F1976" s="14">
        <v>1.9485100000000002E-2</v>
      </c>
      <c r="G1976" s="14">
        <v>1.1998040000000001</v>
      </c>
      <c r="H1976" s="14">
        <v>0.14697180000000001</v>
      </c>
      <c r="R1976" s="11">
        <f t="shared" si="62"/>
        <v>1.1798646723597038E-2</v>
      </c>
      <c r="Z1976" s="11">
        <f t="shared" si="61"/>
        <v>1.4520976004511531E-2</v>
      </c>
    </row>
    <row r="1977" spans="1:26" x14ac:dyDescent="0.2">
      <c r="A1977" s="45">
        <v>352</v>
      </c>
      <c r="B1977" s="45">
        <v>2003</v>
      </c>
      <c r="C1977" s="17">
        <v>0</v>
      </c>
      <c r="D1977" s="14">
        <v>0.32889309999999999</v>
      </c>
      <c r="E1977" s="14">
        <v>-0.22716720000000001</v>
      </c>
      <c r="F1977" s="14">
        <v>2.5290199999999999E-2</v>
      </c>
      <c r="G1977" s="14">
        <v>2.4265669999999999</v>
      </c>
      <c r="H1977" s="14">
        <v>0.1573427</v>
      </c>
      <c r="R1977" s="11">
        <f t="shared" si="62"/>
        <v>1.8653648182205187E-3</v>
      </c>
      <c r="Z1977" s="11">
        <f t="shared" si="61"/>
        <v>2.2428060027523031E-3</v>
      </c>
    </row>
    <row r="1978" spans="1:26" x14ac:dyDescent="0.2">
      <c r="A1978" s="45">
        <v>353</v>
      </c>
      <c r="B1978" s="45">
        <v>1995</v>
      </c>
      <c r="C1978" s="17">
        <v>1</v>
      </c>
      <c r="D1978" s="14">
        <v>0.2057861</v>
      </c>
      <c r="E1978" s="14">
        <v>9.2916899999999997E-2</v>
      </c>
      <c r="F1978" s="14">
        <v>2.8566000000000001E-2</v>
      </c>
      <c r="G1978" s="14">
        <v>0.38764680000000001</v>
      </c>
      <c r="H1978" s="14">
        <v>0.2115571</v>
      </c>
      <c r="R1978" s="11">
        <f t="shared" si="62"/>
        <v>2.8613874846892817E-2</v>
      </c>
      <c r="Z1978" s="11">
        <f t="shared" si="61"/>
        <v>3.6206904402037436E-2</v>
      </c>
    </row>
    <row r="1979" spans="1:26" x14ac:dyDescent="0.2">
      <c r="A1979" s="45">
        <v>353</v>
      </c>
      <c r="B1979" s="45">
        <v>1996</v>
      </c>
      <c r="C1979" s="17">
        <v>0</v>
      </c>
      <c r="D1979" s="14">
        <v>0.21180270000000001</v>
      </c>
      <c r="E1979" s="14">
        <v>0.13252369999999999</v>
      </c>
      <c r="F1979" s="14">
        <v>5.6167300000000003E-2</v>
      </c>
      <c r="G1979" s="14">
        <v>0.37212689999999998</v>
      </c>
      <c r="H1979" s="14">
        <v>0.2235849</v>
      </c>
      <c r="R1979" s="11">
        <f t="shared" si="62"/>
        <v>2.2346765855833735E-2</v>
      </c>
      <c r="Z1979" s="11">
        <f t="shared" si="61"/>
        <v>2.900244417154723E-2</v>
      </c>
    </row>
    <row r="1980" spans="1:26" x14ac:dyDescent="0.2">
      <c r="A1980" s="45">
        <v>353</v>
      </c>
      <c r="B1980" s="45">
        <v>1997</v>
      </c>
      <c r="C1980" s="17">
        <v>0</v>
      </c>
      <c r="D1980" s="14">
        <v>0.18628829999999999</v>
      </c>
      <c r="E1980" s="14">
        <v>0.14439650000000001</v>
      </c>
      <c r="F1980" s="14">
        <v>3.5108199999999999E-2</v>
      </c>
      <c r="G1980" s="14">
        <v>0.29710160000000002</v>
      </c>
      <c r="H1980" s="14">
        <v>0.24871209999999999</v>
      </c>
      <c r="R1980" s="11">
        <f t="shared" si="62"/>
        <v>2.9093260912972974E-2</v>
      </c>
      <c r="Z1980" s="11">
        <f t="shared" si="61"/>
        <v>3.713342775377082E-2</v>
      </c>
    </row>
    <row r="1981" spans="1:26" x14ac:dyDescent="0.2">
      <c r="A1981" s="45">
        <v>353</v>
      </c>
      <c r="B1981" s="45">
        <v>1998</v>
      </c>
      <c r="C1981" s="17">
        <v>0</v>
      </c>
      <c r="D1981" s="14">
        <v>0.1761103</v>
      </c>
      <c r="E1981" s="14">
        <v>0.1307374</v>
      </c>
      <c r="F1981" s="14">
        <v>3.9431099999999997E-2</v>
      </c>
      <c r="G1981" s="14">
        <v>0.19292960000000001</v>
      </c>
      <c r="H1981" s="14">
        <v>0.21934010000000001</v>
      </c>
      <c r="R1981" s="11">
        <f t="shared" si="62"/>
        <v>3.3685089674937607E-2</v>
      </c>
      <c r="Z1981" s="11">
        <f t="shared" si="61"/>
        <v>4.3159316680171422E-2</v>
      </c>
    </row>
    <row r="1982" spans="1:26" x14ac:dyDescent="0.2">
      <c r="A1982" s="45">
        <v>353</v>
      </c>
      <c r="B1982" s="45">
        <v>1999</v>
      </c>
      <c r="C1982" s="17">
        <v>1</v>
      </c>
      <c r="D1982" s="14">
        <v>0.132908</v>
      </c>
      <c r="E1982" s="14">
        <v>8.6620199999999994E-2</v>
      </c>
      <c r="F1982" s="14">
        <v>1.9685399999999999E-2</v>
      </c>
      <c r="G1982" s="14">
        <v>0.1168295</v>
      </c>
      <c r="H1982" s="14">
        <v>0.23223869999999999</v>
      </c>
      <c r="R1982" s="11">
        <f t="shared" si="62"/>
        <v>4.6839008443267952E-2</v>
      </c>
      <c r="Z1982" s="11">
        <f t="shared" si="61"/>
        <v>5.8889739136405606E-2</v>
      </c>
    </row>
    <row r="1983" spans="1:26" x14ac:dyDescent="0.2">
      <c r="A1983" s="45">
        <v>354</v>
      </c>
      <c r="B1983" s="45">
        <v>1995</v>
      </c>
      <c r="C1983" s="17">
        <v>0</v>
      </c>
      <c r="D1983" s="14">
        <v>-2.6386400000000001E-2</v>
      </c>
      <c r="E1983" s="14">
        <v>0.17445920000000001</v>
      </c>
      <c r="F1983" s="14">
        <v>6.2339699999999998E-2</v>
      </c>
      <c r="G1983" s="14">
        <v>2.2755390000000002</v>
      </c>
      <c r="H1983" s="14">
        <v>0.1217999</v>
      </c>
      <c r="R1983" s="11">
        <f t="shared" si="62"/>
        <v>9.8479831284059138E-4</v>
      </c>
      <c r="Z1983" s="11">
        <f t="shared" si="61"/>
        <v>1.2417667695312771E-3</v>
      </c>
    </row>
    <row r="1984" spans="1:26" x14ac:dyDescent="0.2">
      <c r="A1984" s="45">
        <v>354</v>
      </c>
      <c r="B1984" s="45">
        <v>1996</v>
      </c>
      <c r="C1984" s="17">
        <v>0</v>
      </c>
      <c r="D1984" s="14">
        <v>-6.1929199999999997E-2</v>
      </c>
      <c r="E1984" s="14">
        <v>0.1816941</v>
      </c>
      <c r="F1984" s="14">
        <v>5.9167200000000003E-2</v>
      </c>
      <c r="G1984" s="14">
        <v>1.7982229999999999</v>
      </c>
      <c r="H1984" s="14">
        <v>0.1143768</v>
      </c>
      <c r="R1984" s="11">
        <f t="shared" si="62"/>
        <v>2.1362110150714292E-3</v>
      </c>
      <c r="Z1984" s="11">
        <f t="shared" si="61"/>
        <v>2.7148132518068292E-3</v>
      </c>
    </row>
    <row r="1985" spans="1:26" x14ac:dyDescent="0.2">
      <c r="A1985" s="45">
        <v>354</v>
      </c>
      <c r="B1985" s="45">
        <v>1997</v>
      </c>
      <c r="C1985" s="17">
        <v>0</v>
      </c>
      <c r="D1985" s="14">
        <v>-3.5608300000000002E-2</v>
      </c>
      <c r="E1985" s="14">
        <v>0.2136856</v>
      </c>
      <c r="F1985" s="14">
        <v>5.1791999999999998E-2</v>
      </c>
      <c r="G1985" s="14">
        <v>1.430274</v>
      </c>
      <c r="H1985" s="14">
        <v>0.107511</v>
      </c>
      <c r="R1985" s="11">
        <f t="shared" si="62"/>
        <v>3.8811181316421172E-3</v>
      </c>
      <c r="Z1985" s="11">
        <f t="shared" si="61"/>
        <v>4.9454971348563441E-3</v>
      </c>
    </row>
    <row r="1986" spans="1:26" x14ac:dyDescent="0.2">
      <c r="A1986" s="45">
        <v>355</v>
      </c>
      <c r="B1986" s="45">
        <v>1995</v>
      </c>
      <c r="C1986" s="17">
        <v>0</v>
      </c>
      <c r="D1986" s="14">
        <v>0.27807660000000001</v>
      </c>
      <c r="E1986" s="14">
        <v>0.17960470000000001</v>
      </c>
      <c r="F1986" s="14">
        <v>6.4337400000000003E-2</v>
      </c>
      <c r="G1986" s="14">
        <v>1.7943770000000001</v>
      </c>
      <c r="H1986" s="14">
        <v>0.23718230000000001</v>
      </c>
      <c r="R1986" s="11">
        <f t="shared" si="62"/>
        <v>2.0686818855120206E-3</v>
      </c>
      <c r="Z1986" s="11">
        <f t="shared" ref="Z1986:Z2049" si="63">1/(1+EXP(-(U$2+$V$2*E1986+$W$2*F1986+$X$2*G1986)))</f>
        <v>2.6402122408986576E-3</v>
      </c>
    </row>
    <row r="1987" spans="1:26" x14ac:dyDescent="0.2">
      <c r="A1987" s="45">
        <v>355</v>
      </c>
      <c r="B1987" s="45">
        <v>1996</v>
      </c>
      <c r="C1987" s="17">
        <v>0</v>
      </c>
      <c r="D1987" s="14">
        <v>0.255326</v>
      </c>
      <c r="E1987" s="14">
        <v>0.24164040000000001</v>
      </c>
      <c r="F1987" s="14">
        <v>8.7433399999999994E-2</v>
      </c>
      <c r="G1987" s="14">
        <v>2.044435</v>
      </c>
      <c r="H1987" s="14">
        <v>0.27444000000000002</v>
      </c>
      <c r="R1987" s="11">
        <f t="shared" si="62"/>
        <v>1.0559992277897716E-3</v>
      </c>
      <c r="Z1987" s="11">
        <f t="shared" si="63"/>
        <v>1.36922639638603E-3</v>
      </c>
    </row>
    <row r="1988" spans="1:26" x14ac:dyDescent="0.2">
      <c r="A1988" s="45">
        <v>355</v>
      </c>
      <c r="B1988" s="45">
        <v>1997</v>
      </c>
      <c r="C1988" s="17">
        <v>0</v>
      </c>
      <c r="D1988" s="14">
        <v>0.30180210000000002</v>
      </c>
      <c r="E1988" s="14">
        <v>0.28583350000000002</v>
      </c>
      <c r="F1988" s="14">
        <v>7.2386699999999998E-2</v>
      </c>
      <c r="G1988" s="14">
        <v>3.3215699999999999</v>
      </c>
      <c r="H1988" s="14">
        <v>0.28412690000000002</v>
      </c>
      <c r="R1988" s="11">
        <f t="shared" si="62"/>
        <v>1.4606037259353881E-4</v>
      </c>
      <c r="Z1988" s="11">
        <f t="shared" si="63"/>
        <v>1.8220142045309007E-4</v>
      </c>
    </row>
    <row r="1989" spans="1:26" x14ac:dyDescent="0.2">
      <c r="A1989" s="45">
        <v>355</v>
      </c>
      <c r="B1989" s="45">
        <v>1998</v>
      </c>
      <c r="C1989" s="17">
        <v>0</v>
      </c>
      <c r="D1989" s="14">
        <v>0.19434999999999999</v>
      </c>
      <c r="E1989" s="14">
        <v>0.25318499999999999</v>
      </c>
      <c r="F1989" s="14">
        <v>7.4345499999999995E-2</v>
      </c>
      <c r="G1989" s="14">
        <v>1.8449469999999999</v>
      </c>
      <c r="H1989" s="14">
        <v>0.24461859999999999</v>
      </c>
      <c r="R1989" s="11">
        <f t="shared" si="62"/>
        <v>1.5837045851160056E-3</v>
      </c>
      <c r="Z1989" s="11">
        <f t="shared" si="63"/>
        <v>2.0410028257129872E-3</v>
      </c>
    </row>
    <row r="1990" spans="1:26" x14ac:dyDescent="0.2">
      <c r="A1990" s="45">
        <v>355</v>
      </c>
      <c r="B1990" s="45">
        <v>1999</v>
      </c>
      <c r="C1990" s="17">
        <v>0</v>
      </c>
      <c r="D1990" s="14">
        <v>0.21958910000000001</v>
      </c>
      <c r="E1990" s="14">
        <v>0.31340380000000001</v>
      </c>
      <c r="F1990" s="14">
        <v>6.8873299999999998E-2</v>
      </c>
      <c r="G1990" s="14">
        <v>1.2296229999999999</v>
      </c>
      <c r="H1990" s="14">
        <v>0.23305339999999999</v>
      </c>
      <c r="R1990" s="11">
        <f t="shared" si="62"/>
        <v>4.0313530884175256E-3</v>
      </c>
      <c r="Z1990" s="11">
        <f t="shared" si="63"/>
        <v>5.2495355083234602E-3</v>
      </c>
    </row>
    <row r="1991" spans="1:26" x14ac:dyDescent="0.2">
      <c r="A1991" s="45">
        <v>355</v>
      </c>
      <c r="B1991" s="45">
        <v>2000</v>
      </c>
      <c r="C1991" s="17">
        <v>0</v>
      </c>
      <c r="D1991" s="14">
        <v>0.1213345</v>
      </c>
      <c r="E1991" s="14">
        <v>0.29729800000000001</v>
      </c>
      <c r="F1991" s="14">
        <v>4.8638599999999997E-2</v>
      </c>
      <c r="G1991" s="14">
        <v>0.81505680000000003</v>
      </c>
      <c r="H1991" s="14">
        <v>0.20467869999999999</v>
      </c>
      <c r="R1991" s="11">
        <f t="shared" si="62"/>
        <v>9.3435024639455869E-3</v>
      </c>
      <c r="Z1991" s="11">
        <f t="shared" si="63"/>
        <v>1.2051583823232452E-2</v>
      </c>
    </row>
    <row r="1992" spans="1:26" x14ac:dyDescent="0.2">
      <c r="A1992" s="45">
        <v>355</v>
      </c>
      <c r="B1992" s="45">
        <v>2001</v>
      </c>
      <c r="C1992" s="17">
        <v>0</v>
      </c>
      <c r="D1992" s="14">
        <v>0.10467269999999999</v>
      </c>
      <c r="E1992" s="14">
        <v>0.3189398</v>
      </c>
      <c r="F1992" s="14">
        <v>5.2453899999999998E-2</v>
      </c>
      <c r="G1992" s="14">
        <v>1.2257579999999999</v>
      </c>
      <c r="H1992" s="14">
        <v>0.22579879999999999</v>
      </c>
      <c r="R1992" s="11">
        <f t="shared" si="62"/>
        <v>4.5859378378305228E-3</v>
      </c>
      <c r="Z1992" s="11">
        <f t="shared" si="63"/>
        <v>5.8929576410386665E-3</v>
      </c>
    </row>
    <row r="1993" spans="1:26" x14ac:dyDescent="0.2">
      <c r="A1993" s="45">
        <v>355</v>
      </c>
      <c r="B1993" s="45">
        <v>2002</v>
      </c>
      <c r="C1993" s="17">
        <v>0</v>
      </c>
      <c r="D1993" s="14">
        <v>0.16236890000000001</v>
      </c>
      <c r="E1993" s="14">
        <v>0.34739320000000001</v>
      </c>
      <c r="F1993" s="14">
        <v>4.0866600000000003E-2</v>
      </c>
      <c r="G1993" s="14">
        <v>1.1051960000000001</v>
      </c>
      <c r="H1993" s="14">
        <v>0.23651059999999999</v>
      </c>
      <c r="R1993" s="11">
        <f t="shared" si="62"/>
        <v>5.8425886906383461E-3</v>
      </c>
      <c r="Z1993" s="11">
        <f t="shared" si="63"/>
        <v>7.461478947531029E-3</v>
      </c>
    </row>
    <row r="1994" spans="1:26" x14ac:dyDescent="0.2">
      <c r="A1994" s="45">
        <v>355</v>
      </c>
      <c r="B1994" s="45">
        <v>2003</v>
      </c>
      <c r="C1994" s="17">
        <v>0</v>
      </c>
      <c r="D1994" s="14">
        <v>0.25781229999999999</v>
      </c>
      <c r="E1994" s="14">
        <v>0.40604129999999999</v>
      </c>
      <c r="F1994" s="14">
        <v>4.5664400000000001E-2</v>
      </c>
      <c r="G1994" s="14">
        <v>1.359777</v>
      </c>
      <c r="H1994" s="14">
        <v>0.23124829999999999</v>
      </c>
      <c r="R1994" s="11">
        <f t="shared" si="62"/>
        <v>3.4494886257947321E-3</v>
      </c>
      <c r="Z1994" s="11">
        <f t="shared" si="63"/>
        <v>4.4097066955462189E-3</v>
      </c>
    </row>
    <row r="1995" spans="1:26" x14ac:dyDescent="0.2">
      <c r="A1995" s="45">
        <v>355</v>
      </c>
      <c r="B1995" s="45">
        <v>2004</v>
      </c>
      <c r="C1995" s="17">
        <v>0</v>
      </c>
      <c r="D1995" s="14">
        <v>0.1895347</v>
      </c>
      <c r="E1995" s="14">
        <v>0.44635580000000002</v>
      </c>
      <c r="F1995" s="14">
        <v>6.2553899999999996E-2</v>
      </c>
      <c r="G1995" s="14">
        <v>1.6032249999999999</v>
      </c>
      <c r="H1995" s="14">
        <v>0.22835320000000001</v>
      </c>
      <c r="R1995" s="11">
        <f t="shared" si="62"/>
        <v>1.931067500965352E-3</v>
      </c>
      <c r="Z1995" s="11">
        <f t="shared" si="63"/>
        <v>2.4940801226779686E-3</v>
      </c>
    </row>
    <row r="1996" spans="1:26" x14ac:dyDescent="0.2">
      <c r="A1996" s="45">
        <v>356</v>
      </c>
      <c r="B1996" s="45">
        <v>1995</v>
      </c>
      <c r="C1996" s="17">
        <v>0</v>
      </c>
      <c r="D1996" s="14">
        <v>7.6336200000000007E-2</v>
      </c>
      <c r="E1996" s="14">
        <v>-1.8420000000000001E-4</v>
      </c>
      <c r="F1996" s="14">
        <v>5.1569900000000002E-2</v>
      </c>
      <c r="G1996" s="14">
        <v>0.99343139999999996</v>
      </c>
      <c r="H1996" s="14">
        <v>0.16522619999999999</v>
      </c>
      <c r="R1996" s="11">
        <f t="shared" si="62"/>
        <v>1.0572755430325435E-2</v>
      </c>
      <c r="Z1996" s="11">
        <f t="shared" si="63"/>
        <v>1.347549450480591E-2</v>
      </c>
    </row>
    <row r="1997" spans="1:26" x14ac:dyDescent="0.2">
      <c r="A1997" s="45">
        <v>356</v>
      </c>
      <c r="B1997" s="45">
        <v>1996</v>
      </c>
      <c r="C1997" s="17">
        <v>0</v>
      </c>
      <c r="D1997" s="14">
        <v>8.4791000000000005E-2</v>
      </c>
      <c r="E1997" s="14">
        <v>4.1829900000000003E-2</v>
      </c>
      <c r="F1997" s="14">
        <v>4.6330499999999997E-2</v>
      </c>
      <c r="G1997" s="14">
        <v>1.0923069999999999</v>
      </c>
      <c r="H1997" s="14">
        <v>0.1150813</v>
      </c>
      <c r="R1997" s="11">
        <f t="shared" si="62"/>
        <v>8.8750867400260516E-3</v>
      </c>
      <c r="Z1997" s="11">
        <f t="shared" si="63"/>
        <v>1.1260898901573887E-2</v>
      </c>
    </row>
    <row r="1998" spans="1:26" x14ac:dyDescent="0.2">
      <c r="A1998" s="45">
        <v>356</v>
      </c>
      <c r="B1998" s="45">
        <v>1997</v>
      </c>
      <c r="C1998" s="17">
        <v>0</v>
      </c>
      <c r="D1998" s="14">
        <v>0.1080922</v>
      </c>
      <c r="E1998" s="14">
        <v>0.12288689999999999</v>
      </c>
      <c r="F1998" s="14">
        <v>3.2101900000000003E-2</v>
      </c>
      <c r="G1998" s="14">
        <v>1.483468</v>
      </c>
      <c r="H1998" s="14">
        <v>0.14982039999999999</v>
      </c>
      <c r="R1998" s="11">
        <f t="shared" si="62"/>
        <v>4.7588098534759636E-3</v>
      </c>
      <c r="Z1998" s="11">
        <f t="shared" si="63"/>
        <v>5.9405942681777521E-3</v>
      </c>
    </row>
    <row r="1999" spans="1:26" x14ac:dyDescent="0.2">
      <c r="A1999" s="45">
        <v>356</v>
      </c>
      <c r="B1999" s="45">
        <v>2003</v>
      </c>
      <c r="C1999" s="17">
        <v>0</v>
      </c>
      <c r="D1999" s="14">
        <v>9.9078100000000002E-2</v>
      </c>
      <c r="E1999" s="14">
        <v>2.9340100000000001E-2</v>
      </c>
      <c r="F1999" s="14">
        <v>3.2792799999999997E-2</v>
      </c>
      <c r="G1999" s="14">
        <v>0.45345360000000001</v>
      </c>
      <c r="H1999" s="14">
        <v>0.29726829999999999</v>
      </c>
      <c r="R1999" s="11">
        <f t="shared" si="62"/>
        <v>2.7356323591851726E-2</v>
      </c>
      <c r="Z1999" s="11">
        <f t="shared" si="63"/>
        <v>3.4622073516502504E-2</v>
      </c>
    </row>
    <row r="2000" spans="1:26" x14ac:dyDescent="0.2">
      <c r="A2000" s="45">
        <v>357</v>
      </c>
      <c r="B2000" s="45">
        <v>1995</v>
      </c>
      <c r="C2000" s="17">
        <v>0</v>
      </c>
      <c r="D2000" s="14">
        <v>0.51728099999999999</v>
      </c>
      <c r="E2000" s="14">
        <v>0.28170200000000001</v>
      </c>
      <c r="F2000" s="14">
        <v>7.6041899999999996E-2</v>
      </c>
      <c r="G2000" s="14">
        <v>6.0861650000000003</v>
      </c>
      <c r="H2000" s="14">
        <v>0.407281</v>
      </c>
      <c r="R2000" s="11">
        <f t="shared" si="62"/>
        <v>1.7424478187543337E-6</v>
      </c>
      <c r="Z2000" s="11">
        <f t="shared" si="63"/>
        <v>2.0511364735973617E-6</v>
      </c>
    </row>
    <row r="2001" spans="1:26" x14ac:dyDescent="0.2">
      <c r="A2001" s="45">
        <v>358</v>
      </c>
      <c r="B2001" s="45">
        <v>1995</v>
      </c>
      <c r="C2001" s="17">
        <v>0</v>
      </c>
      <c r="D2001" s="14">
        <v>0.32269439999999999</v>
      </c>
      <c r="E2001" s="14">
        <v>0.52847370000000005</v>
      </c>
      <c r="F2001" s="14">
        <v>8.1988400000000003E-2</v>
      </c>
      <c r="G2001" s="14">
        <v>4.2159209999999998</v>
      </c>
      <c r="H2001" s="14">
        <v>0.43526969999999998</v>
      </c>
      <c r="R2001" s="11">
        <f t="shared" si="62"/>
        <v>2.2858024891866485E-5</v>
      </c>
      <c r="Z2001" s="11">
        <f t="shared" si="63"/>
        <v>2.8415026153559426E-5</v>
      </c>
    </row>
    <row r="2002" spans="1:26" x14ac:dyDescent="0.2">
      <c r="A2002" s="45">
        <v>358</v>
      </c>
      <c r="B2002" s="45">
        <v>1996</v>
      </c>
      <c r="C2002" s="17">
        <v>0</v>
      </c>
      <c r="D2002" s="14">
        <v>0.2894736</v>
      </c>
      <c r="E2002" s="14">
        <v>0.44218580000000002</v>
      </c>
      <c r="F2002" s="14">
        <v>6.55641E-2</v>
      </c>
      <c r="G2002" s="14">
        <v>4.1749970000000003</v>
      </c>
      <c r="H2002" s="14">
        <v>0.40540490000000001</v>
      </c>
      <c r="R2002" s="11">
        <f t="shared" si="62"/>
        <v>3.1543046225704145E-5</v>
      </c>
      <c r="Z2002" s="11">
        <f t="shared" si="63"/>
        <v>3.8607559091631876E-5</v>
      </c>
    </row>
    <row r="2003" spans="1:26" x14ac:dyDescent="0.2">
      <c r="A2003" s="45">
        <v>358</v>
      </c>
      <c r="B2003" s="45">
        <v>1997</v>
      </c>
      <c r="C2003" s="17">
        <v>0</v>
      </c>
      <c r="D2003" s="14">
        <v>0.30054920000000002</v>
      </c>
      <c r="E2003" s="14">
        <v>0.45071309999999998</v>
      </c>
      <c r="F2003" s="14">
        <v>8.15583E-2</v>
      </c>
      <c r="G2003" s="14">
        <v>4.3744240000000003</v>
      </c>
      <c r="H2003" s="14">
        <v>0.39367069999999998</v>
      </c>
      <c r="R2003" s="11">
        <f t="shared" si="62"/>
        <v>1.9949849778501836E-5</v>
      </c>
      <c r="Z2003" s="11">
        <f t="shared" si="63"/>
        <v>2.4638985891146716E-5</v>
      </c>
    </row>
    <row r="2004" spans="1:26" x14ac:dyDescent="0.2">
      <c r="A2004" s="45">
        <v>358</v>
      </c>
      <c r="B2004" s="45">
        <v>1998</v>
      </c>
      <c r="C2004" s="17">
        <v>0</v>
      </c>
      <c r="D2004" s="14">
        <v>0.31549290000000002</v>
      </c>
      <c r="E2004" s="14">
        <v>0.44869439999999999</v>
      </c>
      <c r="F2004" s="14">
        <v>5.2333299999999999E-2</v>
      </c>
      <c r="G2004" s="14">
        <v>3.9646349999999999</v>
      </c>
      <c r="H2004" s="14">
        <v>0.35887380000000002</v>
      </c>
      <c r="R2004" s="11">
        <f t="shared" si="62"/>
        <v>4.8566700343952281E-5</v>
      </c>
      <c r="Z2004" s="11">
        <f t="shared" si="63"/>
        <v>5.9088709116962829E-5</v>
      </c>
    </row>
    <row r="2005" spans="1:26" x14ac:dyDescent="0.2">
      <c r="A2005" s="45">
        <v>358</v>
      </c>
      <c r="B2005" s="45">
        <v>1999</v>
      </c>
      <c r="C2005" s="17">
        <v>0</v>
      </c>
      <c r="D2005" s="14">
        <v>0.30961610000000001</v>
      </c>
      <c r="E2005" s="14">
        <v>0.45042480000000001</v>
      </c>
      <c r="F2005" s="14">
        <v>6.9228899999999996E-2</v>
      </c>
      <c r="G2005" s="14">
        <v>3.1789610000000001</v>
      </c>
      <c r="H2005" s="14">
        <v>0.34028330000000001</v>
      </c>
      <c r="R2005" s="11">
        <f t="shared" si="62"/>
        <v>1.4800103452630733E-4</v>
      </c>
      <c r="Z2005" s="11">
        <f t="shared" si="63"/>
        <v>1.8576899533227225E-4</v>
      </c>
    </row>
    <row r="2006" spans="1:26" x14ac:dyDescent="0.2">
      <c r="A2006" s="45">
        <v>358</v>
      </c>
      <c r="B2006" s="45">
        <v>2000</v>
      </c>
      <c r="C2006" s="17">
        <v>0</v>
      </c>
      <c r="D2006" s="14">
        <v>0.29345389999999999</v>
      </c>
      <c r="E2006" s="14">
        <v>0.4493221</v>
      </c>
      <c r="F2006" s="14">
        <v>5.3972800000000001E-2</v>
      </c>
      <c r="G2006" s="14">
        <v>2.3728720000000001</v>
      </c>
      <c r="H2006" s="14">
        <v>0.32455580000000001</v>
      </c>
      <c r="R2006" s="11">
        <f t="shared" si="62"/>
        <v>6.0484897955995925E-4</v>
      </c>
      <c r="Z2006" s="11">
        <f t="shared" si="63"/>
        <v>7.630708378595952E-4</v>
      </c>
    </row>
    <row r="2007" spans="1:26" x14ac:dyDescent="0.2">
      <c r="A2007" s="45">
        <v>358</v>
      </c>
      <c r="B2007" s="45">
        <v>2001</v>
      </c>
      <c r="C2007" s="17">
        <v>0</v>
      </c>
      <c r="D2007" s="14">
        <v>0.30535129999999999</v>
      </c>
      <c r="E2007" s="14">
        <v>0.46999930000000001</v>
      </c>
      <c r="F2007" s="14">
        <v>4.2928000000000001E-2</v>
      </c>
      <c r="G2007" s="14">
        <v>2.947168</v>
      </c>
      <c r="H2007" s="14">
        <v>0.31120130000000001</v>
      </c>
      <c r="R2007" s="11">
        <f t="shared" ref="R2007:R2070" si="64">1/(1+EXP(-(K$2+$M$2*E2007+$N$2*F2007+$O$2*G2007)))</f>
        <v>2.5683019111692349E-4</v>
      </c>
      <c r="Z2007" s="11">
        <f t="shared" si="63"/>
        <v>3.173145641142415E-4</v>
      </c>
    </row>
    <row r="2008" spans="1:26" x14ac:dyDescent="0.2">
      <c r="A2008" s="45">
        <v>358</v>
      </c>
      <c r="B2008" s="45">
        <v>2002</v>
      </c>
      <c r="C2008" s="17">
        <v>0</v>
      </c>
      <c r="D2008" s="14">
        <v>0.28892849999999998</v>
      </c>
      <c r="E2008" s="14">
        <v>0.49229260000000002</v>
      </c>
      <c r="F2008" s="14">
        <v>4.6553400000000002E-2</v>
      </c>
      <c r="G2008" s="14">
        <v>2.8956789999999999</v>
      </c>
      <c r="H2008" s="14">
        <v>0.31408979999999997</v>
      </c>
      <c r="R2008" s="11">
        <f t="shared" si="64"/>
        <v>2.6218428634218179E-4</v>
      </c>
      <c r="Z2008" s="11">
        <f t="shared" si="63"/>
        <v>3.2550993566438075E-4</v>
      </c>
    </row>
    <row r="2009" spans="1:26" x14ac:dyDescent="0.2">
      <c r="A2009" s="45">
        <v>358</v>
      </c>
      <c r="B2009" s="45">
        <v>2003</v>
      </c>
      <c r="C2009" s="17">
        <v>0</v>
      </c>
      <c r="D2009" s="14">
        <v>0.32741920000000002</v>
      </c>
      <c r="E2009" s="14">
        <v>0.50301569999999995</v>
      </c>
      <c r="F2009" s="14">
        <v>4.3873099999999998E-2</v>
      </c>
      <c r="G2009" s="14">
        <v>2.3724820000000002</v>
      </c>
      <c r="H2009" s="14">
        <v>0.31429299999999999</v>
      </c>
      <c r="R2009" s="11">
        <f t="shared" si="64"/>
        <v>6.0687011137340683E-4</v>
      </c>
      <c r="Z2009" s="11">
        <f t="shared" si="63"/>
        <v>7.6071708261871412E-4</v>
      </c>
    </row>
    <row r="2010" spans="1:26" x14ac:dyDescent="0.2">
      <c r="A2010" s="45">
        <v>358</v>
      </c>
      <c r="B2010" s="45">
        <v>2004</v>
      </c>
      <c r="C2010" s="17">
        <v>0</v>
      </c>
      <c r="D2010" s="14">
        <v>0.28730280000000002</v>
      </c>
      <c r="E2010" s="14">
        <v>0.52298029999999995</v>
      </c>
      <c r="F2010" s="14">
        <v>3.9715500000000001E-2</v>
      </c>
      <c r="G2010" s="14">
        <v>2.919915</v>
      </c>
      <c r="H2010" s="14">
        <v>0.35102749999999999</v>
      </c>
      <c r="R2010" s="11">
        <f t="shared" si="64"/>
        <v>2.5480763505616278E-4</v>
      </c>
      <c r="Z2010" s="11">
        <f t="shared" si="63"/>
        <v>3.1474750805812198E-4</v>
      </c>
    </row>
    <row r="2011" spans="1:26" x14ac:dyDescent="0.2">
      <c r="A2011" s="45">
        <v>359</v>
      </c>
      <c r="B2011" s="45">
        <v>2003</v>
      </c>
      <c r="C2011" s="17">
        <v>0</v>
      </c>
      <c r="D2011" s="14">
        <v>0.20335039999999999</v>
      </c>
      <c r="E2011" s="14">
        <v>0.36528729999999998</v>
      </c>
      <c r="F2011" s="14">
        <v>3.1716599999999998E-2</v>
      </c>
      <c r="G2011" s="14">
        <v>1.443578</v>
      </c>
      <c r="H2011" s="14">
        <v>0.115741</v>
      </c>
      <c r="R2011" s="11">
        <f t="shared" si="64"/>
        <v>3.5800494939104018E-3</v>
      </c>
      <c r="Z2011" s="11">
        <f t="shared" si="63"/>
        <v>4.5100746940719303E-3</v>
      </c>
    </row>
    <row r="2012" spans="1:26" x14ac:dyDescent="0.2">
      <c r="A2012" s="45">
        <v>359</v>
      </c>
      <c r="B2012" s="45">
        <v>2004</v>
      </c>
      <c r="C2012" s="17">
        <v>0</v>
      </c>
      <c r="D2012" s="14">
        <v>0.32971830000000002</v>
      </c>
      <c r="E2012" s="14">
        <v>0.3526977</v>
      </c>
      <c r="F2012" s="14">
        <v>4.0216799999999997E-2</v>
      </c>
      <c r="G2012" s="14">
        <v>1.9938910000000001</v>
      </c>
      <c r="H2012" s="14">
        <v>0.14877570000000001</v>
      </c>
      <c r="R2012" s="11">
        <f t="shared" si="64"/>
        <v>1.4203141758473757E-3</v>
      </c>
      <c r="Z2012" s="11">
        <f t="shared" si="63"/>
        <v>1.7803426493456182E-3</v>
      </c>
    </row>
    <row r="2013" spans="1:26" x14ac:dyDescent="0.2">
      <c r="A2013" s="45">
        <v>360</v>
      </c>
      <c r="B2013" s="45">
        <v>1995</v>
      </c>
      <c r="C2013" s="17">
        <v>0</v>
      </c>
      <c r="D2013" s="14">
        <v>0.23777119999999999</v>
      </c>
      <c r="E2013" s="14">
        <v>0.24707129999999999</v>
      </c>
      <c r="F2013" s="14">
        <v>4.7146500000000001E-2</v>
      </c>
      <c r="G2013" s="14">
        <v>1.0258499999999999</v>
      </c>
      <c r="H2013" s="14">
        <v>0.39296700000000001</v>
      </c>
      <c r="R2013" s="11">
        <f t="shared" si="64"/>
        <v>7.2849040534601556E-3</v>
      </c>
      <c r="Z2013" s="11">
        <f t="shared" si="63"/>
        <v>9.3315964126234989E-3</v>
      </c>
    </row>
    <row r="2014" spans="1:26" x14ac:dyDescent="0.2">
      <c r="A2014" s="45">
        <v>360</v>
      </c>
      <c r="B2014" s="45">
        <v>1996</v>
      </c>
      <c r="C2014" s="17">
        <v>0</v>
      </c>
      <c r="D2014" s="14">
        <v>0.21600610000000001</v>
      </c>
      <c r="E2014" s="14">
        <v>0.24251809999999999</v>
      </c>
      <c r="F2014" s="14">
        <v>7.59412E-2</v>
      </c>
      <c r="G2014" s="14">
        <v>1.231519</v>
      </c>
      <c r="H2014" s="14">
        <v>0.42486269999999998</v>
      </c>
      <c r="R2014" s="11">
        <f t="shared" si="64"/>
        <v>4.2098797009921364E-3</v>
      </c>
      <c r="Z2014" s="11">
        <f t="shared" si="63"/>
        <v>5.4998525915067155E-3</v>
      </c>
    </row>
    <row r="2015" spans="1:26" x14ac:dyDescent="0.2">
      <c r="A2015" s="45">
        <v>360</v>
      </c>
      <c r="B2015" s="45">
        <v>1997</v>
      </c>
      <c r="C2015" s="17">
        <v>0</v>
      </c>
      <c r="D2015" s="14">
        <v>0.23422029999999999</v>
      </c>
      <c r="E2015" s="14">
        <v>0.26825120000000002</v>
      </c>
      <c r="F2015" s="14">
        <v>6.2217799999999997E-2</v>
      </c>
      <c r="G2015" s="14">
        <v>1.6124719999999999</v>
      </c>
      <c r="H2015" s="14">
        <v>0.42787649999999999</v>
      </c>
      <c r="R2015" s="11">
        <f t="shared" si="64"/>
        <v>2.4705790153640812E-3</v>
      </c>
      <c r="Z2015" s="11">
        <f t="shared" si="63"/>
        <v>3.1695163592201968E-3</v>
      </c>
    </row>
    <row r="2016" spans="1:26" x14ac:dyDescent="0.2">
      <c r="A2016" s="45">
        <v>360</v>
      </c>
      <c r="B2016" s="45">
        <v>1998</v>
      </c>
      <c r="C2016" s="17">
        <v>0</v>
      </c>
      <c r="D2016" s="14">
        <v>0.206011</v>
      </c>
      <c r="E2016" s="14">
        <v>0.28124070000000001</v>
      </c>
      <c r="F2016" s="14">
        <v>4.4232E-2</v>
      </c>
      <c r="G2016" s="14">
        <v>0.96378019999999998</v>
      </c>
      <c r="H2016" s="14">
        <v>0.38403700000000002</v>
      </c>
      <c r="R2016" s="11">
        <f t="shared" si="64"/>
        <v>7.8287324982988446E-3</v>
      </c>
      <c r="Z2016" s="11">
        <f t="shared" si="63"/>
        <v>1.0028149718299783E-2</v>
      </c>
    </row>
    <row r="2017" spans="1:26" x14ac:dyDescent="0.2">
      <c r="A2017" s="45">
        <v>361</v>
      </c>
      <c r="B2017" s="45">
        <v>1995</v>
      </c>
      <c r="C2017" s="17">
        <v>0</v>
      </c>
      <c r="D2017" s="14">
        <v>-2.69737E-2</v>
      </c>
      <c r="E2017" s="14">
        <v>0.48246840000000002</v>
      </c>
      <c r="F2017" s="14">
        <v>6.1396199999999998E-2</v>
      </c>
      <c r="G2017" s="14">
        <v>3.480111</v>
      </c>
      <c r="H2017" s="14">
        <v>0.14409640000000001</v>
      </c>
      <c r="R2017" s="11">
        <f t="shared" si="64"/>
        <v>9.3076848102488697E-5</v>
      </c>
      <c r="Z2017" s="11">
        <f t="shared" si="63"/>
        <v>1.1544240202137227E-4</v>
      </c>
    </row>
    <row r="2018" spans="1:26" x14ac:dyDescent="0.2">
      <c r="A2018" s="45">
        <v>361</v>
      </c>
      <c r="B2018" s="45">
        <v>1996</v>
      </c>
      <c r="C2018" s="17">
        <v>0</v>
      </c>
      <c r="D2018" s="14">
        <v>3.9148000000000004E-3</v>
      </c>
      <c r="E2018" s="14">
        <v>0.51457319999999995</v>
      </c>
      <c r="F2018" s="14">
        <v>6.2315299999999997E-2</v>
      </c>
      <c r="G2018" s="14">
        <v>4.9634859999999996</v>
      </c>
      <c r="H2018" s="14">
        <v>0.18112410000000001</v>
      </c>
      <c r="R2018" s="11">
        <f t="shared" si="64"/>
        <v>8.2943907620587349E-6</v>
      </c>
      <c r="Z2018" s="11">
        <f t="shared" si="63"/>
        <v>9.9755226243597234E-6</v>
      </c>
    </row>
    <row r="2019" spans="1:26" x14ac:dyDescent="0.2">
      <c r="A2019" s="45">
        <v>361</v>
      </c>
      <c r="B2019" s="45">
        <v>1997</v>
      </c>
      <c r="C2019" s="17">
        <v>0</v>
      </c>
      <c r="D2019" s="14">
        <v>0.1229596</v>
      </c>
      <c r="E2019" s="14">
        <v>0.35759340000000001</v>
      </c>
      <c r="F2019" s="14">
        <v>7.6287900000000006E-2</v>
      </c>
      <c r="G2019" s="14">
        <v>9.7819760000000002</v>
      </c>
      <c r="H2019" s="14">
        <v>0.21062320000000001</v>
      </c>
      <c r="R2019" s="11">
        <f t="shared" si="64"/>
        <v>4.3107396192207676E-9</v>
      </c>
      <c r="Z2019" s="11">
        <f t="shared" si="63"/>
        <v>4.6909222222721999E-9</v>
      </c>
    </row>
    <row r="2020" spans="1:26" x14ac:dyDescent="0.2">
      <c r="A2020" s="45">
        <v>361</v>
      </c>
      <c r="B2020" s="45">
        <v>1998</v>
      </c>
      <c r="C2020" s="17">
        <v>0</v>
      </c>
      <c r="D2020" s="14">
        <v>8.5409499999999999E-2</v>
      </c>
      <c r="E2020" s="14">
        <v>0.3466341</v>
      </c>
      <c r="F2020" s="14">
        <v>8.6288699999999996E-2</v>
      </c>
      <c r="G2020" s="14">
        <v>12.004960000000001</v>
      </c>
      <c r="H2020" s="14">
        <v>0.23792079999999999</v>
      </c>
      <c r="R2020" s="11">
        <f t="shared" si="64"/>
        <v>1.1701105327673136E-10</v>
      </c>
      <c r="Z2020" s="11">
        <f t="shared" si="63"/>
        <v>1.2219975853225423E-10</v>
      </c>
    </row>
    <row r="2021" spans="1:26" x14ac:dyDescent="0.2">
      <c r="A2021" s="45">
        <v>361</v>
      </c>
      <c r="B2021" s="45">
        <v>1999</v>
      </c>
      <c r="C2021" s="17">
        <v>0</v>
      </c>
      <c r="D2021" s="14">
        <v>0.27969709999999998</v>
      </c>
      <c r="E2021" s="14">
        <v>0.3806794</v>
      </c>
      <c r="F2021" s="14">
        <v>0.10028280000000001</v>
      </c>
      <c r="G2021" s="14">
        <v>9.3054609999999993</v>
      </c>
      <c r="H2021" s="14">
        <v>0.2342813</v>
      </c>
      <c r="R2021" s="11">
        <f t="shared" si="64"/>
        <v>7.3520330699811019E-9</v>
      </c>
      <c r="Z2021" s="11">
        <f t="shared" si="63"/>
        <v>8.25195352902166E-9</v>
      </c>
    </row>
    <row r="2022" spans="1:26" x14ac:dyDescent="0.2">
      <c r="A2022" s="45">
        <v>361</v>
      </c>
      <c r="B2022" s="45">
        <v>2000</v>
      </c>
      <c r="C2022" s="17">
        <v>0</v>
      </c>
      <c r="D2022" s="14">
        <v>0.2358189</v>
      </c>
      <c r="E2022" s="14">
        <v>0.41808830000000002</v>
      </c>
      <c r="F2022" s="14">
        <v>8.3437200000000003E-2</v>
      </c>
      <c r="G2022" s="14">
        <v>12.19356</v>
      </c>
      <c r="H2022" s="14">
        <v>0.2356587</v>
      </c>
      <c r="R2022" s="11">
        <f t="shared" si="64"/>
        <v>7.9888344876247799E-11</v>
      </c>
      <c r="Z2022" s="11">
        <f t="shared" si="63"/>
        <v>8.3094393427929473E-11</v>
      </c>
    </row>
    <row r="2023" spans="1:26" x14ac:dyDescent="0.2">
      <c r="A2023" s="45">
        <v>361</v>
      </c>
      <c r="B2023" s="45">
        <v>2001</v>
      </c>
      <c r="C2023" s="17">
        <v>0</v>
      </c>
      <c r="D2023" s="14">
        <v>0.14751549999999999</v>
      </c>
      <c r="E2023" s="14">
        <v>0.43441999999999997</v>
      </c>
      <c r="F2023" s="14">
        <v>7.1918700000000002E-2</v>
      </c>
      <c r="G2023" s="14">
        <v>9.4963390000000008</v>
      </c>
      <c r="H2023" s="14">
        <v>0.20693710000000001</v>
      </c>
      <c r="R2023" s="11">
        <f t="shared" si="64"/>
        <v>6.2936487486687824E-9</v>
      </c>
      <c r="Z2023" s="11">
        <f t="shared" si="63"/>
        <v>6.8853963612780873E-9</v>
      </c>
    </row>
    <row r="2024" spans="1:26" x14ac:dyDescent="0.2">
      <c r="A2024" s="45">
        <v>361</v>
      </c>
      <c r="B2024" s="45">
        <v>2002</v>
      </c>
      <c r="C2024" s="17">
        <v>0</v>
      </c>
      <c r="D2024" s="14">
        <v>0.1706695</v>
      </c>
      <c r="E2024" s="14">
        <v>0.43547269999999999</v>
      </c>
      <c r="F2024" s="14">
        <v>8.0781599999999995E-2</v>
      </c>
      <c r="G2024" s="14">
        <v>6.6452989999999996</v>
      </c>
      <c r="H2024" s="14">
        <v>0.1820417</v>
      </c>
      <c r="R2024" s="11">
        <f t="shared" si="64"/>
        <v>5.5032871761689096E-7</v>
      </c>
      <c r="Z2024" s="11">
        <f t="shared" si="63"/>
        <v>6.4578202706965866E-7</v>
      </c>
    </row>
    <row r="2025" spans="1:26" x14ac:dyDescent="0.2">
      <c r="A2025" s="45">
        <v>361</v>
      </c>
      <c r="B2025" s="45">
        <v>2003</v>
      </c>
      <c r="C2025" s="17">
        <v>0</v>
      </c>
      <c r="D2025" s="14">
        <v>0.1813041</v>
      </c>
      <c r="E2025" s="14">
        <v>0.46034999999999998</v>
      </c>
      <c r="F2025" s="14">
        <v>7.0955299999999999E-2</v>
      </c>
      <c r="G2025" s="14">
        <v>6.659262</v>
      </c>
      <c r="H2025" s="14">
        <v>0.18748860000000001</v>
      </c>
      <c r="R2025" s="11">
        <f t="shared" si="64"/>
        <v>5.6154586354215781E-7</v>
      </c>
      <c r="Z2025" s="11">
        <f t="shared" si="63"/>
        <v>6.5401502582795192E-7</v>
      </c>
    </row>
    <row r="2026" spans="1:26" x14ac:dyDescent="0.2">
      <c r="A2026" s="45">
        <v>361</v>
      </c>
      <c r="B2026" s="45">
        <v>2004</v>
      </c>
      <c r="C2026" s="17">
        <v>0</v>
      </c>
      <c r="D2026" s="14">
        <v>0.24164550000000001</v>
      </c>
      <c r="E2026" s="14">
        <v>0.4229425</v>
      </c>
      <c r="F2026" s="14">
        <v>6.0721299999999999E-2</v>
      </c>
      <c r="G2026" s="14">
        <v>4.6363219999999998</v>
      </c>
      <c r="H2026" s="14">
        <v>0.17786460000000001</v>
      </c>
      <c r="R2026" s="11">
        <f t="shared" si="64"/>
        <v>1.6166184584709792E-5</v>
      </c>
      <c r="Z2026" s="11">
        <f t="shared" si="63"/>
        <v>1.9496445041623018E-5</v>
      </c>
    </row>
    <row r="2027" spans="1:26" x14ac:dyDescent="0.2">
      <c r="A2027" s="45">
        <v>362</v>
      </c>
      <c r="B2027" s="45">
        <v>1997</v>
      </c>
      <c r="C2027" s="17">
        <v>0</v>
      </c>
      <c r="D2027" s="14">
        <v>0.13114799999999999</v>
      </c>
      <c r="E2027" s="14">
        <v>0.19071940000000001</v>
      </c>
      <c r="F2027" s="14">
        <v>7.0125699999999999E-2</v>
      </c>
      <c r="G2027" s="14">
        <v>1.2054860000000001</v>
      </c>
      <c r="H2027" s="14">
        <v>0.33559159999999999</v>
      </c>
      <c r="R2027" s="11">
        <f t="shared" si="64"/>
        <v>4.9530740580609415E-3</v>
      </c>
      <c r="Z2027" s="11">
        <f t="shared" si="63"/>
        <v>6.4310403340823484E-3</v>
      </c>
    </row>
    <row r="2028" spans="1:26" x14ac:dyDescent="0.2">
      <c r="A2028" s="45">
        <v>362</v>
      </c>
      <c r="B2028" s="45">
        <v>1998</v>
      </c>
      <c r="C2028" s="17">
        <v>0</v>
      </c>
      <c r="D2028" s="14">
        <v>0.13635120000000001</v>
      </c>
      <c r="E2028" s="14">
        <v>0.2347902</v>
      </c>
      <c r="F2028" s="14">
        <v>8.7735599999999997E-2</v>
      </c>
      <c r="G2028" s="14">
        <v>1.2459009999999999</v>
      </c>
      <c r="H2028" s="14">
        <v>0.32863249999999999</v>
      </c>
      <c r="R2028" s="11">
        <f t="shared" si="64"/>
        <v>3.787972897683011E-3</v>
      </c>
      <c r="Z2028" s="11">
        <f t="shared" si="63"/>
        <v>4.9942595194716385E-3</v>
      </c>
    </row>
    <row r="2029" spans="1:26" x14ac:dyDescent="0.2">
      <c r="A2029" s="45">
        <v>362</v>
      </c>
      <c r="B2029" s="45">
        <v>1999</v>
      </c>
      <c r="C2029" s="17">
        <v>0</v>
      </c>
      <c r="D2029" s="14">
        <v>0.1177487</v>
      </c>
      <c r="E2029" s="14">
        <v>0.26911000000000002</v>
      </c>
      <c r="F2029" s="14">
        <v>6.8766099999999997E-2</v>
      </c>
      <c r="G2029" s="14">
        <v>0.92137100000000005</v>
      </c>
      <c r="H2029" s="14">
        <v>0.3495663</v>
      </c>
      <c r="R2029" s="11">
        <f t="shared" si="64"/>
        <v>7.0118058024952338E-3</v>
      </c>
      <c r="Z2029" s="11">
        <f t="shared" si="63"/>
        <v>9.1693239337274739E-3</v>
      </c>
    </row>
    <row r="2030" spans="1:26" x14ac:dyDescent="0.2">
      <c r="A2030" s="45">
        <v>363</v>
      </c>
      <c r="B2030" s="45">
        <v>1995</v>
      </c>
      <c r="C2030" s="17">
        <v>0</v>
      </c>
      <c r="D2030" s="14">
        <v>0.4291355</v>
      </c>
      <c r="E2030" s="14">
        <v>0.63502369999999997</v>
      </c>
      <c r="F2030" s="14">
        <v>0.10176689999999999</v>
      </c>
      <c r="G2030" s="14">
        <v>3.5003730000000002</v>
      </c>
      <c r="H2030" s="14">
        <v>0.56831180000000003</v>
      </c>
      <c r="R2030" s="11">
        <f t="shared" si="64"/>
        <v>5.2270423341674717E-5</v>
      </c>
      <c r="Z2030" s="11">
        <f t="shared" si="63"/>
        <v>6.7333567197278851E-5</v>
      </c>
    </row>
    <row r="2031" spans="1:26" x14ac:dyDescent="0.2">
      <c r="A2031" s="45">
        <v>363</v>
      </c>
      <c r="B2031" s="45">
        <v>1996</v>
      </c>
      <c r="C2031" s="17">
        <v>0</v>
      </c>
      <c r="D2031" s="14">
        <v>0.18133850000000001</v>
      </c>
      <c r="E2031" s="14">
        <v>0.8967984</v>
      </c>
      <c r="F2031" s="14">
        <v>0.13628180000000001</v>
      </c>
      <c r="G2031" s="14">
        <v>2.5425080000000002</v>
      </c>
      <c r="H2031" s="14">
        <v>0.74893160000000003</v>
      </c>
      <c r="R2031" s="11">
        <f t="shared" si="64"/>
        <v>1.2472281467476292E-4</v>
      </c>
      <c r="Z2031" s="11">
        <f t="shared" si="63"/>
        <v>1.7031495096714528E-4</v>
      </c>
    </row>
    <row r="2032" spans="1:26" x14ac:dyDescent="0.2">
      <c r="A2032" s="45">
        <v>363</v>
      </c>
      <c r="B2032" s="45">
        <v>1997</v>
      </c>
      <c r="C2032" s="17">
        <v>0</v>
      </c>
      <c r="D2032" s="14">
        <v>0.2490994</v>
      </c>
      <c r="E2032" s="14">
        <v>0.87779119999999999</v>
      </c>
      <c r="F2032" s="14">
        <v>0.1466441</v>
      </c>
      <c r="G2032" s="14">
        <v>3.8245450000000001</v>
      </c>
      <c r="H2032" s="14">
        <v>0.7847655</v>
      </c>
      <c r="R2032" s="11">
        <f t="shared" si="64"/>
        <v>1.530079350489851E-5</v>
      </c>
      <c r="Z2032" s="11">
        <f t="shared" si="63"/>
        <v>2.0473083515752123E-5</v>
      </c>
    </row>
    <row r="2033" spans="1:26" x14ac:dyDescent="0.2">
      <c r="A2033" s="45">
        <v>363</v>
      </c>
      <c r="B2033" s="45">
        <v>1998</v>
      </c>
      <c r="C2033" s="17">
        <v>0</v>
      </c>
      <c r="D2033" s="14">
        <v>0.26854509999999998</v>
      </c>
      <c r="E2033" s="14">
        <v>1.2482519999999999</v>
      </c>
      <c r="F2033" s="14">
        <v>0.1408597</v>
      </c>
      <c r="G2033" s="14">
        <v>3.957865</v>
      </c>
      <c r="H2033" s="14">
        <v>0.74385939999999995</v>
      </c>
      <c r="R2033" s="11">
        <f t="shared" si="64"/>
        <v>7.5614771093602442E-6</v>
      </c>
      <c r="Z2033" s="11">
        <f t="shared" si="63"/>
        <v>1.016851443856774E-5</v>
      </c>
    </row>
    <row r="2034" spans="1:26" x14ac:dyDescent="0.2">
      <c r="A2034" s="45">
        <v>363</v>
      </c>
      <c r="B2034" s="45">
        <v>1999</v>
      </c>
      <c r="C2034" s="17">
        <v>0</v>
      </c>
      <c r="D2034" s="14">
        <v>0.29111690000000001</v>
      </c>
      <c r="E2034" s="14">
        <v>1.51017</v>
      </c>
      <c r="F2034" s="14">
        <v>0.17321700000000001</v>
      </c>
      <c r="G2034" s="14">
        <v>3.4215339999999999</v>
      </c>
      <c r="H2034" s="14">
        <v>0.82735749999999997</v>
      </c>
      <c r="R2034" s="11">
        <f t="shared" si="64"/>
        <v>9.3754687402134658E-6</v>
      </c>
      <c r="Z2034" s="11">
        <f t="shared" si="63"/>
        <v>1.3218752007386469E-5</v>
      </c>
    </row>
    <row r="2035" spans="1:26" x14ac:dyDescent="0.2">
      <c r="A2035" s="45">
        <v>363</v>
      </c>
      <c r="B2035" s="45">
        <v>2000</v>
      </c>
      <c r="C2035" s="17">
        <v>0</v>
      </c>
      <c r="D2035" s="14">
        <v>0.276229</v>
      </c>
      <c r="E2035" s="14">
        <v>0.55342170000000002</v>
      </c>
      <c r="F2035" s="14">
        <v>0.14676649999999999</v>
      </c>
      <c r="G2035" s="14">
        <v>4.9887030000000001</v>
      </c>
      <c r="H2035" s="14">
        <v>0.89079220000000003</v>
      </c>
      <c r="R2035" s="11">
        <f t="shared" si="64"/>
        <v>3.8319797592475952E-6</v>
      </c>
      <c r="Z2035" s="11">
        <f t="shared" si="63"/>
        <v>4.94282896879293E-6</v>
      </c>
    </row>
    <row r="2036" spans="1:26" x14ac:dyDescent="0.2">
      <c r="A2036" s="45">
        <v>363</v>
      </c>
      <c r="B2036" s="45">
        <v>2001</v>
      </c>
      <c r="C2036" s="17">
        <v>0</v>
      </c>
      <c r="D2036" s="14">
        <v>0.31599549999999998</v>
      </c>
      <c r="E2036" s="14">
        <v>0.56455770000000005</v>
      </c>
      <c r="F2036" s="14">
        <v>0.15886900000000001</v>
      </c>
      <c r="G2036" s="14">
        <v>4.0483359999999999</v>
      </c>
      <c r="H2036" s="14">
        <v>0.68669659999999999</v>
      </c>
      <c r="R2036" s="11">
        <f t="shared" si="64"/>
        <v>1.5316534141306456E-5</v>
      </c>
      <c r="Z2036" s="11">
        <f t="shared" si="63"/>
        <v>2.037880589805858E-5</v>
      </c>
    </row>
    <row r="2037" spans="1:26" x14ac:dyDescent="0.2">
      <c r="A2037" s="45">
        <v>363</v>
      </c>
      <c r="B2037" s="45">
        <v>2002</v>
      </c>
      <c r="C2037" s="17">
        <v>0</v>
      </c>
      <c r="D2037" s="14">
        <v>0.3346478</v>
      </c>
      <c r="E2037" s="14">
        <v>0.42427520000000002</v>
      </c>
      <c r="F2037" s="14">
        <v>9.9953E-2</v>
      </c>
      <c r="G2037" s="14">
        <v>2.7876789999999998</v>
      </c>
      <c r="H2037" s="14">
        <v>0.44294499999999998</v>
      </c>
      <c r="R2037" s="11">
        <f t="shared" si="64"/>
        <v>2.2429134262162503E-4</v>
      </c>
      <c r="Z2037" s="11">
        <f t="shared" si="63"/>
        <v>2.9093688958574089E-4</v>
      </c>
    </row>
    <row r="2038" spans="1:26" x14ac:dyDescent="0.2">
      <c r="A2038" s="45">
        <v>363</v>
      </c>
      <c r="B2038" s="45">
        <v>2003</v>
      </c>
      <c r="C2038" s="17">
        <v>0</v>
      </c>
      <c r="D2038" s="14">
        <v>0.41966249999999999</v>
      </c>
      <c r="E2038" s="14">
        <v>0.45907629999999999</v>
      </c>
      <c r="F2038" s="14">
        <v>0.104031</v>
      </c>
      <c r="G2038" s="14">
        <v>3.6346790000000002</v>
      </c>
      <c r="H2038" s="14">
        <v>0.44557540000000001</v>
      </c>
      <c r="R2038" s="11">
        <f t="shared" si="64"/>
        <v>5.352349183255241E-5</v>
      </c>
      <c r="Z2038" s="11">
        <f t="shared" si="63"/>
        <v>6.8457727548083464E-5</v>
      </c>
    </row>
    <row r="2039" spans="1:26" x14ac:dyDescent="0.2">
      <c r="A2039" s="45">
        <v>363</v>
      </c>
      <c r="B2039" s="45">
        <v>2004</v>
      </c>
      <c r="C2039" s="17">
        <v>0</v>
      </c>
      <c r="D2039" s="14">
        <v>0.2218348</v>
      </c>
      <c r="E2039" s="14">
        <v>0.58691420000000005</v>
      </c>
      <c r="F2039" s="14">
        <v>0.122252</v>
      </c>
      <c r="G2039" s="14">
        <v>2.5999050000000001</v>
      </c>
      <c r="H2039" s="14">
        <v>0.56637309999999996</v>
      </c>
      <c r="R2039" s="11">
        <f t="shared" si="64"/>
        <v>1.9980749929428756E-4</v>
      </c>
      <c r="Z2039" s="11">
        <f t="shared" si="63"/>
        <v>2.6653431481026891E-4</v>
      </c>
    </row>
    <row r="2040" spans="1:26" x14ac:dyDescent="0.2">
      <c r="A2040" s="45">
        <v>364</v>
      </c>
      <c r="B2040" s="45">
        <v>1998</v>
      </c>
      <c r="C2040" s="17">
        <v>0</v>
      </c>
      <c r="D2040" s="14">
        <v>-7.5807000000000001E-3</v>
      </c>
      <c r="E2040" s="14">
        <v>0.41167789999999999</v>
      </c>
      <c r="F2040" s="14">
        <v>8.0206899999999998E-2</v>
      </c>
      <c r="G2040" s="14">
        <v>4.8172360000000003</v>
      </c>
      <c r="H2040" s="14">
        <v>0.16519639999999999</v>
      </c>
      <c r="R2040" s="11">
        <f t="shared" si="64"/>
        <v>1.0539565314379345E-5</v>
      </c>
      <c r="Z2040" s="11">
        <f t="shared" si="63"/>
        <v>1.2859077888054447E-5</v>
      </c>
    </row>
    <row r="2041" spans="1:26" x14ac:dyDescent="0.2">
      <c r="A2041" s="45">
        <v>365</v>
      </c>
      <c r="B2041" s="45">
        <v>1995</v>
      </c>
      <c r="C2041" s="17">
        <v>0</v>
      </c>
      <c r="D2041" s="14">
        <v>7.7705899999999994E-2</v>
      </c>
      <c r="E2041" s="14">
        <v>0.19859370000000001</v>
      </c>
      <c r="F2041" s="14">
        <v>5.1514900000000002E-2</v>
      </c>
      <c r="G2041" s="14">
        <v>1.0333140000000001</v>
      </c>
      <c r="H2041" s="14">
        <v>0.39946310000000002</v>
      </c>
      <c r="R2041" s="11">
        <f t="shared" si="64"/>
        <v>7.4579434373374795E-3</v>
      </c>
      <c r="Z2041" s="11">
        <f t="shared" si="63"/>
        <v>9.5694004841014434E-3</v>
      </c>
    </row>
    <row r="2042" spans="1:26" x14ac:dyDescent="0.2">
      <c r="A2042" s="45">
        <v>365</v>
      </c>
      <c r="B2042" s="45">
        <v>1996</v>
      </c>
      <c r="C2042" s="17">
        <v>0</v>
      </c>
      <c r="D2042" s="14">
        <v>4.7756600000000003E-2</v>
      </c>
      <c r="E2042" s="14">
        <v>0.19214639999999999</v>
      </c>
      <c r="F2042" s="14">
        <v>5.3887600000000001E-2</v>
      </c>
      <c r="G2042" s="14">
        <v>0.82710589999999995</v>
      </c>
      <c r="H2042" s="14">
        <v>0.33845049999999999</v>
      </c>
      <c r="R2042" s="11">
        <f t="shared" si="64"/>
        <v>1.0231675854683337E-2</v>
      </c>
      <c r="Z2042" s="11">
        <f t="shared" si="63"/>
        <v>1.319939264861422E-2</v>
      </c>
    </row>
    <row r="2043" spans="1:26" x14ac:dyDescent="0.2">
      <c r="A2043" s="45">
        <v>365</v>
      </c>
      <c r="B2043" s="45">
        <v>1997</v>
      </c>
      <c r="C2043" s="17">
        <v>0</v>
      </c>
      <c r="D2043" s="14">
        <v>6.7422899999999994E-2</v>
      </c>
      <c r="E2043" s="14">
        <v>0.22001009999999999</v>
      </c>
      <c r="F2043" s="14">
        <v>5.5257500000000001E-2</v>
      </c>
      <c r="G2043" s="14">
        <v>0.99745729999999999</v>
      </c>
      <c r="H2043" s="14">
        <v>0.33452310000000002</v>
      </c>
      <c r="R2043" s="11">
        <f t="shared" si="64"/>
        <v>7.4288632870107944E-3</v>
      </c>
      <c r="Z2043" s="11">
        <f t="shared" si="63"/>
        <v>9.5756137936864189E-3</v>
      </c>
    </row>
    <row r="2044" spans="1:26" x14ac:dyDescent="0.2">
      <c r="A2044" s="45">
        <v>365</v>
      </c>
      <c r="B2044" s="45">
        <v>1998</v>
      </c>
      <c r="C2044" s="17">
        <v>0</v>
      </c>
      <c r="D2044" s="14">
        <v>6.9503200000000001E-2</v>
      </c>
      <c r="E2044" s="14">
        <v>0.22138859999999999</v>
      </c>
      <c r="F2044" s="14">
        <v>5.3519200000000003E-2</v>
      </c>
      <c r="G2044" s="14">
        <v>0.93989469999999997</v>
      </c>
      <c r="H2044" s="14">
        <v>0.33619840000000001</v>
      </c>
      <c r="R2044" s="11">
        <f t="shared" si="64"/>
        <v>8.2333570656409893E-3</v>
      </c>
      <c r="Z2044" s="11">
        <f t="shared" si="63"/>
        <v>1.0608945555594003E-2</v>
      </c>
    </row>
    <row r="2045" spans="1:26" x14ac:dyDescent="0.2">
      <c r="A2045" s="45">
        <v>365</v>
      </c>
      <c r="B2045" s="45">
        <v>1999</v>
      </c>
      <c r="C2045" s="17">
        <v>0</v>
      </c>
      <c r="D2045" s="14">
        <v>9.6872100000000003E-2</v>
      </c>
      <c r="E2045" s="14">
        <v>0.2441885</v>
      </c>
      <c r="F2045" s="14">
        <v>5.42529E-2</v>
      </c>
      <c r="G2045" s="14">
        <v>1.109502</v>
      </c>
      <c r="H2045" s="14">
        <v>0.32081670000000001</v>
      </c>
      <c r="R2045" s="11">
        <f t="shared" si="64"/>
        <v>6.0561908228781098E-3</v>
      </c>
      <c r="Z2045" s="11">
        <f t="shared" si="63"/>
        <v>7.7903409693124486E-3</v>
      </c>
    </row>
    <row r="2046" spans="1:26" x14ac:dyDescent="0.2">
      <c r="A2046" s="45">
        <v>365</v>
      </c>
      <c r="B2046" s="45">
        <v>2000</v>
      </c>
      <c r="C2046" s="17">
        <v>0</v>
      </c>
      <c r="D2046" s="14">
        <v>0.1225754</v>
      </c>
      <c r="E2046" s="14">
        <v>0.25388919999999998</v>
      </c>
      <c r="F2046" s="14">
        <v>5.3614799999999997E-2</v>
      </c>
      <c r="G2046" s="14">
        <v>0.6971543</v>
      </c>
      <c r="H2046" s="14">
        <v>0.32680550000000003</v>
      </c>
      <c r="R2046" s="11">
        <f t="shared" si="64"/>
        <v>1.1515425409886685E-2</v>
      </c>
      <c r="Z2046" s="11">
        <f t="shared" si="63"/>
        <v>1.4919624306913638E-2</v>
      </c>
    </row>
    <row r="2047" spans="1:26" x14ac:dyDescent="0.2">
      <c r="A2047" s="45">
        <v>366</v>
      </c>
      <c r="B2047" s="45">
        <v>2001</v>
      </c>
      <c r="C2047" s="17">
        <v>0</v>
      </c>
      <c r="D2047" s="14">
        <v>0.36934509999999998</v>
      </c>
      <c r="E2047" s="14">
        <v>1.080117</v>
      </c>
      <c r="F2047" s="14">
        <v>8.03735E-2</v>
      </c>
      <c r="G2047" s="14">
        <v>2.9534500000000001</v>
      </c>
      <c r="H2047" s="14">
        <v>0.47763949999999999</v>
      </c>
      <c r="R2047" s="11">
        <f t="shared" si="64"/>
        <v>7.7628209670691558E-5</v>
      </c>
      <c r="Z2047" s="11">
        <f t="shared" si="63"/>
        <v>1.0097922018890464E-4</v>
      </c>
    </row>
    <row r="2048" spans="1:26" x14ac:dyDescent="0.2">
      <c r="A2048" s="45">
        <v>366</v>
      </c>
      <c r="B2048" s="45">
        <v>2002</v>
      </c>
      <c r="C2048" s="17">
        <v>0</v>
      </c>
      <c r="D2048" s="14">
        <v>0.30002760000000001</v>
      </c>
      <c r="E2048" s="14">
        <v>1.005306</v>
      </c>
      <c r="F2048" s="14">
        <v>7.3362300000000005E-2</v>
      </c>
      <c r="G2048" s="14">
        <v>3.1763840000000001</v>
      </c>
      <c r="H2048" s="14">
        <v>0.46565279999999998</v>
      </c>
      <c r="R2048" s="11">
        <f t="shared" si="64"/>
        <v>6.417012502835299E-5</v>
      </c>
      <c r="Z2048" s="11">
        <f t="shared" si="63"/>
        <v>8.2376990639981951E-5</v>
      </c>
    </row>
    <row r="2049" spans="1:26" x14ac:dyDescent="0.2">
      <c r="A2049" s="45">
        <v>366</v>
      </c>
      <c r="B2049" s="45">
        <v>2003</v>
      </c>
      <c r="C2049" s="17">
        <v>0</v>
      </c>
      <c r="D2049" s="14">
        <v>0.34186030000000001</v>
      </c>
      <c r="E2049" s="14">
        <v>0.9811957</v>
      </c>
      <c r="F2049" s="14">
        <v>6.8383600000000003E-2</v>
      </c>
      <c r="G2049" s="14">
        <v>3.791512</v>
      </c>
      <c r="H2049" s="14">
        <v>0.41506890000000002</v>
      </c>
      <c r="R2049" s="11">
        <f t="shared" si="64"/>
        <v>2.5950564279793075E-5</v>
      </c>
      <c r="Z2049" s="11">
        <f t="shared" si="63"/>
        <v>3.2704733818465964E-5</v>
      </c>
    </row>
    <row r="2050" spans="1:26" x14ac:dyDescent="0.2">
      <c r="A2050" s="45">
        <v>366</v>
      </c>
      <c r="B2050" s="45">
        <v>2004</v>
      </c>
      <c r="C2050" s="17">
        <v>0</v>
      </c>
      <c r="D2050" s="14">
        <v>0.31729760000000001</v>
      </c>
      <c r="E2050" s="14">
        <v>0.93626120000000002</v>
      </c>
      <c r="F2050" s="14">
        <v>5.7705300000000001E-2</v>
      </c>
      <c r="G2050" s="14">
        <v>3.778686</v>
      </c>
      <c r="H2050" s="14">
        <v>0.4181588</v>
      </c>
      <c r="R2050" s="11">
        <f t="shared" si="64"/>
        <v>3.079585170442255E-5</v>
      </c>
      <c r="Z2050" s="11">
        <f t="shared" ref="Z2050:Z2113" si="65">1/(1+EXP(-(U$2+$V$2*E2050+$W$2*F2050+$X$2*G2050)))</f>
        <v>3.8424484348141425E-5</v>
      </c>
    </row>
    <row r="2051" spans="1:26" x14ac:dyDescent="0.2">
      <c r="A2051" s="45">
        <v>367</v>
      </c>
      <c r="B2051" s="45">
        <v>1995</v>
      </c>
      <c r="C2051" s="17">
        <v>0</v>
      </c>
      <c r="D2051" s="14">
        <v>0.17946529999999999</v>
      </c>
      <c r="E2051" s="14">
        <v>0.30045189999999999</v>
      </c>
      <c r="F2051" s="14">
        <v>6.1104199999999997E-2</v>
      </c>
      <c r="G2051" s="14">
        <v>1.42218</v>
      </c>
      <c r="H2051" s="14">
        <v>0.37569809999999998</v>
      </c>
      <c r="R2051" s="11">
        <f t="shared" si="64"/>
        <v>3.2188932599520248E-3</v>
      </c>
      <c r="Z2051" s="11">
        <f t="shared" si="65"/>
        <v>4.146709427022663E-3</v>
      </c>
    </row>
    <row r="2052" spans="1:26" x14ac:dyDescent="0.2">
      <c r="A2052" s="45">
        <v>367</v>
      </c>
      <c r="B2052" s="45">
        <v>1996</v>
      </c>
      <c r="C2052" s="17">
        <v>0</v>
      </c>
      <c r="D2052" s="14">
        <v>5.73993E-2</v>
      </c>
      <c r="E2052" s="14">
        <v>0.21830630000000001</v>
      </c>
      <c r="F2052" s="14">
        <v>5.7584099999999999E-2</v>
      </c>
      <c r="G2052" s="14">
        <v>0.81648270000000001</v>
      </c>
      <c r="H2052" s="14">
        <v>0.28705419999999998</v>
      </c>
      <c r="R2052" s="11">
        <f t="shared" si="64"/>
        <v>9.7310091914651186E-3</v>
      </c>
      <c r="Z2052" s="11">
        <f t="shared" si="65"/>
        <v>1.2607035687245197E-2</v>
      </c>
    </row>
    <row r="2053" spans="1:26" x14ac:dyDescent="0.2">
      <c r="A2053" s="45">
        <v>367</v>
      </c>
      <c r="B2053" s="45">
        <v>1997</v>
      </c>
      <c r="C2053" s="17">
        <v>0</v>
      </c>
      <c r="D2053" s="14">
        <v>5.6878400000000003E-2</v>
      </c>
      <c r="E2053" s="14">
        <v>0.19091849999999999</v>
      </c>
      <c r="F2053" s="14">
        <v>5.8259199999999997E-2</v>
      </c>
      <c r="G2053" s="14">
        <v>0.83828499999999995</v>
      </c>
      <c r="H2053" s="14">
        <v>0.31187530000000002</v>
      </c>
      <c r="R2053" s="11">
        <f t="shared" si="64"/>
        <v>9.7279091250773598E-3</v>
      </c>
      <c r="Z2053" s="11">
        <f t="shared" si="65"/>
        <v>1.2592265280840566E-2</v>
      </c>
    </row>
    <row r="2054" spans="1:26" x14ac:dyDescent="0.2">
      <c r="A2054" s="45">
        <v>367</v>
      </c>
      <c r="B2054" s="45">
        <v>1998</v>
      </c>
      <c r="C2054" s="17">
        <v>0</v>
      </c>
      <c r="D2054" s="14">
        <v>3.7717100000000003E-2</v>
      </c>
      <c r="E2054" s="14">
        <v>0.23254920000000001</v>
      </c>
      <c r="F2054" s="14">
        <v>5.8103200000000001E-2</v>
      </c>
      <c r="G2054" s="14">
        <v>0.76141970000000003</v>
      </c>
      <c r="H2054" s="14">
        <v>0.27671869999999998</v>
      </c>
      <c r="R2054" s="11">
        <f t="shared" si="64"/>
        <v>1.0356066743547842E-2</v>
      </c>
      <c r="Z2054" s="11">
        <f t="shared" si="65"/>
        <v>1.3442497095550969E-2</v>
      </c>
    </row>
    <row r="2055" spans="1:26" x14ac:dyDescent="0.2">
      <c r="A2055" s="45">
        <v>367</v>
      </c>
      <c r="B2055" s="45">
        <v>1999</v>
      </c>
      <c r="C2055" s="17">
        <v>0</v>
      </c>
      <c r="D2055" s="14">
        <v>9.3811199999999997E-2</v>
      </c>
      <c r="E2055" s="14">
        <v>0.22379969999999999</v>
      </c>
      <c r="F2055" s="14">
        <v>4.9354200000000001E-2</v>
      </c>
      <c r="G2055" s="14">
        <v>0.4033871</v>
      </c>
      <c r="H2055" s="14">
        <v>0.25632169999999999</v>
      </c>
      <c r="R2055" s="11">
        <f t="shared" si="64"/>
        <v>1.9714135616223916E-2</v>
      </c>
      <c r="Z2055" s="11">
        <f t="shared" si="65"/>
        <v>2.5527918050038432E-2</v>
      </c>
    </row>
    <row r="2056" spans="1:26" x14ac:dyDescent="0.2">
      <c r="A2056" s="45">
        <v>367</v>
      </c>
      <c r="B2056" s="45">
        <v>2000</v>
      </c>
      <c r="C2056" s="17">
        <v>0</v>
      </c>
      <c r="D2056" s="14">
        <v>6.5651899999999999E-2</v>
      </c>
      <c r="E2056" s="14">
        <v>0.20210719999999999</v>
      </c>
      <c r="F2056" s="14">
        <v>5.1459199999999997E-2</v>
      </c>
      <c r="G2056" s="14">
        <v>0.65698639999999997</v>
      </c>
      <c r="H2056" s="14">
        <v>0.28091349999999998</v>
      </c>
      <c r="R2056" s="11">
        <f t="shared" si="64"/>
        <v>1.344065570897679E-2</v>
      </c>
      <c r="Z2056" s="11">
        <f t="shared" si="65"/>
        <v>1.7358587781819056E-2</v>
      </c>
    </row>
    <row r="2057" spans="1:26" x14ac:dyDescent="0.2">
      <c r="A2057" s="45">
        <v>367</v>
      </c>
      <c r="B2057" s="45">
        <v>2001</v>
      </c>
      <c r="C2057" s="17">
        <v>0</v>
      </c>
      <c r="D2057" s="14">
        <v>6.2155799999999997E-2</v>
      </c>
      <c r="E2057" s="14">
        <v>0.16978699999999999</v>
      </c>
      <c r="F2057" s="14">
        <v>2.9925E-2</v>
      </c>
      <c r="G2057" s="14">
        <v>0.99150709999999997</v>
      </c>
      <c r="H2057" s="14">
        <v>0.30213760000000001</v>
      </c>
      <c r="R2057" s="11">
        <f t="shared" si="64"/>
        <v>9.8558824714214104E-3</v>
      </c>
      <c r="Z2057" s="11">
        <f t="shared" si="65"/>
        <v>1.2417840186126959E-2</v>
      </c>
    </row>
    <row r="2058" spans="1:26" x14ac:dyDescent="0.2">
      <c r="A2058" s="45">
        <v>367</v>
      </c>
      <c r="B2058" s="45">
        <v>2002</v>
      </c>
      <c r="C2058" s="17">
        <v>0</v>
      </c>
      <c r="D2058" s="14">
        <v>6.5967700000000004E-2</v>
      </c>
      <c r="E2058" s="14">
        <v>0.12718750000000001</v>
      </c>
      <c r="F2058" s="14">
        <v>5.5479399999999998E-2</v>
      </c>
      <c r="G2058" s="14">
        <v>1.3449789999999999</v>
      </c>
      <c r="H2058" s="14">
        <v>0.33061059999999998</v>
      </c>
      <c r="R2058" s="11">
        <f t="shared" si="64"/>
        <v>4.8905721424992157E-3</v>
      </c>
      <c r="Z2058" s="11">
        <f t="shared" si="65"/>
        <v>6.2420557935080065E-3</v>
      </c>
    </row>
    <row r="2059" spans="1:26" x14ac:dyDescent="0.2">
      <c r="A2059" s="45">
        <v>367</v>
      </c>
      <c r="B2059" s="45">
        <v>2003</v>
      </c>
      <c r="C2059" s="17">
        <v>0</v>
      </c>
      <c r="D2059" s="14">
        <v>6.10138E-2</v>
      </c>
      <c r="E2059" s="14">
        <v>0.1814954</v>
      </c>
      <c r="F2059" s="14">
        <v>5.82938E-2</v>
      </c>
      <c r="G2059" s="14">
        <v>1.225835</v>
      </c>
      <c r="H2059" s="14">
        <v>0.36864950000000002</v>
      </c>
      <c r="R2059" s="11">
        <f t="shared" si="64"/>
        <v>5.3401154461489896E-3</v>
      </c>
      <c r="Z2059" s="11">
        <f t="shared" si="65"/>
        <v>6.8611043918926249E-3</v>
      </c>
    </row>
    <row r="2060" spans="1:26" x14ac:dyDescent="0.2">
      <c r="A2060" s="45">
        <v>367</v>
      </c>
      <c r="B2060" s="45">
        <v>2004</v>
      </c>
      <c r="C2060" s="17">
        <v>0</v>
      </c>
      <c r="D2060" s="14">
        <v>4.7729800000000003E-2</v>
      </c>
      <c r="E2060" s="14">
        <v>0.19778129999999999</v>
      </c>
      <c r="F2060" s="14">
        <v>4.3996399999999998E-2</v>
      </c>
      <c r="G2060" s="14">
        <v>1.3636520000000001</v>
      </c>
      <c r="H2060" s="14">
        <v>0.41277069999999999</v>
      </c>
      <c r="R2060" s="11">
        <f t="shared" si="64"/>
        <v>4.6971447810684169E-3</v>
      </c>
      <c r="Z2060" s="11">
        <f t="shared" si="65"/>
        <v>5.9515336827887233E-3</v>
      </c>
    </row>
    <row r="2061" spans="1:26" x14ac:dyDescent="0.2">
      <c r="A2061" s="45">
        <v>368</v>
      </c>
      <c r="B2061" s="45">
        <v>1997</v>
      </c>
      <c r="C2061" s="17">
        <v>0</v>
      </c>
      <c r="D2061" s="14">
        <v>3.3591700000000002E-2</v>
      </c>
      <c r="E2061" s="14">
        <v>5.3308000000000001E-3</v>
      </c>
      <c r="F2061" s="14">
        <v>-2.0519300000000001E-2</v>
      </c>
      <c r="G2061" s="14">
        <v>0.63490449999999998</v>
      </c>
      <c r="H2061" s="14">
        <v>7.8849199999999994E-2</v>
      </c>
      <c r="R2061" s="11">
        <f t="shared" si="64"/>
        <v>3.2330719881150632E-2</v>
      </c>
      <c r="Z2061" s="11">
        <f t="shared" si="65"/>
        <v>3.9002380985501697E-2</v>
      </c>
    </row>
    <row r="2062" spans="1:26" x14ac:dyDescent="0.2">
      <c r="A2062" s="45">
        <v>368</v>
      </c>
      <c r="B2062" s="45">
        <v>1998</v>
      </c>
      <c r="C2062" s="17">
        <v>0</v>
      </c>
      <c r="D2062" s="14">
        <v>1.27563E-2</v>
      </c>
      <c r="E2062" s="14">
        <v>-0.19575090000000001</v>
      </c>
      <c r="F2062" s="14">
        <v>-9.4346299999999994E-2</v>
      </c>
      <c r="G2062" s="14">
        <v>0.19101380000000001</v>
      </c>
      <c r="H2062" s="14">
        <v>7.0308200000000001E-2</v>
      </c>
      <c r="R2062" s="11">
        <f t="shared" si="64"/>
        <v>0.14081136238822162</v>
      </c>
      <c r="Z2062" s="11">
        <f t="shared" si="65"/>
        <v>0.1582006866829864</v>
      </c>
    </row>
    <row r="2063" spans="1:26" x14ac:dyDescent="0.2">
      <c r="A2063" s="45">
        <v>368</v>
      </c>
      <c r="B2063" s="45">
        <v>1999</v>
      </c>
      <c r="C2063" s="17">
        <v>0</v>
      </c>
      <c r="D2063" s="14">
        <v>5.57893E-2</v>
      </c>
      <c r="E2063" s="14">
        <v>-0.26406439999999998</v>
      </c>
      <c r="F2063" s="14">
        <v>3.5131200000000001E-2</v>
      </c>
      <c r="G2063" s="14">
        <v>0.22019449999999999</v>
      </c>
      <c r="H2063" s="14">
        <v>7.8363600000000005E-2</v>
      </c>
      <c r="R2063" s="11">
        <f t="shared" si="64"/>
        <v>5.7788578306588657E-2</v>
      </c>
      <c r="Z2063" s="11">
        <f t="shared" si="65"/>
        <v>7.23324868261319E-2</v>
      </c>
    </row>
    <row r="2064" spans="1:26" x14ac:dyDescent="0.2">
      <c r="A2064" s="45">
        <v>368</v>
      </c>
      <c r="B2064" s="45">
        <v>2000</v>
      </c>
      <c r="C2064" s="17">
        <v>0</v>
      </c>
      <c r="D2064" s="14">
        <v>5.6740600000000002E-2</v>
      </c>
      <c r="E2064" s="14">
        <v>-0.23803079999999999</v>
      </c>
      <c r="F2064" s="14">
        <v>5.5438800000000003E-2</v>
      </c>
      <c r="G2064" s="14">
        <v>0.63206439999999997</v>
      </c>
      <c r="H2064" s="14">
        <v>0.1113717</v>
      </c>
      <c r="R2064" s="11">
        <f t="shared" si="64"/>
        <v>2.5379976985146737E-2</v>
      </c>
      <c r="Z2064" s="11">
        <f t="shared" si="65"/>
        <v>3.2308591003231739E-2</v>
      </c>
    </row>
    <row r="2065" spans="1:26" x14ac:dyDescent="0.2">
      <c r="A2065" s="45">
        <v>368</v>
      </c>
      <c r="B2065" s="45">
        <v>2001</v>
      </c>
      <c r="C2065" s="17">
        <v>0</v>
      </c>
      <c r="D2065" s="14">
        <v>7.2609900000000005E-2</v>
      </c>
      <c r="E2065" s="14">
        <v>-0.16465779999999999</v>
      </c>
      <c r="F2065" s="14">
        <v>7.0339E-3</v>
      </c>
      <c r="G2065" s="14">
        <v>0.56012329999999999</v>
      </c>
      <c r="H2065" s="14">
        <v>9.8671200000000001E-2</v>
      </c>
      <c r="R2065" s="11">
        <f t="shared" si="64"/>
        <v>3.7221587504588274E-2</v>
      </c>
      <c r="Z2065" s="11">
        <f t="shared" si="65"/>
        <v>4.565092786705769E-2</v>
      </c>
    </row>
    <row r="2066" spans="1:26" x14ac:dyDescent="0.2">
      <c r="A2066" s="45">
        <v>368</v>
      </c>
      <c r="B2066" s="45">
        <v>2002</v>
      </c>
      <c r="C2066" s="17">
        <v>0</v>
      </c>
      <c r="D2066" s="14">
        <v>-1.8834199999999999E-2</v>
      </c>
      <c r="E2066" s="14">
        <v>-0.2295065</v>
      </c>
      <c r="F2066" s="14">
        <v>4.8313200000000001E-2</v>
      </c>
      <c r="G2066" s="14">
        <v>0.67584339999999998</v>
      </c>
      <c r="H2066" s="14">
        <v>0.1182105</v>
      </c>
      <c r="R2066" s="11">
        <f t="shared" si="64"/>
        <v>2.4764942305118037E-2</v>
      </c>
      <c r="Z2066" s="11">
        <f t="shared" si="65"/>
        <v>3.1332813796317929E-2</v>
      </c>
    </row>
    <row r="2067" spans="1:26" x14ac:dyDescent="0.2">
      <c r="A2067" s="45">
        <v>368</v>
      </c>
      <c r="B2067" s="45">
        <v>2003</v>
      </c>
      <c r="C2067" s="17">
        <v>0</v>
      </c>
      <c r="D2067" s="14">
        <v>-1.6047100000000002E-2</v>
      </c>
      <c r="E2067" s="14">
        <v>-0.16677739999999999</v>
      </c>
      <c r="F2067" s="14">
        <v>5.3783600000000001E-2</v>
      </c>
      <c r="G2067" s="14">
        <v>0.9929308</v>
      </c>
      <c r="H2067" s="14">
        <v>9.8766699999999999E-2</v>
      </c>
      <c r="R2067" s="11">
        <f t="shared" si="64"/>
        <v>1.3209446467585024E-2</v>
      </c>
      <c r="Z2067" s="11">
        <f t="shared" si="65"/>
        <v>1.6759643690017142E-2</v>
      </c>
    </row>
    <row r="2068" spans="1:26" x14ac:dyDescent="0.2">
      <c r="A2068" s="45">
        <v>368</v>
      </c>
      <c r="B2068" s="45">
        <v>2004</v>
      </c>
      <c r="C2068" s="17">
        <v>0</v>
      </c>
      <c r="D2068" s="14">
        <v>8.1606000000000005E-3</v>
      </c>
      <c r="E2068" s="14">
        <v>-5.47751E-2</v>
      </c>
      <c r="F2068" s="14">
        <v>4.62336E-2</v>
      </c>
      <c r="G2068" s="14">
        <v>1.406452</v>
      </c>
      <c r="H2068" s="14">
        <v>8.2922700000000002E-2</v>
      </c>
      <c r="R2068" s="11">
        <f t="shared" si="64"/>
        <v>6.2124300214802799E-3</v>
      </c>
      <c r="Z2068" s="11">
        <f t="shared" si="65"/>
        <v>7.8078937752405929E-3</v>
      </c>
    </row>
    <row r="2069" spans="1:26" x14ac:dyDescent="0.2">
      <c r="A2069" s="45">
        <v>369</v>
      </c>
      <c r="B2069" s="45">
        <v>2001</v>
      </c>
      <c r="C2069" s="17">
        <v>0</v>
      </c>
      <c r="D2069" s="14">
        <v>0.49170229999999998</v>
      </c>
      <c r="E2069" s="14">
        <v>6.8736699999999998E-2</v>
      </c>
      <c r="F2069" s="14">
        <v>1.605E-4</v>
      </c>
      <c r="G2069" s="14">
        <v>1.6841759999999999</v>
      </c>
      <c r="H2069" s="14">
        <v>0.24069850000000001</v>
      </c>
      <c r="R2069" s="11">
        <f t="shared" si="64"/>
        <v>4.8274491289255804E-3</v>
      </c>
      <c r="Z2069" s="11">
        <f t="shared" si="65"/>
        <v>5.834840154529561E-3</v>
      </c>
    </row>
    <row r="2070" spans="1:26" x14ac:dyDescent="0.2">
      <c r="A2070" s="45">
        <v>369</v>
      </c>
      <c r="B2070" s="45">
        <v>2002</v>
      </c>
      <c r="C2070" s="17">
        <v>0</v>
      </c>
      <c r="D2070" s="14">
        <v>0.49659910000000002</v>
      </c>
      <c r="E2070" s="14">
        <v>-8.56629E-2</v>
      </c>
      <c r="F2070" s="14">
        <v>-1.9680000000000001E-4</v>
      </c>
      <c r="G2070" s="14">
        <v>1.4507650000000001</v>
      </c>
      <c r="H2070" s="14">
        <v>0.20906459999999999</v>
      </c>
      <c r="R2070" s="11">
        <f t="shared" si="64"/>
        <v>8.7555164566254697E-3</v>
      </c>
      <c r="Z2070" s="11">
        <f t="shared" si="65"/>
        <v>1.0569250433895396E-2</v>
      </c>
    </row>
    <row r="2071" spans="1:26" x14ac:dyDescent="0.2">
      <c r="A2071" s="45">
        <v>369</v>
      </c>
      <c r="B2071" s="45">
        <v>2003</v>
      </c>
      <c r="C2071" s="17">
        <v>0</v>
      </c>
      <c r="D2071" s="14">
        <v>0.35804449999999999</v>
      </c>
      <c r="E2071" s="14">
        <v>-0.2163069</v>
      </c>
      <c r="F2071" s="14">
        <v>7.6979999999999995E-4</v>
      </c>
      <c r="G2071" s="14">
        <v>1.4317120000000001</v>
      </c>
      <c r="H2071" s="14">
        <v>0.25360899999999997</v>
      </c>
      <c r="R2071" s="11">
        <f t="shared" ref="R2071:R2134" si="66">1/(1+EXP(-(K$2+$M$2*E2071+$N$2*F2071+$O$2*G2071)))</f>
        <v>1.0807086231794173E-2</v>
      </c>
      <c r="Z2071" s="11">
        <f t="shared" si="65"/>
        <v>1.2998250269721196E-2</v>
      </c>
    </row>
    <row r="2072" spans="1:26" x14ac:dyDescent="0.2">
      <c r="A2072" s="45">
        <v>369</v>
      </c>
      <c r="B2072" s="45">
        <v>2004</v>
      </c>
      <c r="C2072" s="17">
        <v>0</v>
      </c>
      <c r="D2072" s="14">
        <v>0.47814259999999997</v>
      </c>
      <c r="E2072" s="14">
        <v>-2.9348800000000001E-2</v>
      </c>
      <c r="F2072" s="14">
        <v>8.71976E-2</v>
      </c>
      <c r="G2072" s="14">
        <v>3.3611659999999999</v>
      </c>
      <c r="H2072" s="14">
        <v>0.42973210000000001</v>
      </c>
      <c r="R2072" s="11">
        <f t="shared" si="66"/>
        <v>1.9261277631952382E-4</v>
      </c>
      <c r="Z2072" s="11">
        <f t="shared" si="65"/>
        <v>2.4038172402426745E-4</v>
      </c>
    </row>
    <row r="2073" spans="1:26" x14ac:dyDescent="0.2">
      <c r="A2073" s="45">
        <v>370</v>
      </c>
      <c r="B2073" s="45">
        <v>1998</v>
      </c>
      <c r="C2073" s="17">
        <v>0</v>
      </c>
      <c r="D2073" s="14">
        <v>0.15683849999999999</v>
      </c>
      <c r="E2073" s="14">
        <v>9.9538699999999994E-2</v>
      </c>
      <c r="F2073" s="14">
        <v>9.0662999999999994E-3</v>
      </c>
      <c r="G2073" s="14">
        <v>1.459554</v>
      </c>
      <c r="H2073" s="14">
        <v>0.13065779999999999</v>
      </c>
      <c r="R2073" s="11">
        <f t="shared" si="66"/>
        <v>6.1406421011672291E-3</v>
      </c>
      <c r="Z2073" s="11">
        <f t="shared" si="65"/>
        <v>7.5186426505897972E-3</v>
      </c>
    </row>
    <row r="2074" spans="1:26" x14ac:dyDescent="0.2">
      <c r="A2074" s="45">
        <v>370</v>
      </c>
      <c r="B2074" s="45">
        <v>1999</v>
      </c>
      <c r="C2074" s="17">
        <v>0</v>
      </c>
      <c r="D2074" s="14">
        <v>-1.5162999999999999E-3</v>
      </c>
      <c r="E2074" s="14">
        <v>0.10218679999999999</v>
      </c>
      <c r="F2074" s="14">
        <v>5.3985600000000002E-2</v>
      </c>
      <c r="G2074" s="14">
        <v>0.81729719999999995</v>
      </c>
      <c r="H2074" s="14">
        <v>0.16806209999999999</v>
      </c>
      <c r="R2074" s="11">
        <f t="shared" si="66"/>
        <v>1.1816959256246751E-2</v>
      </c>
      <c r="Z2074" s="11">
        <f t="shared" si="65"/>
        <v>1.5195646297567781E-2</v>
      </c>
    </row>
    <row r="2075" spans="1:26" x14ac:dyDescent="0.2">
      <c r="A2075" s="45">
        <v>370</v>
      </c>
      <c r="B2075" s="45">
        <v>2000</v>
      </c>
      <c r="C2075" s="17">
        <v>0</v>
      </c>
      <c r="D2075" s="14">
        <v>-1.22484E-2</v>
      </c>
      <c r="E2075" s="14">
        <v>8.3212999999999995E-2</v>
      </c>
      <c r="F2075" s="14">
        <v>4.1974299999999999E-2</v>
      </c>
      <c r="G2075" s="14">
        <v>0.69370719999999997</v>
      </c>
      <c r="H2075" s="14">
        <v>0.18259230000000001</v>
      </c>
      <c r="R2075" s="11">
        <f t="shared" si="66"/>
        <v>1.6211142064085863E-2</v>
      </c>
      <c r="Z2075" s="11">
        <f t="shared" si="65"/>
        <v>2.0661835237710206E-2</v>
      </c>
    </row>
    <row r="2076" spans="1:26" x14ac:dyDescent="0.2">
      <c r="A2076" s="45">
        <v>370</v>
      </c>
      <c r="B2076" s="45">
        <v>2001</v>
      </c>
      <c r="C2076" s="17">
        <v>0</v>
      </c>
      <c r="D2076" s="14">
        <v>-1.01274E-2</v>
      </c>
      <c r="E2076" s="14">
        <v>7.9685199999999998E-2</v>
      </c>
      <c r="F2076" s="14">
        <v>4.2326900000000001E-2</v>
      </c>
      <c r="G2076" s="14">
        <v>0.58104990000000001</v>
      </c>
      <c r="H2076" s="14">
        <v>0.16260640000000001</v>
      </c>
      <c r="R2076" s="11">
        <f t="shared" si="66"/>
        <v>1.938132947202733E-2</v>
      </c>
      <c r="Z2076" s="11">
        <f t="shared" si="65"/>
        <v>2.4744392592343092E-2</v>
      </c>
    </row>
    <row r="2077" spans="1:26" x14ac:dyDescent="0.2">
      <c r="A2077" s="45">
        <v>370</v>
      </c>
      <c r="B2077" s="45">
        <v>2002</v>
      </c>
      <c r="C2077" s="17">
        <v>0</v>
      </c>
      <c r="D2077" s="14">
        <v>2.96283E-2</v>
      </c>
      <c r="E2077" s="14">
        <v>5.5252099999999998E-2</v>
      </c>
      <c r="F2077" s="14">
        <v>5.0282500000000001E-2</v>
      </c>
      <c r="G2077" s="14">
        <v>0.5593148</v>
      </c>
      <c r="H2077" s="14">
        <v>0.171741</v>
      </c>
      <c r="R2077" s="11">
        <f t="shared" si="66"/>
        <v>1.9505747447543329E-2</v>
      </c>
      <c r="Z2077" s="11">
        <f t="shared" si="65"/>
        <v>2.5052438982894443E-2</v>
      </c>
    </row>
    <row r="2078" spans="1:26" x14ac:dyDescent="0.2">
      <c r="A2078" s="45">
        <v>370</v>
      </c>
      <c r="B2078" s="45">
        <v>2003</v>
      </c>
      <c r="C2078" s="17">
        <v>0</v>
      </c>
      <c r="D2078" s="14">
        <v>7.7355599999999997E-2</v>
      </c>
      <c r="E2078" s="14">
        <v>6.9048200000000004E-2</v>
      </c>
      <c r="F2078" s="14">
        <v>3.8616499999999998E-2</v>
      </c>
      <c r="G2078" s="14">
        <v>0.56445789999999996</v>
      </c>
      <c r="H2078" s="14">
        <v>0.15998789999999999</v>
      </c>
      <c r="R2078" s="11">
        <f t="shared" si="66"/>
        <v>2.0789747579911699E-2</v>
      </c>
      <c r="Z2078" s="11">
        <f t="shared" si="65"/>
        <v>2.6453572941516307E-2</v>
      </c>
    </row>
    <row r="2079" spans="1:26" x14ac:dyDescent="0.2">
      <c r="A2079" s="45">
        <v>370</v>
      </c>
      <c r="B2079" s="45">
        <v>2004</v>
      </c>
      <c r="C2079" s="17">
        <v>0</v>
      </c>
      <c r="D2079" s="14">
        <v>8.5144899999999996E-2</v>
      </c>
      <c r="E2079" s="14">
        <v>9.4143199999999996E-2</v>
      </c>
      <c r="F2079" s="14">
        <v>4.5568400000000002E-2</v>
      </c>
      <c r="G2079" s="14">
        <v>0.71268050000000005</v>
      </c>
      <c r="H2079" s="14">
        <v>0.16005559999999999</v>
      </c>
      <c r="R2079" s="11">
        <f t="shared" si="66"/>
        <v>1.5059230099608915E-2</v>
      </c>
      <c r="Z2079" s="11">
        <f t="shared" si="65"/>
        <v>1.9254584922339602E-2</v>
      </c>
    </row>
    <row r="2080" spans="1:26" x14ac:dyDescent="0.2">
      <c r="A2080" s="45">
        <v>371</v>
      </c>
      <c r="B2080" s="45">
        <v>2002</v>
      </c>
      <c r="C2080" s="17">
        <v>0</v>
      </c>
      <c r="D2080" s="14">
        <v>5.50743E-2</v>
      </c>
      <c r="E2080" s="14">
        <v>0.30308220000000002</v>
      </c>
      <c r="F2080" s="14">
        <v>4.0894699999999999E-2</v>
      </c>
      <c r="G2080" s="14">
        <v>0.42191859999999998</v>
      </c>
      <c r="H2080" s="14">
        <v>0.1880608</v>
      </c>
      <c r="R2080" s="11">
        <f t="shared" si="66"/>
        <v>1.8277276462689972E-2</v>
      </c>
      <c r="Z2080" s="11">
        <f t="shared" si="65"/>
        <v>2.3570881375713639E-2</v>
      </c>
    </row>
    <row r="2081" spans="1:26" x14ac:dyDescent="0.2">
      <c r="A2081" s="45">
        <v>371</v>
      </c>
      <c r="B2081" s="45">
        <v>2003</v>
      </c>
      <c r="C2081" s="17">
        <v>0</v>
      </c>
      <c r="D2081" s="14">
        <v>5.6457E-2</v>
      </c>
      <c r="E2081" s="14">
        <v>0.30607960000000001</v>
      </c>
      <c r="F2081" s="14">
        <v>3.4396599999999999E-2</v>
      </c>
      <c r="G2081" s="14">
        <v>0.7005169</v>
      </c>
      <c r="H2081" s="14">
        <v>0.2007651</v>
      </c>
      <c r="R2081" s="11">
        <f t="shared" si="66"/>
        <v>1.2370383277203049E-2</v>
      </c>
      <c r="Z2081" s="11">
        <f t="shared" si="65"/>
        <v>1.5803391301409415E-2</v>
      </c>
    </row>
    <row r="2082" spans="1:26" x14ac:dyDescent="0.2">
      <c r="A2082" s="45">
        <v>371</v>
      </c>
      <c r="B2082" s="45">
        <v>2004</v>
      </c>
      <c r="C2082" s="17">
        <v>0</v>
      </c>
      <c r="D2082" s="14">
        <v>8.0913200000000005E-2</v>
      </c>
      <c r="E2082" s="14">
        <v>0.32627109999999998</v>
      </c>
      <c r="F2082" s="14">
        <v>5.0050400000000002E-2</v>
      </c>
      <c r="G2082" s="14">
        <v>0.97407359999999998</v>
      </c>
      <c r="H2082" s="14">
        <v>0.20253689999999999</v>
      </c>
      <c r="R2082" s="11">
        <f t="shared" si="66"/>
        <v>6.891744137922525E-3</v>
      </c>
      <c r="Z2082" s="11">
        <f t="shared" si="65"/>
        <v>8.8836922641102965E-3</v>
      </c>
    </row>
    <row r="2083" spans="1:26" x14ac:dyDescent="0.2">
      <c r="A2083" s="45">
        <v>372</v>
      </c>
      <c r="B2083" s="45">
        <v>1997</v>
      </c>
      <c r="C2083" s="17">
        <v>0</v>
      </c>
      <c r="D2083" s="14">
        <v>0.27662530000000002</v>
      </c>
      <c r="E2083" s="14">
        <v>1.8072399999999999E-2</v>
      </c>
      <c r="F2083" s="14">
        <v>3.4078200000000003E-2</v>
      </c>
      <c r="G2083" s="14">
        <v>0.65458269999999996</v>
      </c>
      <c r="H2083" s="14">
        <v>0.33701049999999999</v>
      </c>
      <c r="R2083" s="11">
        <f t="shared" si="66"/>
        <v>2.0124515008926945E-2</v>
      </c>
      <c r="Z2083" s="11">
        <f t="shared" si="65"/>
        <v>2.5426534491532607E-2</v>
      </c>
    </row>
    <row r="2084" spans="1:26" x14ac:dyDescent="0.2">
      <c r="A2084" s="45">
        <v>372</v>
      </c>
      <c r="B2084" s="45">
        <v>1998</v>
      </c>
      <c r="C2084" s="17">
        <v>0</v>
      </c>
      <c r="D2084" s="14">
        <v>0.29323480000000002</v>
      </c>
      <c r="E2084" s="14">
        <v>2.87881E-2</v>
      </c>
      <c r="F2084" s="14">
        <v>7.0716500000000002E-2</v>
      </c>
      <c r="G2084" s="14">
        <v>0.46315909999999999</v>
      </c>
      <c r="H2084" s="14">
        <v>0.471082</v>
      </c>
      <c r="R2084" s="11">
        <f t="shared" si="66"/>
        <v>2.0053622684675303E-2</v>
      </c>
      <c r="Z2084" s="11">
        <f t="shared" si="65"/>
        <v>2.620647437788096E-2</v>
      </c>
    </row>
    <row r="2085" spans="1:26" x14ac:dyDescent="0.2">
      <c r="A2085" s="45">
        <v>372</v>
      </c>
      <c r="B2085" s="45">
        <v>1999</v>
      </c>
      <c r="C2085" s="17">
        <v>0</v>
      </c>
      <c r="D2085" s="14">
        <v>0.2752753</v>
      </c>
      <c r="E2085" s="14">
        <v>2.07496E-2</v>
      </c>
      <c r="F2085" s="14">
        <v>5.0813400000000002E-2</v>
      </c>
      <c r="G2085" s="14">
        <v>0.26784839999999999</v>
      </c>
      <c r="H2085" s="14">
        <v>0.47716239999999999</v>
      </c>
      <c r="R2085" s="11">
        <f t="shared" si="66"/>
        <v>3.2079032761756547E-2</v>
      </c>
      <c r="Z2085" s="11">
        <f t="shared" si="65"/>
        <v>4.1275223061587069E-2</v>
      </c>
    </row>
    <row r="2086" spans="1:26" x14ac:dyDescent="0.2">
      <c r="A2086" s="45">
        <v>372</v>
      </c>
      <c r="B2086" s="45">
        <v>2000</v>
      </c>
      <c r="C2086" s="17">
        <v>0</v>
      </c>
      <c r="D2086" s="14">
        <v>0.3297889</v>
      </c>
      <c r="E2086" s="14">
        <v>2.50102E-2</v>
      </c>
      <c r="F2086" s="14">
        <v>6.9703899999999999E-2</v>
      </c>
      <c r="G2086" s="14">
        <v>0.14195630000000001</v>
      </c>
      <c r="H2086" s="14">
        <v>0.5064862</v>
      </c>
      <c r="R2086" s="11">
        <f t="shared" si="66"/>
        <v>3.3451717629638243E-2</v>
      </c>
      <c r="Z2086" s="11">
        <f t="shared" si="65"/>
        <v>4.378803102623835E-2</v>
      </c>
    </row>
    <row r="2087" spans="1:26" x14ac:dyDescent="0.2">
      <c r="A2087" s="45">
        <v>372</v>
      </c>
      <c r="B2087" s="45">
        <v>2001</v>
      </c>
      <c r="C2087" s="17">
        <v>0</v>
      </c>
      <c r="D2087" s="14">
        <v>0.27365400000000001</v>
      </c>
      <c r="E2087" s="14">
        <v>3.5341699999999997E-2</v>
      </c>
      <c r="F2087" s="14">
        <v>3.4082500000000002E-2</v>
      </c>
      <c r="G2087" s="14">
        <v>0.13774510000000001</v>
      </c>
      <c r="H2087" s="14">
        <v>0.43603189999999997</v>
      </c>
      <c r="R2087" s="11">
        <f t="shared" si="66"/>
        <v>4.3646618007210182E-2</v>
      </c>
      <c r="Z2087" s="11">
        <f t="shared" si="65"/>
        <v>5.5422890909869016E-2</v>
      </c>
    </row>
    <row r="2088" spans="1:26" x14ac:dyDescent="0.2">
      <c r="A2088" s="45">
        <v>372</v>
      </c>
      <c r="B2088" s="45">
        <v>2002</v>
      </c>
      <c r="C2088" s="17">
        <v>0</v>
      </c>
      <c r="D2088" s="14">
        <v>0.32444129999999999</v>
      </c>
      <c r="E2088" s="14">
        <v>-0.40830810000000001</v>
      </c>
      <c r="F2088" s="14">
        <v>6.1050300000000002E-2</v>
      </c>
      <c r="G2088" s="14">
        <v>7.2713100000000003E-2</v>
      </c>
      <c r="H2088" s="14">
        <v>0.5921556</v>
      </c>
      <c r="R2088" s="11">
        <f t="shared" si="66"/>
        <v>7.2157676067969051E-2</v>
      </c>
      <c r="Z2088" s="11">
        <f t="shared" si="65"/>
        <v>9.1586135267998123E-2</v>
      </c>
    </row>
    <row r="2089" spans="1:26" x14ac:dyDescent="0.2">
      <c r="A2089" s="45">
        <v>372</v>
      </c>
      <c r="B2089" s="45">
        <v>2003</v>
      </c>
      <c r="C2089" s="17">
        <v>0</v>
      </c>
      <c r="D2089" s="14">
        <v>0.36120780000000002</v>
      </c>
      <c r="E2089" s="14">
        <v>-0.67896829999999997</v>
      </c>
      <c r="F2089" s="14">
        <v>4.7518600000000001E-2</v>
      </c>
      <c r="G2089" s="14">
        <v>7.0017499999999996E-2</v>
      </c>
      <c r="H2089" s="14">
        <v>0.80380019999999996</v>
      </c>
      <c r="R2089" s="11">
        <f t="shared" si="66"/>
        <v>0.11426210988049332</v>
      </c>
      <c r="Z2089" s="11">
        <f t="shared" si="65"/>
        <v>0.14080162244659503</v>
      </c>
    </row>
    <row r="2090" spans="1:26" x14ac:dyDescent="0.2">
      <c r="A2090" s="45">
        <v>372</v>
      </c>
      <c r="B2090" s="45">
        <v>2004</v>
      </c>
      <c r="C2090" s="17">
        <v>0</v>
      </c>
      <c r="D2090" s="14">
        <v>0.34536919999999999</v>
      </c>
      <c r="E2090" s="14">
        <v>-0.58866099999999999</v>
      </c>
      <c r="F2090" s="14">
        <v>5.5982299999999999E-2</v>
      </c>
      <c r="G2090" s="14">
        <v>0.28807379999999999</v>
      </c>
      <c r="H2090" s="14">
        <v>0.91863989999999995</v>
      </c>
      <c r="R2090" s="11">
        <f t="shared" si="66"/>
        <v>6.9497781516502849E-2</v>
      </c>
      <c r="Z2090" s="11">
        <f t="shared" si="65"/>
        <v>8.7072111625616594E-2</v>
      </c>
    </row>
    <row r="2091" spans="1:26" x14ac:dyDescent="0.2">
      <c r="A2091" s="45">
        <v>373</v>
      </c>
      <c r="B2091" s="45">
        <v>1995</v>
      </c>
      <c r="C2091" s="17">
        <v>0</v>
      </c>
      <c r="D2091" s="14">
        <v>3.1291199999999998E-2</v>
      </c>
      <c r="E2091" s="14">
        <v>0.33437689999999998</v>
      </c>
      <c r="F2091" s="14">
        <v>4.7093999999999997E-2</v>
      </c>
      <c r="G2091" s="14">
        <v>1.331083</v>
      </c>
      <c r="H2091" s="14">
        <v>0.16562479999999999</v>
      </c>
      <c r="R2091" s="11">
        <f t="shared" si="66"/>
        <v>3.9598509664653878E-3</v>
      </c>
      <c r="Z2091" s="11">
        <f t="shared" si="65"/>
        <v>5.0581290293791326E-3</v>
      </c>
    </row>
    <row r="2092" spans="1:26" x14ac:dyDescent="0.2">
      <c r="A2092" s="45">
        <v>373</v>
      </c>
      <c r="B2092" s="45">
        <v>1996</v>
      </c>
      <c r="C2092" s="17">
        <v>0</v>
      </c>
      <c r="D2092" s="14">
        <v>3.34688E-2</v>
      </c>
      <c r="E2092" s="14">
        <v>0.32758609999999999</v>
      </c>
      <c r="F2092" s="14">
        <v>7.7735600000000002E-2</v>
      </c>
      <c r="G2092" s="14">
        <v>2.0783360000000002</v>
      </c>
      <c r="H2092" s="14">
        <v>0.1515135</v>
      </c>
      <c r="R2092" s="11">
        <f t="shared" si="66"/>
        <v>9.5425086962280423E-4</v>
      </c>
      <c r="Z2092" s="11">
        <f t="shared" si="65"/>
        <v>1.2302497082730263E-3</v>
      </c>
    </row>
    <row r="2093" spans="1:26" x14ac:dyDescent="0.2">
      <c r="A2093" s="45">
        <v>374</v>
      </c>
      <c r="B2093" s="45">
        <v>2000</v>
      </c>
      <c r="C2093" s="17">
        <v>0</v>
      </c>
      <c r="D2093" s="14">
        <v>0.10546030000000001</v>
      </c>
      <c r="E2093" s="14">
        <v>0.31375219999999998</v>
      </c>
      <c r="F2093" s="14">
        <v>4.6449999999999998E-3</v>
      </c>
      <c r="G2093" s="14">
        <v>0.54502700000000004</v>
      </c>
      <c r="H2093" s="14">
        <v>0.19428809999999999</v>
      </c>
      <c r="R2093" s="11">
        <f t="shared" si="66"/>
        <v>1.9735835018843371E-2</v>
      </c>
      <c r="Z2093" s="11">
        <f t="shared" si="65"/>
        <v>2.4658045670029681E-2</v>
      </c>
    </row>
    <row r="2094" spans="1:26" x14ac:dyDescent="0.2">
      <c r="A2094" s="45">
        <v>374</v>
      </c>
      <c r="B2094" s="45">
        <v>2002</v>
      </c>
      <c r="C2094" s="17">
        <v>0</v>
      </c>
      <c r="D2094" s="14">
        <v>0.1047153</v>
      </c>
      <c r="E2094" s="14">
        <v>0.28051379999999998</v>
      </c>
      <c r="F2094" s="14">
        <v>4.14039E-2</v>
      </c>
      <c r="G2094" s="14">
        <v>0.50204839999999995</v>
      </c>
      <c r="H2094" s="14">
        <v>0.1485648</v>
      </c>
      <c r="R2094" s="11">
        <f t="shared" si="66"/>
        <v>1.6583851889782779E-2</v>
      </c>
      <c r="Z2094" s="11">
        <f t="shared" si="65"/>
        <v>2.1353321597847107E-2</v>
      </c>
    </row>
    <row r="2095" spans="1:26" x14ac:dyDescent="0.2">
      <c r="A2095" s="45">
        <v>374</v>
      </c>
      <c r="B2095" s="45">
        <v>2003</v>
      </c>
      <c r="C2095" s="17">
        <v>0</v>
      </c>
      <c r="D2095" s="14">
        <v>0.35063569999999999</v>
      </c>
      <c r="E2095" s="14">
        <v>0.33054410000000001</v>
      </c>
      <c r="F2095" s="14">
        <v>9.0322899999999998E-2</v>
      </c>
      <c r="G2095" s="14">
        <v>1.0336209999999999</v>
      </c>
      <c r="H2095" s="14">
        <v>0.25030370000000002</v>
      </c>
      <c r="R2095" s="11">
        <f t="shared" si="66"/>
        <v>4.5242676421635248E-3</v>
      </c>
      <c r="Z2095" s="11">
        <f t="shared" si="65"/>
        <v>6.0236638851225823E-3</v>
      </c>
    </row>
    <row r="2096" spans="1:26" x14ac:dyDescent="0.2">
      <c r="A2096" s="45">
        <v>374</v>
      </c>
      <c r="B2096" s="45">
        <v>2004</v>
      </c>
      <c r="C2096" s="17">
        <v>0</v>
      </c>
      <c r="D2096" s="14">
        <v>0.35475109999999999</v>
      </c>
      <c r="E2096" s="14">
        <v>0.40997830000000002</v>
      </c>
      <c r="F2096" s="14">
        <v>5.5138399999999997E-2</v>
      </c>
      <c r="G2096" s="14">
        <v>1.7734570000000001</v>
      </c>
      <c r="H2096" s="14">
        <v>0.20867640000000001</v>
      </c>
      <c r="R2096" s="11">
        <f t="shared" si="66"/>
        <v>1.6475460219464273E-3</v>
      </c>
      <c r="Z2096" s="11">
        <f t="shared" si="65"/>
        <v>2.1046856137400208E-3</v>
      </c>
    </row>
    <row r="2097" spans="1:26" x14ac:dyDescent="0.2">
      <c r="A2097" s="45">
        <v>375</v>
      </c>
      <c r="B2097" s="45">
        <v>1995</v>
      </c>
      <c r="C2097" s="17">
        <v>0</v>
      </c>
      <c r="D2097" s="14">
        <v>0.20395579999999999</v>
      </c>
      <c r="E2097" s="14">
        <v>0.31428319999999998</v>
      </c>
      <c r="F2097" s="14">
        <v>4.9005899999999998E-2</v>
      </c>
      <c r="G2097" s="14">
        <v>2.6586699999999999</v>
      </c>
      <c r="H2097" s="14">
        <v>0.51364960000000004</v>
      </c>
      <c r="R2097" s="11">
        <f t="shared" si="66"/>
        <v>4.857683148843692E-4</v>
      </c>
      <c r="Z2097" s="11">
        <f t="shared" si="65"/>
        <v>6.0374414262017676E-4</v>
      </c>
    </row>
    <row r="2098" spans="1:26" x14ac:dyDescent="0.2">
      <c r="A2098" s="45">
        <v>375</v>
      </c>
      <c r="B2098" s="45">
        <v>1996</v>
      </c>
      <c r="C2098" s="17">
        <v>0</v>
      </c>
      <c r="D2098" s="14">
        <v>0.13879130000000001</v>
      </c>
      <c r="E2098" s="14">
        <v>0.31258219999999998</v>
      </c>
      <c r="F2098" s="14">
        <v>4.3839900000000001E-2</v>
      </c>
      <c r="G2098" s="14">
        <v>2.6164130000000001</v>
      </c>
      <c r="H2098" s="14">
        <v>0.4986466</v>
      </c>
      <c r="R2098" s="11">
        <f t="shared" si="66"/>
        <v>5.4283838026367604E-4</v>
      </c>
      <c r="Z2098" s="11">
        <f t="shared" si="65"/>
        <v>6.7240203641497596E-4</v>
      </c>
    </row>
    <row r="2099" spans="1:26" x14ac:dyDescent="0.2">
      <c r="A2099" s="45">
        <v>375</v>
      </c>
      <c r="B2099" s="45">
        <v>1997</v>
      </c>
      <c r="C2099" s="17">
        <v>0</v>
      </c>
      <c r="D2099" s="14">
        <v>0.1599006</v>
      </c>
      <c r="E2099" s="14">
        <v>0.33789330000000001</v>
      </c>
      <c r="F2099" s="14">
        <v>5.2528999999999999E-2</v>
      </c>
      <c r="G2099" s="14">
        <v>3.4173830000000001</v>
      </c>
      <c r="H2099" s="14">
        <v>0.49505909999999997</v>
      </c>
      <c r="R2099" s="11">
        <f t="shared" si="66"/>
        <v>1.3624976605226699E-4</v>
      </c>
      <c r="Z2099" s="11">
        <f t="shared" si="65"/>
        <v>1.6716558278223845E-4</v>
      </c>
    </row>
    <row r="2100" spans="1:26" x14ac:dyDescent="0.2">
      <c r="A2100" s="45">
        <v>375</v>
      </c>
      <c r="B2100" s="45">
        <v>1998</v>
      </c>
      <c r="C2100" s="17">
        <v>0</v>
      </c>
      <c r="D2100" s="14">
        <v>0.14874970000000001</v>
      </c>
      <c r="E2100" s="14">
        <v>0.34786</v>
      </c>
      <c r="F2100" s="14">
        <v>5.8053899999999999E-2</v>
      </c>
      <c r="G2100" s="14">
        <v>6.4350050000000003</v>
      </c>
      <c r="H2100" s="14">
        <v>0.52566369999999996</v>
      </c>
      <c r="R2100" s="11">
        <f t="shared" si="66"/>
        <v>1.048199773375263E-6</v>
      </c>
      <c r="Z2100" s="11">
        <f t="shared" si="65"/>
        <v>1.2092718885661936E-6</v>
      </c>
    </row>
    <row r="2101" spans="1:26" x14ac:dyDescent="0.2">
      <c r="A2101" s="45">
        <v>375</v>
      </c>
      <c r="B2101" s="45">
        <v>1999</v>
      </c>
      <c r="C2101" s="17">
        <v>0</v>
      </c>
      <c r="D2101" s="14">
        <v>0.1734501</v>
      </c>
      <c r="E2101" s="14">
        <v>0.32722849999999998</v>
      </c>
      <c r="F2101" s="14">
        <v>5.5235899999999998E-2</v>
      </c>
      <c r="G2101" s="14">
        <v>3.9784799999999998</v>
      </c>
      <c r="H2101" s="14">
        <v>0.4516732</v>
      </c>
      <c r="R2101" s="11">
        <f t="shared" si="66"/>
        <v>5.5382510380071254E-5</v>
      </c>
      <c r="Z2101" s="11">
        <f t="shared" si="65"/>
        <v>6.7240465051574086E-5</v>
      </c>
    </row>
    <row r="2102" spans="1:26" x14ac:dyDescent="0.2">
      <c r="A2102" s="45">
        <v>375</v>
      </c>
      <c r="B2102" s="45">
        <v>2000</v>
      </c>
      <c r="C2102" s="17">
        <v>0</v>
      </c>
      <c r="D2102" s="14">
        <v>0.15042</v>
      </c>
      <c r="E2102" s="14">
        <v>0.33285890000000001</v>
      </c>
      <c r="F2102" s="14">
        <v>4.1860799999999997E-2</v>
      </c>
      <c r="G2102" s="14">
        <v>3.5127389999999998</v>
      </c>
      <c r="H2102" s="14">
        <v>0.42142170000000001</v>
      </c>
      <c r="R2102" s="11">
        <f t="shared" si="66"/>
        <v>1.284056611452009E-4</v>
      </c>
      <c r="Z2102" s="11">
        <f t="shared" si="65"/>
        <v>1.5581602285177229E-4</v>
      </c>
    </row>
    <row r="2103" spans="1:26" x14ac:dyDescent="0.2">
      <c r="A2103" s="45">
        <v>375</v>
      </c>
      <c r="B2103" s="45">
        <v>2001</v>
      </c>
      <c r="C2103" s="17">
        <v>0</v>
      </c>
      <c r="D2103" s="14">
        <v>0.1837191</v>
      </c>
      <c r="E2103" s="14">
        <v>0.36076259999999999</v>
      </c>
      <c r="F2103" s="14">
        <v>6.1092800000000003E-2</v>
      </c>
      <c r="G2103" s="14">
        <v>5.0803450000000003</v>
      </c>
      <c r="H2103" s="14">
        <v>0.41234900000000002</v>
      </c>
      <c r="R2103" s="11">
        <f t="shared" si="66"/>
        <v>8.6952411942287001E-6</v>
      </c>
      <c r="Z2103" s="11">
        <f t="shared" si="65"/>
        <v>1.0365502780410467E-5</v>
      </c>
    </row>
    <row r="2104" spans="1:26" x14ac:dyDescent="0.2">
      <c r="A2104" s="45">
        <v>375</v>
      </c>
      <c r="B2104" s="45">
        <v>2002</v>
      </c>
      <c r="C2104" s="17">
        <v>0</v>
      </c>
      <c r="D2104" s="14">
        <v>0.1452244</v>
      </c>
      <c r="E2104" s="14">
        <v>0.40528560000000002</v>
      </c>
      <c r="F2104" s="14">
        <v>6.0108099999999998E-2</v>
      </c>
      <c r="G2104" s="14">
        <v>3.4443069999999998</v>
      </c>
      <c r="H2104" s="14">
        <v>0.41120489999999998</v>
      </c>
      <c r="R2104" s="11">
        <f t="shared" si="66"/>
        <v>1.1138505765896985E-4</v>
      </c>
      <c r="Z2104" s="11">
        <f t="shared" si="65"/>
        <v>1.3774752666719382E-4</v>
      </c>
    </row>
    <row r="2105" spans="1:26" x14ac:dyDescent="0.2">
      <c r="A2105" s="45">
        <v>375</v>
      </c>
      <c r="B2105" s="45">
        <v>2003</v>
      </c>
      <c r="C2105" s="17">
        <v>0</v>
      </c>
      <c r="D2105" s="14">
        <v>0.1478168</v>
      </c>
      <c r="E2105" s="14">
        <v>0.43120330000000001</v>
      </c>
      <c r="F2105" s="14">
        <v>7.30798E-2</v>
      </c>
      <c r="G2105" s="14">
        <v>4.8492290000000002</v>
      </c>
      <c r="H2105" s="14">
        <v>0.41135310000000003</v>
      </c>
      <c r="R2105" s="11">
        <f t="shared" si="66"/>
        <v>1.0306476008604752E-5</v>
      </c>
      <c r="Z2105" s="11">
        <f t="shared" si="65"/>
        <v>1.2501003597132372E-5</v>
      </c>
    </row>
    <row r="2106" spans="1:26" x14ac:dyDescent="0.2">
      <c r="A2106" s="45">
        <v>375</v>
      </c>
      <c r="B2106" s="45">
        <v>2004</v>
      </c>
      <c r="C2106" s="17">
        <v>0</v>
      </c>
      <c r="D2106" s="14">
        <v>9.72021E-2</v>
      </c>
      <c r="E2106" s="14">
        <v>0.47730119999999998</v>
      </c>
      <c r="F2106" s="14">
        <v>7.4716599999999994E-2</v>
      </c>
      <c r="G2106" s="14">
        <v>4.5858290000000004</v>
      </c>
      <c r="H2106" s="14">
        <v>0.44516850000000002</v>
      </c>
      <c r="R2106" s="11">
        <f t="shared" si="66"/>
        <v>1.4474678662250106E-5</v>
      </c>
      <c r="Z2106" s="11">
        <f t="shared" si="65"/>
        <v>1.7710513334512286E-5</v>
      </c>
    </row>
    <row r="2107" spans="1:26" x14ac:dyDescent="0.2">
      <c r="A2107" s="45">
        <v>376</v>
      </c>
      <c r="B2107" s="45">
        <v>1995</v>
      </c>
      <c r="C2107" s="17">
        <v>0</v>
      </c>
      <c r="D2107" s="14">
        <v>0.29349910000000001</v>
      </c>
      <c r="E2107" s="14">
        <v>0.53560949999999996</v>
      </c>
      <c r="F2107" s="14">
        <v>4.8424599999999998E-2</v>
      </c>
      <c r="G2107" s="14">
        <v>2.7519779999999998</v>
      </c>
      <c r="H2107" s="14">
        <v>0.2794103</v>
      </c>
      <c r="R2107" s="11">
        <f t="shared" si="66"/>
        <v>3.049215298624021E-4</v>
      </c>
      <c r="Z2107" s="11">
        <f t="shared" si="65"/>
        <v>3.8091268853714691E-4</v>
      </c>
    </row>
    <row r="2108" spans="1:26" x14ac:dyDescent="0.2">
      <c r="A2108" s="45">
        <v>376</v>
      </c>
      <c r="B2108" s="45">
        <v>1996</v>
      </c>
      <c r="C2108" s="17">
        <v>0</v>
      </c>
      <c r="D2108" s="14">
        <v>0.30185030000000002</v>
      </c>
      <c r="E2108" s="14">
        <v>0.54787030000000003</v>
      </c>
      <c r="F2108" s="14">
        <v>5.7859099999999997E-2</v>
      </c>
      <c r="G2108" s="14">
        <v>3.1345070000000002</v>
      </c>
      <c r="H2108" s="14">
        <v>0.29182200000000003</v>
      </c>
      <c r="R2108" s="11">
        <f t="shared" si="66"/>
        <v>1.5100573751541564E-4</v>
      </c>
      <c r="Z2108" s="11">
        <f t="shared" si="65"/>
        <v>1.8859500480241233E-4</v>
      </c>
    </row>
    <row r="2109" spans="1:26" x14ac:dyDescent="0.2">
      <c r="A2109" s="45">
        <v>376</v>
      </c>
      <c r="B2109" s="45">
        <v>1997</v>
      </c>
      <c r="C2109" s="17">
        <v>0</v>
      </c>
      <c r="D2109" s="14">
        <v>0.29822530000000003</v>
      </c>
      <c r="E2109" s="14">
        <v>0.53715259999999998</v>
      </c>
      <c r="F2109" s="14">
        <v>7.5062100000000007E-2</v>
      </c>
      <c r="G2109" s="14">
        <v>3.282778</v>
      </c>
      <c r="H2109" s="14">
        <v>0.3221657</v>
      </c>
      <c r="R2109" s="11">
        <f t="shared" si="66"/>
        <v>1.0553634942498122E-4</v>
      </c>
      <c r="Z2109" s="11">
        <f t="shared" si="65"/>
        <v>1.3319553180504443E-4</v>
      </c>
    </row>
    <row r="2110" spans="1:26" x14ac:dyDescent="0.2">
      <c r="A2110" s="45">
        <v>376</v>
      </c>
      <c r="B2110" s="45">
        <v>1998</v>
      </c>
      <c r="C2110" s="17">
        <v>0</v>
      </c>
      <c r="D2110" s="14">
        <v>0.2852904</v>
      </c>
      <c r="E2110" s="14">
        <v>0.43916870000000002</v>
      </c>
      <c r="F2110" s="14">
        <v>4.7328200000000001E-2</v>
      </c>
      <c r="G2110" s="14">
        <v>1.6570119999999999</v>
      </c>
      <c r="H2110" s="14">
        <v>0.27178989999999997</v>
      </c>
      <c r="R2110" s="11">
        <f t="shared" si="66"/>
        <v>2.0228508216070798E-3</v>
      </c>
      <c r="Z2110" s="11">
        <f t="shared" si="65"/>
        <v>2.5765539205158433E-3</v>
      </c>
    </row>
    <row r="2111" spans="1:26" x14ac:dyDescent="0.2">
      <c r="A2111" s="45">
        <v>376</v>
      </c>
      <c r="B2111" s="45">
        <v>1999</v>
      </c>
      <c r="C2111" s="17">
        <v>0</v>
      </c>
      <c r="D2111" s="14">
        <v>0.31707930000000001</v>
      </c>
      <c r="E2111" s="14">
        <v>0.45427899999999999</v>
      </c>
      <c r="F2111" s="14">
        <v>6.2973500000000002E-2</v>
      </c>
      <c r="G2111" s="14">
        <v>1.921349</v>
      </c>
      <c r="H2111" s="14">
        <v>0.30130879999999999</v>
      </c>
      <c r="R2111" s="11">
        <f t="shared" si="66"/>
        <v>1.1468521375135301E-3</v>
      </c>
      <c r="Z2111" s="11">
        <f t="shared" si="65"/>
        <v>1.4721390699556178E-3</v>
      </c>
    </row>
    <row r="2112" spans="1:26" x14ac:dyDescent="0.2">
      <c r="A2112" s="45">
        <v>376</v>
      </c>
      <c r="B2112" s="45">
        <v>2000</v>
      </c>
      <c r="C2112" s="17">
        <v>0</v>
      </c>
      <c r="D2112" s="14">
        <v>0.30984020000000001</v>
      </c>
      <c r="E2112" s="14">
        <v>0.42792429999999998</v>
      </c>
      <c r="F2112" s="14">
        <v>6.2529899999999999E-2</v>
      </c>
      <c r="G2112" s="14">
        <v>1.50223</v>
      </c>
      <c r="H2112" s="14">
        <v>0.30515569999999997</v>
      </c>
      <c r="R2112" s="11">
        <f t="shared" si="66"/>
        <v>2.3293996722615565E-3</v>
      </c>
      <c r="Z2112" s="11">
        <f t="shared" si="65"/>
        <v>3.012918213747935E-3</v>
      </c>
    </row>
    <row r="2113" spans="1:26" x14ac:dyDescent="0.2">
      <c r="A2113" s="45">
        <v>376</v>
      </c>
      <c r="B2113" s="45">
        <v>2001</v>
      </c>
      <c r="C2113" s="17">
        <v>0</v>
      </c>
      <c r="D2113" s="14">
        <v>0.32960990000000001</v>
      </c>
      <c r="E2113" s="14">
        <v>0.42641449999999997</v>
      </c>
      <c r="F2113" s="14">
        <v>4.8979200000000001E-2</v>
      </c>
      <c r="G2113" s="14">
        <v>2.054646</v>
      </c>
      <c r="H2113" s="14">
        <v>0.29816340000000002</v>
      </c>
      <c r="R2113" s="11">
        <f t="shared" si="66"/>
        <v>1.0801750789452412E-3</v>
      </c>
      <c r="Z2113" s="11">
        <f t="shared" si="65"/>
        <v>1.3654679755348512E-3</v>
      </c>
    </row>
    <row r="2114" spans="1:26" x14ac:dyDescent="0.2">
      <c r="A2114" s="45">
        <v>376</v>
      </c>
      <c r="B2114" s="45">
        <v>2002</v>
      </c>
      <c r="C2114" s="17">
        <v>0</v>
      </c>
      <c r="D2114" s="14">
        <v>0.34737610000000002</v>
      </c>
      <c r="E2114" s="14">
        <v>0.43238599999999999</v>
      </c>
      <c r="F2114" s="14">
        <v>5.5615699999999997E-2</v>
      </c>
      <c r="G2114" s="14">
        <v>1.609998</v>
      </c>
      <c r="H2114" s="14">
        <v>0.2936358</v>
      </c>
      <c r="R2114" s="11">
        <f t="shared" si="66"/>
        <v>2.0605259805570597E-3</v>
      </c>
      <c r="Z2114" s="11">
        <f t="shared" ref="Z2114:Z2177" si="67">1/(1+EXP(-(U$2+$V$2*E2114+$W$2*F2114+$X$2*G2114)))</f>
        <v>2.6444735628611961E-3</v>
      </c>
    </row>
    <row r="2115" spans="1:26" x14ac:dyDescent="0.2">
      <c r="A2115" s="45">
        <v>376</v>
      </c>
      <c r="B2115" s="45">
        <v>2003</v>
      </c>
      <c r="C2115" s="17">
        <v>0</v>
      </c>
      <c r="D2115" s="14">
        <v>0.35693799999999998</v>
      </c>
      <c r="E2115" s="14">
        <v>0.4553162</v>
      </c>
      <c r="F2115" s="14">
        <v>5.7288400000000003E-2</v>
      </c>
      <c r="G2115" s="14">
        <v>1.727522</v>
      </c>
      <c r="H2115" s="14">
        <v>0.29167510000000002</v>
      </c>
      <c r="R2115" s="11">
        <f t="shared" si="66"/>
        <v>1.6313121829534738E-3</v>
      </c>
      <c r="Z2115" s="11">
        <f t="shared" si="67"/>
        <v>2.0929766402359674E-3</v>
      </c>
    </row>
    <row r="2116" spans="1:26" x14ac:dyDescent="0.2">
      <c r="A2116" s="45">
        <v>376</v>
      </c>
      <c r="B2116" s="45">
        <v>2004</v>
      </c>
      <c r="C2116" s="17">
        <v>0</v>
      </c>
      <c r="D2116" s="14">
        <v>0.24221909999999999</v>
      </c>
      <c r="E2116" s="14">
        <v>0.22155910000000001</v>
      </c>
      <c r="F2116" s="14">
        <v>5.7584700000000003E-2</v>
      </c>
      <c r="G2116" s="14">
        <v>0.82833559999999995</v>
      </c>
      <c r="H2116" s="14">
        <v>0.24274090000000001</v>
      </c>
      <c r="R2116" s="11">
        <f t="shared" si="66"/>
        <v>9.5059856511173664E-3</v>
      </c>
      <c r="Z2116" s="11">
        <f t="shared" si="67"/>
        <v>1.2314520210656477E-2</v>
      </c>
    </row>
    <row r="2117" spans="1:26" x14ac:dyDescent="0.2">
      <c r="A2117" s="45">
        <v>377</v>
      </c>
      <c r="B2117" s="45">
        <v>1995</v>
      </c>
      <c r="C2117" s="17">
        <v>0</v>
      </c>
      <c r="D2117" s="14">
        <v>0.1512221</v>
      </c>
      <c r="E2117" s="14">
        <v>0.26200289999999998</v>
      </c>
      <c r="F2117" s="14">
        <v>5.3711099999999998E-2</v>
      </c>
      <c r="G2117" s="14">
        <v>0.71421389999999996</v>
      </c>
      <c r="H2117" s="14">
        <v>0.32134600000000002</v>
      </c>
      <c r="R2117" s="11">
        <f t="shared" si="66"/>
        <v>1.1071591503350593E-2</v>
      </c>
      <c r="Z2117" s="11">
        <f t="shared" si="67"/>
        <v>1.4346224717442414E-2</v>
      </c>
    </row>
    <row r="2118" spans="1:26" x14ac:dyDescent="0.2">
      <c r="A2118" s="45">
        <v>377</v>
      </c>
      <c r="B2118" s="45">
        <v>1996</v>
      </c>
      <c r="C2118" s="17">
        <v>0</v>
      </c>
      <c r="D2118" s="14">
        <v>0.13889299999999999</v>
      </c>
      <c r="E2118" s="14">
        <v>0.22247610000000001</v>
      </c>
      <c r="F2118" s="14">
        <v>2.13011E-2</v>
      </c>
      <c r="G2118" s="14">
        <v>0.50299479999999996</v>
      </c>
      <c r="H2118" s="14">
        <v>0.26507700000000001</v>
      </c>
      <c r="R2118" s="11">
        <f t="shared" si="66"/>
        <v>2.1063613244766761E-2</v>
      </c>
      <c r="Z2118" s="11">
        <f t="shared" si="67"/>
        <v>2.6602989320934013E-2</v>
      </c>
    </row>
    <row r="2119" spans="1:26" x14ac:dyDescent="0.2">
      <c r="A2119" s="45">
        <v>377</v>
      </c>
      <c r="B2119" s="45">
        <v>1997</v>
      </c>
      <c r="C2119" s="17">
        <v>0</v>
      </c>
      <c r="D2119" s="14">
        <v>0.16229109999999999</v>
      </c>
      <c r="E2119" s="14">
        <v>0.1904459</v>
      </c>
      <c r="F2119" s="14">
        <v>3.0016299999999999E-2</v>
      </c>
      <c r="G2119" s="14">
        <v>0.68770169999999997</v>
      </c>
      <c r="H2119" s="14">
        <v>0.32115929999999998</v>
      </c>
      <c r="R2119" s="11">
        <f t="shared" si="66"/>
        <v>1.5422148543453341E-2</v>
      </c>
      <c r="Z2119" s="11">
        <f t="shared" si="67"/>
        <v>1.9545356608724883E-2</v>
      </c>
    </row>
    <row r="2120" spans="1:26" x14ac:dyDescent="0.2">
      <c r="A2120" s="45">
        <v>378</v>
      </c>
      <c r="B2120" s="45">
        <v>1995</v>
      </c>
      <c r="C2120" s="17">
        <v>0</v>
      </c>
      <c r="D2120" s="14">
        <v>7.6869999999999998E-4</v>
      </c>
      <c r="E2120" s="14">
        <v>0.24401999999999999</v>
      </c>
      <c r="F2120" s="14">
        <v>6.2016099999999998E-2</v>
      </c>
      <c r="G2120" s="14">
        <v>1.8824939999999999</v>
      </c>
      <c r="H2120" s="14">
        <v>0.23722960000000001</v>
      </c>
      <c r="R2120" s="11">
        <f t="shared" si="66"/>
        <v>1.6682865445982412E-3</v>
      </c>
      <c r="Z2120" s="11">
        <f t="shared" si="67"/>
        <v>2.125960681604238E-3</v>
      </c>
    </row>
    <row r="2121" spans="1:26" x14ac:dyDescent="0.2">
      <c r="A2121" s="45">
        <v>378</v>
      </c>
      <c r="B2121" s="45">
        <v>1996</v>
      </c>
      <c r="C2121" s="17">
        <v>0</v>
      </c>
      <c r="D2121" s="14">
        <v>2.1434000000000002E-2</v>
      </c>
      <c r="E2121" s="14">
        <v>0.25565139999999997</v>
      </c>
      <c r="F2121" s="14">
        <v>6.2064500000000002E-2</v>
      </c>
      <c r="G2121" s="14">
        <v>1.8457650000000001</v>
      </c>
      <c r="H2121" s="14">
        <v>0.24118210000000001</v>
      </c>
      <c r="R2121" s="11">
        <f t="shared" si="66"/>
        <v>1.7383884891079746E-3</v>
      </c>
      <c r="Z2121" s="11">
        <f t="shared" si="67"/>
        <v>2.2180099677429769E-3</v>
      </c>
    </row>
    <row r="2122" spans="1:26" x14ac:dyDescent="0.2">
      <c r="A2122" s="45">
        <v>378</v>
      </c>
      <c r="B2122" s="45">
        <v>1997</v>
      </c>
      <c r="C2122" s="17">
        <v>0</v>
      </c>
      <c r="D2122" s="14">
        <v>-9.08828E-2</v>
      </c>
      <c r="E2122" s="14">
        <v>0.2456305</v>
      </c>
      <c r="F2122" s="14">
        <v>2.3667000000000001E-2</v>
      </c>
      <c r="G2122" s="14">
        <v>2.1529050000000001</v>
      </c>
      <c r="H2122" s="14">
        <v>0.22995879999999999</v>
      </c>
      <c r="R2122" s="11">
        <f t="shared" si="66"/>
        <v>1.4703272236930131E-3</v>
      </c>
      <c r="Z2122" s="11">
        <f t="shared" si="67"/>
        <v>1.8052524513129163E-3</v>
      </c>
    </row>
    <row r="2123" spans="1:26" x14ac:dyDescent="0.2">
      <c r="A2123" s="45">
        <v>379</v>
      </c>
      <c r="B2123" s="45">
        <v>1995</v>
      </c>
      <c r="C2123" s="17">
        <v>0</v>
      </c>
      <c r="D2123" s="14">
        <v>2.6486900000000001E-2</v>
      </c>
      <c r="E2123" s="14">
        <v>0.19966619999999999</v>
      </c>
      <c r="F2123" s="14">
        <v>3.9736100000000003E-2</v>
      </c>
      <c r="G2123" s="14">
        <v>0.8355243</v>
      </c>
      <c r="H2123" s="14">
        <v>0.1495908</v>
      </c>
      <c r="R2123" s="11">
        <f t="shared" si="66"/>
        <v>1.1171740087001423E-2</v>
      </c>
      <c r="Z2123" s="11">
        <f t="shared" si="67"/>
        <v>1.4245369698267311E-2</v>
      </c>
    </row>
    <row r="2124" spans="1:26" x14ac:dyDescent="0.2">
      <c r="A2124" s="45">
        <v>379</v>
      </c>
      <c r="B2124" s="45">
        <v>1996</v>
      </c>
      <c r="C2124" s="17">
        <v>0</v>
      </c>
      <c r="D2124" s="14">
        <v>5.0835199999999997E-2</v>
      </c>
      <c r="E2124" s="14">
        <v>0.21085519999999999</v>
      </c>
      <c r="F2124" s="14">
        <v>6.5491900000000006E-2</v>
      </c>
      <c r="G2124" s="14">
        <v>0.93640210000000002</v>
      </c>
      <c r="H2124" s="14">
        <v>0.17352970000000001</v>
      </c>
      <c r="R2124" s="11">
        <f t="shared" si="66"/>
        <v>7.6438339766409331E-3</v>
      </c>
      <c r="Z2124" s="11">
        <f t="shared" si="67"/>
        <v>9.9444052501543919E-3</v>
      </c>
    </row>
    <row r="2125" spans="1:26" x14ac:dyDescent="0.2">
      <c r="A2125" s="45">
        <v>379</v>
      </c>
      <c r="B2125" s="45">
        <v>1997</v>
      </c>
      <c r="C2125" s="17">
        <v>0</v>
      </c>
      <c r="D2125" s="14">
        <v>5.3953399999999999E-2</v>
      </c>
      <c r="E2125" s="14">
        <v>0.22147500000000001</v>
      </c>
      <c r="F2125" s="14">
        <v>5.9022499999999999E-2</v>
      </c>
      <c r="G2125" s="14">
        <v>1.3261579999999999</v>
      </c>
      <c r="H2125" s="14">
        <v>0.18914610000000001</v>
      </c>
      <c r="R2125" s="11">
        <f t="shared" si="66"/>
        <v>4.2737197677107973E-3</v>
      </c>
      <c r="Z2125" s="11">
        <f t="shared" si="67"/>
        <v>5.4913322528789468E-3</v>
      </c>
    </row>
    <row r="2126" spans="1:26" x14ac:dyDescent="0.2">
      <c r="A2126" s="45">
        <v>379</v>
      </c>
      <c r="B2126" s="45">
        <v>1998</v>
      </c>
      <c r="C2126" s="17">
        <v>0</v>
      </c>
      <c r="D2126" s="14">
        <v>7.0495299999999997E-2</v>
      </c>
      <c r="E2126" s="14">
        <v>0.16962379999999999</v>
      </c>
      <c r="F2126" s="14">
        <v>3.7961099999999998E-2</v>
      </c>
      <c r="G2126" s="14">
        <v>1.600992</v>
      </c>
      <c r="H2126" s="14">
        <v>0.2190454</v>
      </c>
      <c r="R2126" s="11">
        <f t="shared" si="66"/>
        <v>3.5223526456269372E-3</v>
      </c>
      <c r="Z2126" s="11">
        <f t="shared" si="67"/>
        <v>4.4151824768647978E-3</v>
      </c>
    </row>
    <row r="2127" spans="1:26" x14ac:dyDescent="0.2">
      <c r="A2127" s="45">
        <v>379</v>
      </c>
      <c r="B2127" s="45">
        <v>1999</v>
      </c>
      <c r="C2127" s="17">
        <v>0</v>
      </c>
      <c r="D2127" s="14">
        <v>0.12189850000000001</v>
      </c>
      <c r="E2127" s="14">
        <v>0.16680510000000001</v>
      </c>
      <c r="F2127" s="14">
        <v>4.7182200000000001E-2</v>
      </c>
      <c r="G2127" s="14">
        <v>1.073895</v>
      </c>
      <c r="H2127" s="14">
        <v>0.22678870000000001</v>
      </c>
      <c r="R2127" s="11">
        <f t="shared" si="66"/>
        <v>7.5788918286855056E-3</v>
      </c>
      <c r="Z2127" s="11">
        <f t="shared" si="67"/>
        <v>9.671102134577959E-3</v>
      </c>
    </row>
    <row r="2128" spans="1:26" x14ac:dyDescent="0.2">
      <c r="A2128" s="45">
        <v>379</v>
      </c>
      <c r="B2128" s="45">
        <v>2000</v>
      </c>
      <c r="C2128" s="17">
        <v>0</v>
      </c>
      <c r="D2128" s="14">
        <v>0.1041347</v>
      </c>
      <c r="E2128" s="14">
        <v>0.16237209999999999</v>
      </c>
      <c r="F2128" s="14">
        <v>4.8064299999999997E-2</v>
      </c>
      <c r="G2128" s="14">
        <v>1.499708</v>
      </c>
      <c r="H2128" s="14">
        <v>0.29305680000000001</v>
      </c>
      <c r="R2128" s="11">
        <f t="shared" si="66"/>
        <v>3.8571428732378753E-3</v>
      </c>
      <c r="Z2128" s="11">
        <f t="shared" si="67"/>
        <v>4.8840517376762486E-3</v>
      </c>
    </row>
    <row r="2129" spans="1:26" x14ac:dyDescent="0.2">
      <c r="A2129" s="45">
        <v>379</v>
      </c>
      <c r="B2129" s="45">
        <v>2001</v>
      </c>
      <c r="C2129" s="17">
        <v>0</v>
      </c>
      <c r="D2129" s="14">
        <v>0.1268669</v>
      </c>
      <c r="E2129" s="14">
        <v>0.17061490000000001</v>
      </c>
      <c r="F2129" s="14">
        <v>5.9798700000000003E-2</v>
      </c>
      <c r="G2129" s="14">
        <v>1.3084789999999999</v>
      </c>
      <c r="H2129" s="14">
        <v>0.20879120000000001</v>
      </c>
      <c r="R2129" s="11">
        <f t="shared" si="66"/>
        <v>4.7019173755513503E-3</v>
      </c>
      <c r="Z2129" s="11">
        <f t="shared" si="67"/>
        <v>6.0364782839539572E-3</v>
      </c>
    </row>
    <row r="2130" spans="1:26" x14ac:dyDescent="0.2">
      <c r="A2130" s="45">
        <v>379</v>
      </c>
      <c r="B2130" s="45">
        <v>2002</v>
      </c>
      <c r="C2130" s="17">
        <v>0</v>
      </c>
      <c r="D2130" s="14">
        <v>0.1039935</v>
      </c>
      <c r="E2130" s="14">
        <v>0.19204350000000001</v>
      </c>
      <c r="F2130" s="14">
        <v>4.7789999999999999E-2</v>
      </c>
      <c r="G2130" s="14">
        <v>1.1924459999999999</v>
      </c>
      <c r="H2130" s="14">
        <v>0.208313</v>
      </c>
      <c r="R2130" s="11">
        <f t="shared" si="66"/>
        <v>6.0281920781497262E-3</v>
      </c>
      <c r="Z2130" s="11">
        <f t="shared" si="67"/>
        <v>7.6861200397195066E-3</v>
      </c>
    </row>
    <row r="2131" spans="1:26" x14ac:dyDescent="0.2">
      <c r="A2131" s="45">
        <v>379</v>
      </c>
      <c r="B2131" s="45">
        <v>2003</v>
      </c>
      <c r="C2131" s="17">
        <v>0</v>
      </c>
      <c r="D2131" s="14">
        <v>0.1216807</v>
      </c>
      <c r="E2131" s="14">
        <v>0.18817739999999999</v>
      </c>
      <c r="F2131" s="14">
        <v>5.3831700000000003E-2</v>
      </c>
      <c r="G2131" s="14">
        <v>1.4143239999999999</v>
      </c>
      <c r="H2131" s="14">
        <v>0.20483850000000001</v>
      </c>
      <c r="R2131" s="11">
        <f t="shared" si="66"/>
        <v>4.0638525300750565E-3</v>
      </c>
      <c r="Z2131" s="11">
        <f t="shared" si="67"/>
        <v>5.184006526405896E-3</v>
      </c>
    </row>
    <row r="2132" spans="1:26" x14ac:dyDescent="0.2">
      <c r="A2132" s="45">
        <v>379</v>
      </c>
      <c r="B2132" s="45">
        <v>2004</v>
      </c>
      <c r="C2132" s="17">
        <v>0</v>
      </c>
      <c r="D2132" s="14">
        <v>9.6977300000000002E-2</v>
      </c>
      <c r="E2132" s="14">
        <v>0.21939220000000001</v>
      </c>
      <c r="F2132" s="14">
        <v>4.1720500000000001E-2</v>
      </c>
      <c r="G2132" s="14">
        <v>1.5505770000000001</v>
      </c>
      <c r="H2132" s="14">
        <v>0.2275201</v>
      </c>
      <c r="R2132" s="11">
        <f t="shared" si="66"/>
        <v>3.4456453403038543E-3</v>
      </c>
      <c r="Z2132" s="11">
        <f t="shared" si="67"/>
        <v>4.344552955818831E-3</v>
      </c>
    </row>
    <row r="2133" spans="1:26" x14ac:dyDescent="0.2">
      <c r="A2133" s="45">
        <v>380</v>
      </c>
      <c r="B2133" s="45">
        <v>2001</v>
      </c>
      <c r="C2133" s="17">
        <v>0</v>
      </c>
      <c r="D2133" s="14">
        <v>0.20463719999999999</v>
      </c>
      <c r="E2133" s="14">
        <v>0.28065560000000001</v>
      </c>
      <c r="F2133" s="14">
        <v>4.3143599999999997E-2</v>
      </c>
      <c r="G2133" s="14">
        <v>0.95684119999999995</v>
      </c>
      <c r="H2133" s="14">
        <v>0.2494526</v>
      </c>
      <c r="R2133" s="11">
        <f t="shared" si="66"/>
        <v>7.9904928665508503E-3</v>
      </c>
      <c r="Z2133" s="11">
        <f t="shared" si="67"/>
        <v>1.02271964630246E-2</v>
      </c>
    </row>
    <row r="2134" spans="1:26" x14ac:dyDescent="0.2">
      <c r="A2134" s="45">
        <v>380</v>
      </c>
      <c r="B2134" s="45">
        <v>2002</v>
      </c>
      <c r="C2134" s="17">
        <v>0</v>
      </c>
      <c r="D2134" s="14">
        <v>0.2248008</v>
      </c>
      <c r="E2134" s="14">
        <v>0.32066670000000003</v>
      </c>
      <c r="F2134" s="14">
        <v>5.5767499999999998E-2</v>
      </c>
      <c r="G2134" s="14">
        <v>1.529169</v>
      </c>
      <c r="H2134" s="14">
        <v>0.24969830000000001</v>
      </c>
      <c r="R2134" s="11">
        <f t="shared" si="66"/>
        <v>2.7519362117963391E-3</v>
      </c>
      <c r="Z2134" s="11">
        <f t="shared" si="67"/>
        <v>3.524367563909411E-3</v>
      </c>
    </row>
    <row r="2135" spans="1:26" x14ac:dyDescent="0.2">
      <c r="A2135" s="45">
        <v>380</v>
      </c>
      <c r="B2135" s="45">
        <v>2003</v>
      </c>
      <c r="C2135" s="17">
        <v>0</v>
      </c>
      <c r="D2135" s="14">
        <v>0.2845163</v>
      </c>
      <c r="E2135" s="14">
        <v>0.43085220000000002</v>
      </c>
      <c r="F2135" s="14">
        <v>7.7288599999999999E-2</v>
      </c>
      <c r="G2135" s="14">
        <v>2.2961520000000002</v>
      </c>
      <c r="H2135" s="14">
        <v>0.26007350000000001</v>
      </c>
      <c r="R2135" s="11">
        <f t="shared" ref="R2135:R2198" si="68">1/(1+EXP(-(K$2+$M$2*E2135+$N$2*F2135+$O$2*G2135)))</f>
        <v>5.8266516823276854E-4</v>
      </c>
      <c r="Z2135" s="11">
        <f t="shared" si="67"/>
        <v>7.5005303245974906E-4</v>
      </c>
    </row>
    <row r="2136" spans="1:26" x14ac:dyDescent="0.2">
      <c r="A2136" s="45">
        <v>380</v>
      </c>
      <c r="B2136" s="45">
        <v>2004</v>
      </c>
      <c r="C2136" s="17">
        <v>0</v>
      </c>
      <c r="D2136" s="14">
        <v>0.35526550000000001</v>
      </c>
      <c r="E2136" s="14">
        <v>0.46703420000000001</v>
      </c>
      <c r="F2136" s="14">
        <v>6.1023399999999998E-2</v>
      </c>
      <c r="G2136" s="14">
        <v>2.3606220000000002</v>
      </c>
      <c r="H2136" s="14">
        <v>0.24427789999999999</v>
      </c>
      <c r="R2136" s="11">
        <f t="shared" si="68"/>
        <v>5.6814980668232727E-4</v>
      </c>
      <c r="Z2136" s="11">
        <f t="shared" si="67"/>
        <v>7.2156195358024299E-4</v>
      </c>
    </row>
    <row r="2137" spans="1:26" x14ac:dyDescent="0.2">
      <c r="A2137" s="45">
        <v>381</v>
      </c>
      <c r="B2137" s="45">
        <v>1995</v>
      </c>
      <c r="C2137" s="17">
        <v>0</v>
      </c>
      <c r="D2137" s="14">
        <v>0.10648589999999999</v>
      </c>
      <c r="E2137" s="14">
        <v>0.19346169999999999</v>
      </c>
      <c r="F2137" s="14">
        <v>4.1843699999999998E-2</v>
      </c>
      <c r="G2137" s="14">
        <v>0.65571809999999997</v>
      </c>
      <c r="H2137" s="14">
        <v>0.24243210000000001</v>
      </c>
      <c r="R2137" s="11">
        <f t="shared" si="68"/>
        <v>1.4709651704354908E-2</v>
      </c>
      <c r="Z2137" s="11">
        <f t="shared" si="67"/>
        <v>1.8839131182996464E-2</v>
      </c>
    </row>
    <row r="2138" spans="1:26" x14ac:dyDescent="0.2">
      <c r="A2138" s="45">
        <v>382</v>
      </c>
      <c r="B2138" s="45">
        <v>1995</v>
      </c>
      <c r="C2138" s="17">
        <v>0</v>
      </c>
      <c r="D2138" s="14">
        <v>5.40437E-2</v>
      </c>
      <c r="E2138" s="14">
        <v>0.1865443</v>
      </c>
      <c r="F2138" s="14">
        <v>5.7293999999999998E-2</v>
      </c>
      <c r="G2138" s="14">
        <v>1.285741</v>
      </c>
      <c r="H2138" s="14">
        <v>0.17268230000000001</v>
      </c>
      <c r="R2138" s="11">
        <f t="shared" si="68"/>
        <v>4.8594284250150785E-3</v>
      </c>
      <c r="Z2138" s="11">
        <f t="shared" si="67"/>
        <v>6.2321800639591196E-3</v>
      </c>
    </row>
    <row r="2139" spans="1:26" x14ac:dyDescent="0.2">
      <c r="A2139" s="45">
        <v>382</v>
      </c>
      <c r="B2139" s="45">
        <v>1996</v>
      </c>
      <c r="C2139" s="17">
        <v>0</v>
      </c>
      <c r="D2139" s="14">
        <v>3.8972600000000003E-2</v>
      </c>
      <c r="E2139" s="14">
        <v>0.1324728</v>
      </c>
      <c r="F2139" s="14">
        <v>4.1294200000000003E-2</v>
      </c>
      <c r="G2139" s="14">
        <v>1.107226</v>
      </c>
      <c r="H2139" s="14">
        <v>0.17289199999999999</v>
      </c>
      <c r="R2139" s="11">
        <f t="shared" si="68"/>
        <v>7.9163413999369867E-3</v>
      </c>
      <c r="Z2139" s="11">
        <f t="shared" si="67"/>
        <v>1.0033617850878956E-2</v>
      </c>
    </row>
    <row r="2140" spans="1:26" x14ac:dyDescent="0.2">
      <c r="A2140" s="45">
        <v>382</v>
      </c>
      <c r="B2140" s="45">
        <v>1997</v>
      </c>
      <c r="C2140" s="17">
        <v>0</v>
      </c>
      <c r="D2140" s="14">
        <v>4.2507499999999997E-2</v>
      </c>
      <c r="E2140" s="14">
        <v>0.14644199999999999</v>
      </c>
      <c r="F2140" s="14">
        <v>4.67797E-2</v>
      </c>
      <c r="G2140" s="14">
        <v>1.304198</v>
      </c>
      <c r="H2140" s="14">
        <v>0.18309810000000001</v>
      </c>
      <c r="R2140" s="11">
        <f t="shared" si="68"/>
        <v>5.4376161557926263E-3</v>
      </c>
      <c r="Z2140" s="11">
        <f t="shared" si="67"/>
        <v>6.900919026124136E-3</v>
      </c>
    </row>
    <row r="2141" spans="1:26" x14ac:dyDescent="0.2">
      <c r="A2141" s="45">
        <v>382</v>
      </c>
      <c r="B2141" s="45">
        <v>1998</v>
      </c>
      <c r="C2141" s="17">
        <v>0</v>
      </c>
      <c r="D2141" s="14">
        <v>0.13340489999999999</v>
      </c>
      <c r="E2141" s="14">
        <v>0.15267500000000001</v>
      </c>
      <c r="F2141" s="14">
        <v>6.5289600000000003E-2</v>
      </c>
      <c r="G2141" s="14">
        <v>1.314848</v>
      </c>
      <c r="H2141" s="14">
        <v>0.1753777</v>
      </c>
      <c r="R2141" s="11">
        <f t="shared" si="68"/>
        <v>4.5727441748584117E-3</v>
      </c>
      <c r="Z2141" s="11">
        <f t="shared" si="67"/>
        <v>5.8927596633096017E-3</v>
      </c>
    </row>
    <row r="2142" spans="1:26" x14ac:dyDescent="0.2">
      <c r="A2142" s="45">
        <v>382</v>
      </c>
      <c r="B2142" s="45">
        <v>1999</v>
      </c>
      <c r="C2142" s="17">
        <v>0</v>
      </c>
      <c r="D2142" s="14">
        <v>5.03153E-2</v>
      </c>
      <c r="E2142" s="14">
        <v>0.1355507</v>
      </c>
      <c r="F2142" s="14">
        <v>7.1648600000000007E-2</v>
      </c>
      <c r="G2142" s="14">
        <v>1.0695380000000001</v>
      </c>
      <c r="H2142" s="14">
        <v>0.1802166</v>
      </c>
      <c r="R2142" s="11">
        <f t="shared" si="68"/>
        <v>6.5735834445150394E-3</v>
      </c>
      <c r="Z2142" s="11">
        <f t="shared" si="67"/>
        <v>8.5508628708490086E-3</v>
      </c>
    </row>
    <row r="2143" spans="1:26" x14ac:dyDescent="0.2">
      <c r="A2143" s="45">
        <v>382</v>
      </c>
      <c r="B2143" s="45">
        <v>2000</v>
      </c>
      <c r="C2143" s="17">
        <v>0</v>
      </c>
      <c r="D2143" s="14">
        <v>4.5347699999999998E-2</v>
      </c>
      <c r="E2143" s="14">
        <v>0.13402549999999999</v>
      </c>
      <c r="F2143" s="14">
        <v>6.2525899999999995E-2</v>
      </c>
      <c r="G2143" s="14">
        <v>1.043909</v>
      </c>
      <c r="H2143" s="14">
        <v>0.2211603</v>
      </c>
      <c r="R2143" s="11">
        <f t="shared" si="68"/>
        <v>7.376384309899885E-3</v>
      </c>
      <c r="Z2143" s="11">
        <f t="shared" si="67"/>
        <v>9.5268532146666959E-3</v>
      </c>
    </row>
    <row r="2144" spans="1:26" x14ac:dyDescent="0.2">
      <c r="A2144" s="45">
        <v>382</v>
      </c>
      <c r="B2144" s="45">
        <v>2001</v>
      </c>
      <c r="C2144" s="17">
        <v>0</v>
      </c>
      <c r="D2144" s="14">
        <v>5.4712299999999998E-2</v>
      </c>
      <c r="E2144" s="14">
        <v>0.13881080000000001</v>
      </c>
      <c r="F2144" s="14">
        <v>4.3232699999999999E-2</v>
      </c>
      <c r="G2144" s="14">
        <v>1.4151910000000001</v>
      </c>
      <c r="H2144" s="14">
        <v>0.16491049999999999</v>
      </c>
      <c r="R2144" s="11">
        <f t="shared" si="68"/>
        <v>4.7428105495627383E-3</v>
      </c>
      <c r="Z2144" s="11">
        <f t="shared" si="67"/>
        <v>5.9867710134794043E-3</v>
      </c>
    </row>
    <row r="2145" spans="1:26" x14ac:dyDescent="0.2">
      <c r="A2145" s="45">
        <v>382</v>
      </c>
      <c r="B2145" s="45">
        <v>2002</v>
      </c>
      <c r="C2145" s="17">
        <v>0</v>
      </c>
      <c r="D2145" s="14">
        <v>6.0453600000000003E-2</v>
      </c>
      <c r="E2145" s="14">
        <v>0.12822710000000001</v>
      </c>
      <c r="F2145" s="14">
        <v>3.8218700000000001E-2</v>
      </c>
      <c r="G2145" s="14">
        <v>1.1867369999999999</v>
      </c>
      <c r="H2145" s="14">
        <v>0.17634520000000001</v>
      </c>
      <c r="R2145" s="11">
        <f t="shared" si="68"/>
        <v>7.1973992458156518E-3</v>
      </c>
      <c r="Z2145" s="11">
        <f t="shared" si="67"/>
        <v>9.0843071832566943E-3</v>
      </c>
    </row>
    <row r="2146" spans="1:26" x14ac:dyDescent="0.2">
      <c r="A2146" s="45">
        <v>382</v>
      </c>
      <c r="B2146" s="45">
        <v>2003</v>
      </c>
      <c r="C2146" s="17">
        <v>0</v>
      </c>
      <c r="D2146" s="14">
        <v>3.2515099999999998E-2</v>
      </c>
      <c r="E2146" s="14">
        <v>0.150954</v>
      </c>
      <c r="F2146" s="14">
        <v>3.5272900000000003E-2</v>
      </c>
      <c r="G2146" s="14">
        <v>1.2709550000000001</v>
      </c>
      <c r="H2146" s="14">
        <v>0.1661107</v>
      </c>
      <c r="R2146" s="11">
        <f t="shared" si="68"/>
        <v>6.2400766967240168E-3</v>
      </c>
      <c r="Z2146" s="11">
        <f t="shared" si="67"/>
        <v>7.8507665682182644E-3</v>
      </c>
    </row>
    <row r="2147" spans="1:26" x14ac:dyDescent="0.2">
      <c r="A2147" s="45">
        <v>382</v>
      </c>
      <c r="B2147" s="45">
        <v>2004</v>
      </c>
      <c r="C2147" s="17">
        <v>0</v>
      </c>
      <c r="D2147" s="14">
        <v>5.5759700000000002E-2</v>
      </c>
      <c r="E2147" s="14">
        <v>0.14158770000000001</v>
      </c>
      <c r="F2147" s="14">
        <v>5.33251E-2</v>
      </c>
      <c r="G2147" s="14">
        <v>1.5238750000000001</v>
      </c>
      <c r="H2147" s="14">
        <v>0.171374</v>
      </c>
      <c r="R2147" s="11">
        <f t="shared" si="68"/>
        <v>3.6683549734757613E-3</v>
      </c>
      <c r="Z2147" s="11">
        <f t="shared" si="67"/>
        <v>4.6594415854778557E-3</v>
      </c>
    </row>
    <row r="2148" spans="1:26" x14ac:dyDescent="0.2">
      <c r="A2148" s="45">
        <v>383</v>
      </c>
      <c r="B2148" s="45">
        <v>1999</v>
      </c>
      <c r="C2148" s="17">
        <v>0</v>
      </c>
      <c r="D2148" s="14">
        <v>0.1350218</v>
      </c>
      <c r="E2148" s="14">
        <v>0.25548599999999999</v>
      </c>
      <c r="F2148" s="14">
        <v>6.3040899999999997E-2</v>
      </c>
      <c r="G2148" s="14">
        <v>1.068748</v>
      </c>
      <c r="H2148" s="14">
        <v>0.39365149999999999</v>
      </c>
      <c r="R2148" s="11">
        <f t="shared" si="68"/>
        <v>5.9265028496060159E-3</v>
      </c>
      <c r="Z2148" s="11">
        <f t="shared" si="67"/>
        <v>7.6882907165151566E-3</v>
      </c>
    </row>
    <row r="2149" spans="1:26" x14ac:dyDescent="0.2">
      <c r="A2149" s="45">
        <v>383</v>
      </c>
      <c r="B2149" s="45">
        <v>2000</v>
      </c>
      <c r="C2149" s="17">
        <v>0</v>
      </c>
      <c r="D2149" s="14">
        <v>0.16637469999999999</v>
      </c>
      <c r="E2149" s="14">
        <v>0.26772439999999997</v>
      </c>
      <c r="F2149" s="14">
        <v>7.0081099999999993E-2</v>
      </c>
      <c r="G2149" s="14">
        <v>1.0375749999999999</v>
      </c>
      <c r="H2149" s="14">
        <v>0.40827459999999999</v>
      </c>
      <c r="R2149" s="11">
        <f t="shared" si="68"/>
        <v>5.7842841127453554E-3</v>
      </c>
      <c r="Z2149" s="11">
        <f t="shared" si="67"/>
        <v>7.5555042596500812E-3</v>
      </c>
    </row>
    <row r="2150" spans="1:26" x14ac:dyDescent="0.2">
      <c r="A2150" s="45">
        <v>383</v>
      </c>
      <c r="B2150" s="45">
        <v>2001</v>
      </c>
      <c r="C2150" s="17">
        <v>0</v>
      </c>
      <c r="D2150" s="14">
        <v>0.18537049999999999</v>
      </c>
      <c r="E2150" s="14">
        <v>0.28776970000000002</v>
      </c>
      <c r="F2150" s="14">
        <v>5.4815700000000002E-2</v>
      </c>
      <c r="G2150" s="14">
        <v>1.542546</v>
      </c>
      <c r="H2150" s="14">
        <v>0.39654420000000001</v>
      </c>
      <c r="R2150" s="11">
        <f t="shared" si="68"/>
        <v>2.8472058681697481E-3</v>
      </c>
      <c r="Z2150" s="11">
        <f t="shared" si="67"/>
        <v>3.6382879701686633E-3</v>
      </c>
    </row>
    <row r="2151" spans="1:26" x14ac:dyDescent="0.2">
      <c r="A2151" s="45">
        <v>383</v>
      </c>
      <c r="B2151" s="45">
        <v>2002</v>
      </c>
      <c r="C2151" s="17">
        <v>0</v>
      </c>
      <c r="D2151" s="14">
        <v>0.17194980000000001</v>
      </c>
      <c r="E2151" s="14">
        <v>0.29052889999999998</v>
      </c>
      <c r="F2151" s="14">
        <v>4.11616E-2</v>
      </c>
      <c r="G2151" s="14">
        <v>1.1526890000000001</v>
      </c>
      <c r="H2151" s="14">
        <v>0.37657079999999998</v>
      </c>
      <c r="R2151" s="11">
        <f t="shared" si="68"/>
        <v>5.8695876462202395E-3</v>
      </c>
      <c r="Z2151" s="11">
        <f t="shared" si="67"/>
        <v>7.4754476315808116E-3</v>
      </c>
    </row>
    <row r="2152" spans="1:26" x14ac:dyDescent="0.2">
      <c r="A2152" s="45">
        <v>383</v>
      </c>
      <c r="B2152" s="45">
        <v>2003</v>
      </c>
      <c r="C2152" s="17">
        <v>0</v>
      </c>
      <c r="D2152" s="14">
        <v>0.24066509999999999</v>
      </c>
      <c r="E2152" s="14">
        <v>0.32212469999999999</v>
      </c>
      <c r="F2152" s="14">
        <v>6.6207600000000005E-2</v>
      </c>
      <c r="G2152" s="14">
        <v>1.5854220000000001</v>
      </c>
      <c r="H2152" s="14">
        <v>0.50345359999999995</v>
      </c>
      <c r="R2152" s="11">
        <f t="shared" si="68"/>
        <v>2.3105183213645315E-3</v>
      </c>
      <c r="Z2152" s="11">
        <f t="shared" si="67"/>
        <v>2.981240391511934E-3</v>
      </c>
    </row>
    <row r="2153" spans="1:26" x14ac:dyDescent="0.2">
      <c r="A2153" s="45">
        <v>384</v>
      </c>
      <c r="B2153" s="45">
        <v>2003</v>
      </c>
      <c r="C2153" s="17">
        <v>0</v>
      </c>
      <c r="D2153" s="14">
        <v>0.5610676</v>
      </c>
      <c r="E2153" s="14">
        <v>0.48380590000000001</v>
      </c>
      <c r="F2153" s="14">
        <v>7.4679099999999998E-2</v>
      </c>
      <c r="G2153" s="14">
        <v>2.3484080000000001</v>
      </c>
      <c r="H2153" s="14">
        <v>0.2166536</v>
      </c>
      <c r="R2153" s="11">
        <f t="shared" si="68"/>
        <v>5.0688868692683111E-4</v>
      </c>
      <c r="Z2153" s="11">
        <f t="shared" si="67"/>
        <v>6.515607867746511E-4</v>
      </c>
    </row>
    <row r="2154" spans="1:26" x14ac:dyDescent="0.2">
      <c r="A2154" s="45">
        <v>385</v>
      </c>
      <c r="B2154" s="45">
        <v>2001</v>
      </c>
      <c r="C2154" s="17">
        <v>0</v>
      </c>
      <c r="D2154" s="14">
        <v>6.1328599999999997E-2</v>
      </c>
      <c r="E2154" s="14">
        <v>0.3849745</v>
      </c>
      <c r="F2154" s="14">
        <v>4.3265100000000001E-2</v>
      </c>
      <c r="G2154" s="14">
        <v>0.94873070000000004</v>
      </c>
      <c r="H2154" s="14">
        <v>0.29357440000000001</v>
      </c>
      <c r="R2154" s="11">
        <f t="shared" si="68"/>
        <v>6.9557323647523534E-3</v>
      </c>
      <c r="Z2154" s="11">
        <f t="shared" si="67"/>
        <v>8.9394643447092362E-3</v>
      </c>
    </row>
    <row r="2155" spans="1:26" x14ac:dyDescent="0.2">
      <c r="A2155" s="45">
        <v>385</v>
      </c>
      <c r="B2155" s="45">
        <v>2002</v>
      </c>
      <c r="C2155" s="17">
        <v>0</v>
      </c>
      <c r="D2155" s="14">
        <v>0.15263109999999999</v>
      </c>
      <c r="E2155" s="14">
        <v>0.23089370000000001</v>
      </c>
      <c r="F2155" s="14">
        <v>5.2737699999999998E-2</v>
      </c>
      <c r="G2155" s="14">
        <v>0.55055480000000001</v>
      </c>
      <c r="H2155" s="14">
        <v>0.2748834</v>
      </c>
      <c r="R2155" s="11">
        <f t="shared" si="68"/>
        <v>1.5091552501712124E-2</v>
      </c>
      <c r="Z2155" s="11">
        <f t="shared" si="67"/>
        <v>1.9565027792480219E-2</v>
      </c>
    </row>
    <row r="2156" spans="1:26" x14ac:dyDescent="0.2">
      <c r="A2156" s="45">
        <v>385</v>
      </c>
      <c r="B2156" s="45">
        <v>2003</v>
      </c>
      <c r="C2156" s="17">
        <v>0</v>
      </c>
      <c r="D2156" s="14">
        <v>9.5233899999999996E-2</v>
      </c>
      <c r="E2156" s="14">
        <v>0.22703770000000001</v>
      </c>
      <c r="F2156" s="14">
        <v>3.4126099999999999E-2</v>
      </c>
      <c r="G2156" s="14">
        <v>0.67192810000000003</v>
      </c>
      <c r="H2156" s="14">
        <v>0.28595150000000003</v>
      </c>
      <c r="R2156" s="11">
        <f t="shared" si="68"/>
        <v>1.4523584797238953E-2</v>
      </c>
      <c r="Z2156" s="11">
        <f t="shared" si="67"/>
        <v>1.8501089026403312E-2</v>
      </c>
    </row>
    <row r="2157" spans="1:26" x14ac:dyDescent="0.2">
      <c r="A2157" s="45">
        <v>385</v>
      </c>
      <c r="B2157" s="45">
        <v>2004</v>
      </c>
      <c r="C2157" s="17">
        <v>0</v>
      </c>
      <c r="D2157" s="14">
        <v>0.13047919999999999</v>
      </c>
      <c r="E2157" s="14">
        <v>0.26026840000000001</v>
      </c>
      <c r="F2157" s="14">
        <v>3.8435499999999997E-2</v>
      </c>
      <c r="G2157" s="14">
        <v>0.81232700000000002</v>
      </c>
      <c r="H2157" s="14">
        <v>0.3049713</v>
      </c>
      <c r="R2157" s="11">
        <f t="shared" si="68"/>
        <v>1.0730469899045096E-2</v>
      </c>
      <c r="Z2157" s="11">
        <f t="shared" si="67"/>
        <v>1.3704932166500931E-2</v>
      </c>
    </row>
    <row r="2158" spans="1:26" x14ac:dyDescent="0.2">
      <c r="A2158" s="45">
        <v>386</v>
      </c>
      <c r="B2158" s="45">
        <v>1995</v>
      </c>
      <c r="C2158" s="17">
        <v>0</v>
      </c>
      <c r="D2158" s="14">
        <v>3.3802199999999998E-2</v>
      </c>
      <c r="E2158" s="14">
        <v>0.3709829</v>
      </c>
      <c r="F2158" s="14">
        <v>6.1534199999999997E-2</v>
      </c>
      <c r="G2158" s="14">
        <v>2.5460199999999999</v>
      </c>
      <c r="H2158" s="14">
        <v>0.22617590000000001</v>
      </c>
      <c r="R2158" s="11">
        <f t="shared" si="68"/>
        <v>4.8424673033809406E-4</v>
      </c>
      <c r="Z2158" s="11">
        <f t="shared" si="67"/>
        <v>6.1075647346679285E-4</v>
      </c>
    </row>
    <row r="2159" spans="1:26" x14ac:dyDescent="0.2">
      <c r="A2159" s="45">
        <v>386</v>
      </c>
      <c r="B2159" s="45">
        <v>1996</v>
      </c>
      <c r="C2159" s="17">
        <v>0</v>
      </c>
      <c r="D2159" s="14">
        <v>9.9682199999999999E-2</v>
      </c>
      <c r="E2159" s="14">
        <v>0.29471000000000003</v>
      </c>
      <c r="F2159" s="14">
        <v>3.2907899999999997E-2</v>
      </c>
      <c r="G2159" s="14">
        <v>1.439093</v>
      </c>
      <c r="H2159" s="14">
        <v>0.14408699999999999</v>
      </c>
      <c r="R2159" s="11">
        <f t="shared" si="68"/>
        <v>3.9560184460502865E-3</v>
      </c>
      <c r="Z2159" s="11">
        <f t="shared" si="67"/>
        <v>4.9765654709617484E-3</v>
      </c>
    </row>
    <row r="2160" spans="1:26" x14ac:dyDescent="0.2">
      <c r="A2160" s="45">
        <v>387</v>
      </c>
      <c r="B2160" s="45">
        <v>1995</v>
      </c>
      <c r="C2160" s="17">
        <v>0</v>
      </c>
      <c r="D2160" s="14">
        <v>0.19767589999999999</v>
      </c>
      <c r="E2160" s="14">
        <v>2.7896399999999998E-2</v>
      </c>
      <c r="F2160" s="14">
        <v>4.6966399999999998E-2</v>
      </c>
      <c r="G2160" s="14">
        <v>1.2510019999999999</v>
      </c>
      <c r="H2160" s="14">
        <v>0.17019339999999999</v>
      </c>
      <c r="R2160" s="11">
        <f t="shared" si="68"/>
        <v>7.0104732776850847E-3</v>
      </c>
      <c r="Z2160" s="11">
        <f t="shared" si="67"/>
        <v>8.8691509002714729E-3</v>
      </c>
    </row>
    <row r="2161" spans="1:26" x14ac:dyDescent="0.2">
      <c r="A2161" s="45">
        <v>388</v>
      </c>
      <c r="B2161" s="45">
        <v>1995</v>
      </c>
      <c r="C2161" s="17">
        <v>0</v>
      </c>
      <c r="D2161" s="14">
        <v>0.13512260000000001</v>
      </c>
      <c r="E2161" s="14">
        <v>0.64915560000000005</v>
      </c>
      <c r="F2161" s="14">
        <v>5.9844700000000001E-2</v>
      </c>
      <c r="G2161" s="14">
        <v>0.99236729999999995</v>
      </c>
      <c r="H2161" s="14">
        <v>0.31192049999999999</v>
      </c>
      <c r="R2161" s="11">
        <f t="shared" si="68"/>
        <v>3.8820816036559528E-3</v>
      </c>
      <c r="Z2161" s="11">
        <f t="shared" si="67"/>
        <v>5.1025437835593946E-3</v>
      </c>
    </row>
    <row r="2162" spans="1:26" x14ac:dyDescent="0.2">
      <c r="A2162" s="45">
        <v>388</v>
      </c>
      <c r="B2162" s="45">
        <v>1996</v>
      </c>
      <c r="C2162" s="17">
        <v>0</v>
      </c>
      <c r="D2162" s="14">
        <v>4.6134700000000001E-2</v>
      </c>
      <c r="E2162" s="14">
        <v>0.35880440000000002</v>
      </c>
      <c r="F2162" s="14">
        <v>7.4421699999999993E-2</v>
      </c>
      <c r="G2162" s="14">
        <v>1.2507280000000001</v>
      </c>
      <c r="H2162" s="14">
        <v>0.49353639999999999</v>
      </c>
      <c r="R2162" s="11">
        <f t="shared" si="68"/>
        <v>3.4924893917579894E-3</v>
      </c>
      <c r="Z2162" s="11">
        <f t="shared" si="67"/>
        <v>4.5741893883117623E-3</v>
      </c>
    </row>
    <row r="2163" spans="1:26" x14ac:dyDescent="0.2">
      <c r="A2163" s="45">
        <v>388</v>
      </c>
      <c r="B2163" s="45">
        <v>1997</v>
      </c>
      <c r="C2163" s="17">
        <v>0</v>
      </c>
      <c r="D2163" s="14">
        <v>4.7711299999999998E-2</v>
      </c>
      <c r="E2163" s="14">
        <v>0.352329</v>
      </c>
      <c r="F2163" s="14">
        <v>3.5769500000000003E-2</v>
      </c>
      <c r="G2163" s="14">
        <v>1.512985</v>
      </c>
      <c r="H2163" s="14">
        <v>0.47306179999999998</v>
      </c>
      <c r="R2163" s="11">
        <f t="shared" si="68"/>
        <v>3.1632831383086955E-3</v>
      </c>
      <c r="Z2163" s="11">
        <f t="shared" si="67"/>
        <v>3.9908346195854701E-3</v>
      </c>
    </row>
    <row r="2164" spans="1:26" x14ac:dyDescent="0.2">
      <c r="A2164" s="45">
        <v>389</v>
      </c>
      <c r="B2164" s="45">
        <v>2001</v>
      </c>
      <c r="C2164" s="17">
        <v>0</v>
      </c>
      <c r="D2164" s="14">
        <v>9.5881499999999995E-2</v>
      </c>
      <c r="E2164" s="14">
        <v>0.13156100000000001</v>
      </c>
      <c r="F2164" s="14">
        <v>5.14721E-2</v>
      </c>
      <c r="G2164" s="14">
        <v>0.86277729999999997</v>
      </c>
      <c r="H2164" s="14">
        <v>0.40735440000000001</v>
      </c>
      <c r="R2164" s="11">
        <f t="shared" si="68"/>
        <v>1.075667222799964E-2</v>
      </c>
      <c r="Z2164" s="11">
        <f t="shared" si="67"/>
        <v>1.3808435808630606E-2</v>
      </c>
    </row>
    <row r="2165" spans="1:26" x14ac:dyDescent="0.2">
      <c r="A2165" s="45">
        <v>389</v>
      </c>
      <c r="B2165" s="45">
        <v>2002</v>
      </c>
      <c r="C2165" s="17">
        <v>0</v>
      </c>
      <c r="D2165" s="14">
        <v>6.1542100000000002E-2</v>
      </c>
      <c r="E2165" s="14">
        <v>0.13405220000000001</v>
      </c>
      <c r="F2165" s="14">
        <v>5.6889599999999999E-2</v>
      </c>
      <c r="G2165" s="14">
        <v>0.55010669999999995</v>
      </c>
      <c r="H2165" s="14">
        <v>0.44463740000000002</v>
      </c>
      <c r="R2165" s="11">
        <f t="shared" si="68"/>
        <v>1.6788977410510105E-2</v>
      </c>
      <c r="Z2165" s="11">
        <f t="shared" si="67"/>
        <v>2.1756490430766644E-2</v>
      </c>
    </row>
    <row r="2166" spans="1:26" x14ac:dyDescent="0.2">
      <c r="A2166" s="45">
        <v>390</v>
      </c>
      <c r="B2166" s="45">
        <v>1995</v>
      </c>
      <c r="C2166" s="17">
        <v>0</v>
      </c>
      <c r="D2166" s="14">
        <v>0.2267594</v>
      </c>
      <c r="E2166" s="14">
        <v>0.11893330000000001</v>
      </c>
      <c r="F2166" s="14">
        <v>5.0688400000000002E-2</v>
      </c>
      <c r="G2166" s="14">
        <v>0.95278130000000005</v>
      </c>
      <c r="H2166" s="14">
        <v>0.29546810000000001</v>
      </c>
      <c r="R2166" s="11">
        <f t="shared" si="68"/>
        <v>9.5632900202147469E-3</v>
      </c>
      <c r="Z2166" s="11">
        <f t="shared" si="67"/>
        <v>1.2243654958963844E-2</v>
      </c>
    </row>
    <row r="2167" spans="1:26" x14ac:dyDescent="0.2">
      <c r="A2167" s="45">
        <v>390</v>
      </c>
      <c r="B2167" s="45">
        <v>1996</v>
      </c>
      <c r="C2167" s="17">
        <v>0</v>
      </c>
      <c r="D2167" s="14">
        <v>0.21429210000000001</v>
      </c>
      <c r="E2167" s="14">
        <v>0.1055744</v>
      </c>
      <c r="F2167" s="14">
        <v>5.3536399999999998E-2</v>
      </c>
      <c r="G2167" s="14">
        <v>1.2525360000000001</v>
      </c>
      <c r="H2167" s="14">
        <v>0.2918405</v>
      </c>
      <c r="R2167" s="11">
        <f t="shared" si="68"/>
        <v>5.9330938209035582E-3</v>
      </c>
      <c r="Z2167" s="11">
        <f t="shared" si="67"/>
        <v>7.5682441622869894E-3</v>
      </c>
    </row>
    <row r="2168" spans="1:26" x14ac:dyDescent="0.2">
      <c r="A2168" s="45">
        <v>390</v>
      </c>
      <c r="B2168" s="45">
        <v>1997</v>
      </c>
      <c r="C2168" s="17">
        <v>0</v>
      </c>
      <c r="D2168" s="14">
        <v>0.22853780000000001</v>
      </c>
      <c r="E2168" s="14">
        <v>9.7620799999999994E-2</v>
      </c>
      <c r="F2168" s="14">
        <v>3.0355400000000001E-2</v>
      </c>
      <c r="G2168" s="14">
        <v>0.92025489999999999</v>
      </c>
      <c r="H2168" s="14">
        <v>0.24946960000000001</v>
      </c>
      <c r="R2168" s="11">
        <f t="shared" si="68"/>
        <v>1.219153956038418E-2</v>
      </c>
      <c r="Z2168" s="11">
        <f t="shared" si="67"/>
        <v>1.5342882210946278E-2</v>
      </c>
    </row>
    <row r="2169" spans="1:26" x14ac:dyDescent="0.2">
      <c r="A2169" s="45">
        <v>390</v>
      </c>
      <c r="B2169" s="45">
        <v>1998</v>
      </c>
      <c r="C2169" s="17">
        <v>0</v>
      </c>
      <c r="D2169" s="14">
        <v>0.26280389999999998</v>
      </c>
      <c r="E2169" s="14">
        <v>9.5804600000000004E-2</v>
      </c>
      <c r="F2169" s="14">
        <v>3.8367900000000003E-2</v>
      </c>
      <c r="G2169" s="14">
        <v>0.55808369999999996</v>
      </c>
      <c r="H2169" s="14">
        <v>0.23407929999999999</v>
      </c>
      <c r="R2169" s="11">
        <f t="shared" si="68"/>
        <v>2.0251950720386422E-2</v>
      </c>
      <c r="Z2169" s="11">
        <f t="shared" si="67"/>
        <v>2.5794562594600962E-2</v>
      </c>
    </row>
    <row r="2170" spans="1:26" x14ac:dyDescent="0.2">
      <c r="A2170" s="45">
        <v>390</v>
      </c>
      <c r="B2170" s="45">
        <v>1999</v>
      </c>
      <c r="C2170" s="17">
        <v>0</v>
      </c>
      <c r="D2170" s="14">
        <v>0.21847739999999999</v>
      </c>
      <c r="E2170" s="14">
        <v>0.1331928</v>
      </c>
      <c r="F2170" s="14">
        <v>4.5263100000000001E-2</v>
      </c>
      <c r="G2170" s="14">
        <v>0.59508609999999995</v>
      </c>
      <c r="H2170" s="14">
        <v>0.27350570000000002</v>
      </c>
      <c r="R2170" s="11">
        <f t="shared" si="68"/>
        <v>1.7165664032967601E-2</v>
      </c>
      <c r="Z2170" s="11">
        <f t="shared" si="67"/>
        <v>2.2013823199035949E-2</v>
      </c>
    </row>
    <row r="2171" spans="1:26" x14ac:dyDescent="0.2">
      <c r="A2171" s="45">
        <v>391</v>
      </c>
      <c r="B2171" s="45">
        <v>1995</v>
      </c>
      <c r="C2171" s="17">
        <v>0</v>
      </c>
      <c r="D2171" s="14">
        <v>6.4074599999999995E-2</v>
      </c>
      <c r="E2171" s="14">
        <v>0.42133290000000001</v>
      </c>
      <c r="F2171" s="14">
        <v>6.2486E-2</v>
      </c>
      <c r="G2171" s="14">
        <v>2.4440400000000002</v>
      </c>
      <c r="H2171" s="14">
        <v>0.2466168</v>
      </c>
      <c r="R2171" s="11">
        <f t="shared" si="68"/>
        <v>5.2544452811321442E-4</v>
      </c>
      <c r="Z2171" s="11">
        <f t="shared" si="67"/>
        <v>6.6586449753683232E-4</v>
      </c>
    </row>
    <row r="2172" spans="1:26" x14ac:dyDescent="0.2">
      <c r="A2172" s="45">
        <v>391</v>
      </c>
      <c r="B2172" s="45">
        <v>1996</v>
      </c>
      <c r="C2172" s="17">
        <v>0</v>
      </c>
      <c r="D2172" s="14">
        <v>7.9436499999999993E-2</v>
      </c>
      <c r="E2172" s="14">
        <v>0.47783789999999998</v>
      </c>
      <c r="F2172" s="14">
        <v>6.7427299999999996E-2</v>
      </c>
      <c r="G2172" s="14">
        <v>2.8588789999999999</v>
      </c>
      <c r="H2172" s="14">
        <v>0.25594339999999999</v>
      </c>
      <c r="R2172" s="11">
        <f t="shared" si="68"/>
        <v>2.4026913515418452E-4</v>
      </c>
      <c r="Z2172" s="11">
        <f t="shared" si="67"/>
        <v>3.0354513886521616E-4</v>
      </c>
    </row>
    <row r="2173" spans="1:26" x14ac:dyDescent="0.2">
      <c r="A2173" s="45">
        <v>391</v>
      </c>
      <c r="B2173" s="45">
        <v>1997</v>
      </c>
      <c r="C2173" s="17">
        <v>0</v>
      </c>
      <c r="D2173" s="14">
        <v>5.79461E-2</v>
      </c>
      <c r="E2173" s="14">
        <v>0.31636799999999998</v>
      </c>
      <c r="F2173" s="14">
        <v>6.0016699999999999E-2</v>
      </c>
      <c r="G2173" s="14">
        <v>2.7365949999999999</v>
      </c>
      <c r="H2173" s="14">
        <v>0.24269959999999999</v>
      </c>
      <c r="R2173" s="11">
        <f t="shared" si="68"/>
        <v>3.9171622822741837E-4</v>
      </c>
      <c r="Z2173" s="11">
        <f t="shared" si="67"/>
        <v>4.9046632085667061E-4</v>
      </c>
    </row>
    <row r="2174" spans="1:26" x14ac:dyDescent="0.2">
      <c r="A2174" s="45">
        <v>391</v>
      </c>
      <c r="B2174" s="45">
        <v>1998</v>
      </c>
      <c r="C2174" s="17">
        <v>0</v>
      </c>
      <c r="D2174" s="14">
        <v>-0.1060189</v>
      </c>
      <c r="E2174" s="14">
        <v>0.26235920000000001</v>
      </c>
      <c r="F2174" s="14">
        <v>6.0684399999999999E-2</v>
      </c>
      <c r="G2174" s="14">
        <v>1.8492109999999999</v>
      </c>
      <c r="H2174" s="14">
        <v>0.19949910000000001</v>
      </c>
      <c r="R2174" s="11">
        <f t="shared" si="68"/>
        <v>1.7311060165458134E-3</v>
      </c>
      <c r="Z2174" s="11">
        <f t="shared" si="67"/>
        <v>2.2065700839045315E-3</v>
      </c>
    </row>
    <row r="2175" spans="1:26" x14ac:dyDescent="0.2">
      <c r="A2175" s="45">
        <v>391</v>
      </c>
      <c r="B2175" s="45">
        <v>1999</v>
      </c>
      <c r="C2175" s="17">
        <v>0</v>
      </c>
      <c r="D2175" s="14">
        <v>-4.6677499999999997E-2</v>
      </c>
      <c r="E2175" s="14">
        <v>0.22274910000000001</v>
      </c>
      <c r="F2175" s="14">
        <v>5.9287800000000002E-2</v>
      </c>
      <c r="G2175" s="14">
        <v>2.9033350000000002</v>
      </c>
      <c r="H2175" s="14">
        <v>0.21023520000000001</v>
      </c>
      <c r="R2175" s="11">
        <f t="shared" si="68"/>
        <v>3.4613251756039165E-4</v>
      </c>
      <c r="Z2175" s="11">
        <f t="shared" si="67"/>
        <v>4.3016856731318648E-4</v>
      </c>
    </row>
    <row r="2176" spans="1:26" x14ac:dyDescent="0.2">
      <c r="A2176" s="45">
        <v>391</v>
      </c>
      <c r="B2176" s="45">
        <v>2000</v>
      </c>
      <c r="C2176" s="17">
        <v>0</v>
      </c>
      <c r="D2176" s="14">
        <v>-2.6540000000000001E-3</v>
      </c>
      <c r="E2176" s="14">
        <v>0.25429279999999999</v>
      </c>
      <c r="F2176" s="14">
        <v>7.9666200000000006E-2</v>
      </c>
      <c r="G2176" s="14">
        <v>3.7451460000000001</v>
      </c>
      <c r="H2176" s="14">
        <v>0.2154181</v>
      </c>
      <c r="R2176" s="11">
        <f t="shared" si="68"/>
        <v>7.3458165856387096E-5</v>
      </c>
      <c r="Z2176" s="11">
        <f t="shared" si="67"/>
        <v>9.1230144713492348E-5</v>
      </c>
    </row>
    <row r="2177" spans="1:26" x14ac:dyDescent="0.2">
      <c r="A2177" s="45">
        <v>391</v>
      </c>
      <c r="B2177" s="45">
        <v>2001</v>
      </c>
      <c r="C2177" s="17">
        <v>0</v>
      </c>
      <c r="D2177" s="14">
        <v>1.9606499999999999E-2</v>
      </c>
      <c r="E2177" s="14">
        <v>0.29280590000000001</v>
      </c>
      <c r="F2177" s="14">
        <v>6.53585E-2</v>
      </c>
      <c r="G2177" s="14">
        <v>3.66181</v>
      </c>
      <c r="H2177" s="14">
        <v>0.1982254</v>
      </c>
      <c r="R2177" s="11">
        <f t="shared" si="68"/>
        <v>8.8939259351122796E-5</v>
      </c>
      <c r="Z2177" s="11">
        <f t="shared" si="67"/>
        <v>1.0951345420646097E-4</v>
      </c>
    </row>
    <row r="2178" spans="1:26" x14ac:dyDescent="0.2">
      <c r="A2178" s="45">
        <v>391</v>
      </c>
      <c r="B2178" s="45">
        <v>2002</v>
      </c>
      <c r="C2178" s="17">
        <v>0</v>
      </c>
      <c r="D2178" s="14">
        <v>1.5045899999999999E-2</v>
      </c>
      <c r="E2178" s="14">
        <v>0.31521529999999998</v>
      </c>
      <c r="F2178" s="14">
        <v>7.2359999999999994E-2</v>
      </c>
      <c r="G2178" s="14">
        <v>2.8320789999999998</v>
      </c>
      <c r="H2178" s="14">
        <v>0.21265210000000001</v>
      </c>
      <c r="R2178" s="11">
        <f t="shared" si="68"/>
        <v>3.0533288042954417E-4</v>
      </c>
      <c r="Z2178" s="11">
        <f t="shared" ref="Z2178:Z2241" si="69">1/(1+EXP(-(U$2+$V$2*E2178+$W$2*F2178+$X$2*G2178)))</f>
        <v>3.8537460192912792E-4</v>
      </c>
    </row>
    <row r="2179" spans="1:26" x14ac:dyDescent="0.2">
      <c r="A2179" s="45">
        <v>391</v>
      </c>
      <c r="B2179" s="45">
        <v>2003</v>
      </c>
      <c r="C2179" s="17">
        <v>0</v>
      </c>
      <c r="D2179" s="14">
        <v>1.9874200000000002E-2</v>
      </c>
      <c r="E2179" s="14">
        <v>0.3561106</v>
      </c>
      <c r="F2179" s="14">
        <v>7.3885000000000006E-2</v>
      </c>
      <c r="G2179" s="14">
        <v>2.6535310000000001</v>
      </c>
      <c r="H2179" s="14">
        <v>0.2281357</v>
      </c>
      <c r="R2179" s="11">
        <f t="shared" si="68"/>
        <v>3.7773845752634647E-4</v>
      </c>
      <c r="Z2179" s="11">
        <f t="shared" si="69"/>
        <v>4.7989954995673222E-4</v>
      </c>
    </row>
    <row r="2180" spans="1:26" x14ac:dyDescent="0.2">
      <c r="A2180" s="45">
        <v>391</v>
      </c>
      <c r="B2180" s="45">
        <v>2004</v>
      </c>
      <c r="C2180" s="17">
        <v>0</v>
      </c>
      <c r="D2180" s="14">
        <v>3.7799899999999997E-2</v>
      </c>
      <c r="E2180" s="14">
        <v>0.27586899999999998</v>
      </c>
      <c r="F2180" s="14">
        <v>3.2424300000000003E-2</v>
      </c>
      <c r="G2180" s="14">
        <v>1.33525</v>
      </c>
      <c r="H2180" s="14">
        <v>0.18755079999999999</v>
      </c>
      <c r="R2180" s="11">
        <f t="shared" si="68"/>
        <v>4.8120607199842909E-3</v>
      </c>
      <c r="Z2180" s="11">
        <f t="shared" si="69"/>
        <v>6.0595931274473568E-3</v>
      </c>
    </row>
    <row r="2181" spans="1:26" x14ac:dyDescent="0.2">
      <c r="A2181" s="45">
        <v>392</v>
      </c>
      <c r="B2181" s="45">
        <v>1995</v>
      </c>
      <c r="C2181" s="17">
        <v>0</v>
      </c>
      <c r="D2181" s="14">
        <v>9.2758300000000002E-2</v>
      </c>
      <c r="E2181" s="14">
        <v>0.29448980000000002</v>
      </c>
      <c r="F2181" s="14">
        <v>3.5737699999999997E-2</v>
      </c>
      <c r="G2181" s="14">
        <v>0.40246579999999998</v>
      </c>
      <c r="H2181" s="14">
        <v>0.85888500000000001</v>
      </c>
      <c r="R2181" s="11">
        <f t="shared" si="68"/>
        <v>1.9861595492649188E-2</v>
      </c>
      <c r="Z2181" s="11">
        <f t="shared" si="69"/>
        <v>2.5500179853186353E-2</v>
      </c>
    </row>
    <row r="2182" spans="1:26" x14ac:dyDescent="0.2">
      <c r="A2182" s="45">
        <v>392</v>
      </c>
      <c r="B2182" s="45">
        <v>1996</v>
      </c>
      <c r="C2182" s="17">
        <v>0</v>
      </c>
      <c r="D2182" s="14">
        <v>8.6863300000000004E-2</v>
      </c>
      <c r="E2182" s="14">
        <v>0.26918239999999999</v>
      </c>
      <c r="F2182" s="14">
        <v>4.90991E-2</v>
      </c>
      <c r="G2182" s="14">
        <v>0.41489789999999999</v>
      </c>
      <c r="H2182" s="14">
        <v>0.86215359999999996</v>
      </c>
      <c r="R2182" s="11">
        <f t="shared" si="68"/>
        <v>1.8185127639809347E-2</v>
      </c>
      <c r="Z2182" s="11">
        <f t="shared" si="69"/>
        <v>2.3583991084353731E-2</v>
      </c>
    </row>
    <row r="2183" spans="1:26" x14ac:dyDescent="0.2">
      <c r="A2183" s="45">
        <v>392</v>
      </c>
      <c r="B2183" s="45">
        <v>1997</v>
      </c>
      <c r="C2183" s="17">
        <v>0</v>
      </c>
      <c r="D2183" s="14">
        <v>0.15942519999999999</v>
      </c>
      <c r="E2183" s="14">
        <v>0.24752869999999999</v>
      </c>
      <c r="F2183" s="14">
        <v>5.5376300000000003E-2</v>
      </c>
      <c r="G2183" s="14">
        <v>0.41450910000000002</v>
      </c>
      <c r="H2183" s="14">
        <v>0.76353280000000001</v>
      </c>
      <c r="R2183" s="11">
        <f t="shared" si="68"/>
        <v>1.786463908486231E-2</v>
      </c>
      <c r="Z2183" s="11">
        <f t="shared" si="69"/>
        <v>2.3270665276504576E-2</v>
      </c>
    </row>
    <row r="2184" spans="1:26" x14ac:dyDescent="0.2">
      <c r="A2184" s="45">
        <v>392</v>
      </c>
      <c r="B2184" s="45">
        <v>1998</v>
      </c>
      <c r="C2184" s="17">
        <v>0</v>
      </c>
      <c r="D2184" s="14">
        <v>0.1611062</v>
      </c>
      <c r="E2184" s="14">
        <v>0.24190890000000001</v>
      </c>
      <c r="F2184" s="14">
        <v>5.1803500000000002E-2</v>
      </c>
      <c r="G2184" s="14">
        <v>0.28195779999999998</v>
      </c>
      <c r="H2184" s="14">
        <v>0.76358150000000002</v>
      </c>
      <c r="R2184" s="11">
        <f t="shared" si="68"/>
        <v>2.2777914784370135E-2</v>
      </c>
      <c r="Z2184" s="11">
        <f t="shared" si="69"/>
        <v>2.9620085263892874E-2</v>
      </c>
    </row>
    <row r="2185" spans="1:26" x14ac:dyDescent="0.2">
      <c r="A2185" s="45">
        <v>392</v>
      </c>
      <c r="B2185" s="45">
        <v>1999</v>
      </c>
      <c r="C2185" s="17">
        <v>0</v>
      </c>
      <c r="D2185" s="14">
        <v>0.10178420000000001</v>
      </c>
      <c r="E2185" s="14">
        <v>0.2227924</v>
      </c>
      <c r="F2185" s="14">
        <v>5.7456100000000003E-2</v>
      </c>
      <c r="G2185" s="14">
        <v>0.26821919999999999</v>
      </c>
      <c r="H2185" s="14">
        <v>0.80211339999999998</v>
      </c>
      <c r="R2185" s="11">
        <f t="shared" si="68"/>
        <v>2.2877716071114738E-2</v>
      </c>
      <c r="Z2185" s="11">
        <f t="shared" si="69"/>
        <v>2.9872760618419123E-2</v>
      </c>
    </row>
    <row r="2186" spans="1:26" x14ac:dyDescent="0.2">
      <c r="A2186" s="45">
        <v>392</v>
      </c>
      <c r="B2186" s="45">
        <v>2000</v>
      </c>
      <c r="C2186" s="17">
        <v>0</v>
      </c>
      <c r="D2186" s="14">
        <v>0.15385399999999999</v>
      </c>
      <c r="E2186" s="14">
        <v>0.25669160000000002</v>
      </c>
      <c r="F2186" s="14">
        <v>4.3192599999999998E-2</v>
      </c>
      <c r="G2186" s="14">
        <v>0.28361750000000002</v>
      </c>
      <c r="H2186" s="14">
        <v>0.63472740000000005</v>
      </c>
      <c r="R2186" s="11">
        <f t="shared" si="68"/>
        <v>2.379533611832798E-2</v>
      </c>
      <c r="Z2186" s="11">
        <f t="shared" si="69"/>
        <v>3.0736569275633393E-2</v>
      </c>
    </row>
    <row r="2187" spans="1:26" x14ac:dyDescent="0.2">
      <c r="A2187" s="45">
        <v>392</v>
      </c>
      <c r="B2187" s="45">
        <v>2001</v>
      </c>
      <c r="C2187" s="17">
        <v>0</v>
      </c>
      <c r="D2187" s="14">
        <v>0.17210890000000001</v>
      </c>
      <c r="E2187" s="14">
        <v>0.25137759999999998</v>
      </c>
      <c r="F2187" s="14">
        <v>2.8697E-2</v>
      </c>
      <c r="G2187" s="14">
        <v>0.28426430000000003</v>
      </c>
      <c r="H2187" s="14">
        <v>0.66936419999999996</v>
      </c>
      <c r="R2187" s="11">
        <f t="shared" si="68"/>
        <v>2.6817014681625694E-2</v>
      </c>
      <c r="Z2187" s="11">
        <f t="shared" si="69"/>
        <v>3.4207152056525879E-2</v>
      </c>
    </row>
    <row r="2188" spans="1:26" x14ac:dyDescent="0.2">
      <c r="A2188" s="45">
        <v>392</v>
      </c>
      <c r="B2188" s="45">
        <v>2002</v>
      </c>
      <c r="C2188" s="17">
        <v>0</v>
      </c>
      <c r="D2188" s="14">
        <v>0.15553349999999999</v>
      </c>
      <c r="E2188" s="14">
        <v>0.25823420000000002</v>
      </c>
      <c r="F2188" s="14">
        <v>4.0058499999999997E-2</v>
      </c>
      <c r="G2188" s="14">
        <v>0.23930999999999999</v>
      </c>
      <c r="H2188" s="14">
        <v>0.71654859999999998</v>
      </c>
      <c r="R2188" s="11">
        <f t="shared" si="68"/>
        <v>2.6065089931711225E-2</v>
      </c>
      <c r="Z2188" s="11">
        <f t="shared" si="69"/>
        <v>3.3595554229827247E-2</v>
      </c>
    </row>
    <row r="2189" spans="1:26" x14ac:dyDescent="0.2">
      <c r="A2189" s="45">
        <v>392</v>
      </c>
      <c r="B2189" s="45">
        <v>2003</v>
      </c>
      <c r="C2189" s="17">
        <v>0</v>
      </c>
      <c r="D2189" s="14">
        <v>0.14287269999999999</v>
      </c>
      <c r="E2189" s="14">
        <v>0.24390970000000001</v>
      </c>
      <c r="F2189" s="14">
        <v>3.0247900000000001E-2</v>
      </c>
      <c r="G2189" s="14">
        <v>0.26745780000000002</v>
      </c>
      <c r="H2189" s="14">
        <v>0.71152629999999994</v>
      </c>
      <c r="R2189" s="11">
        <f t="shared" si="68"/>
        <v>2.7483530271964488E-2</v>
      </c>
      <c r="Z2189" s="11">
        <f t="shared" si="69"/>
        <v>3.5097615694121051E-2</v>
      </c>
    </row>
    <row r="2190" spans="1:26" x14ac:dyDescent="0.2">
      <c r="A2190" s="45">
        <v>392</v>
      </c>
      <c r="B2190" s="45">
        <v>2004</v>
      </c>
      <c r="C2190" s="17">
        <v>0</v>
      </c>
      <c r="D2190" s="14">
        <v>4.5988399999999999E-2</v>
      </c>
      <c r="E2190" s="14">
        <v>0.23919950000000001</v>
      </c>
      <c r="F2190" s="14">
        <v>2.7304499999999999E-2</v>
      </c>
      <c r="G2190" s="14">
        <v>0.25207869999999999</v>
      </c>
      <c r="H2190" s="14">
        <v>0.79626160000000001</v>
      </c>
      <c r="R2190" s="11">
        <f t="shared" si="68"/>
        <v>2.8989632472493244E-2</v>
      </c>
      <c r="Z2190" s="11">
        <f t="shared" si="69"/>
        <v>3.6925513672504684E-2</v>
      </c>
    </row>
    <row r="2191" spans="1:26" x14ac:dyDescent="0.2">
      <c r="A2191" s="45">
        <v>393</v>
      </c>
      <c r="B2191" s="45">
        <v>1995</v>
      </c>
      <c r="C2191" s="17">
        <v>0</v>
      </c>
      <c r="D2191" s="14">
        <v>0.16626930000000001</v>
      </c>
      <c r="E2191" s="14">
        <v>0.40077940000000001</v>
      </c>
      <c r="F2191" s="14">
        <v>4.3353999999999997E-2</v>
      </c>
      <c r="G2191" s="14">
        <v>2.392299</v>
      </c>
      <c r="H2191" s="14">
        <v>0.22712869999999999</v>
      </c>
      <c r="R2191" s="11">
        <f t="shared" si="68"/>
        <v>6.8502978573987473E-4</v>
      </c>
      <c r="Z2191" s="11">
        <f t="shared" si="69"/>
        <v>8.5493614992597695E-4</v>
      </c>
    </row>
    <row r="2192" spans="1:26" x14ac:dyDescent="0.2">
      <c r="A2192" s="45">
        <v>393</v>
      </c>
      <c r="B2192" s="45">
        <v>1996</v>
      </c>
      <c r="C2192" s="17">
        <v>0</v>
      </c>
      <c r="D2192" s="14">
        <v>0.27343210000000001</v>
      </c>
      <c r="E2192" s="14">
        <v>0.45182369999999999</v>
      </c>
      <c r="F2192" s="14">
        <v>6.2752500000000003E-2</v>
      </c>
      <c r="G2192" s="14">
        <v>3.1392199999999999</v>
      </c>
      <c r="H2192" s="14">
        <v>0.25649739999999999</v>
      </c>
      <c r="R2192" s="11">
        <f t="shared" si="68"/>
        <v>1.6572066801850822E-4</v>
      </c>
      <c r="Z2192" s="11">
        <f t="shared" si="69"/>
        <v>2.070994505663855E-4</v>
      </c>
    </row>
    <row r="2193" spans="1:26" x14ac:dyDescent="0.2">
      <c r="A2193" s="45">
        <v>393</v>
      </c>
      <c r="B2193" s="45">
        <v>1997</v>
      </c>
      <c r="C2193" s="17">
        <v>0</v>
      </c>
      <c r="D2193" s="14">
        <v>0.25570759999999998</v>
      </c>
      <c r="E2193" s="14">
        <v>0.4401024</v>
      </c>
      <c r="F2193" s="14">
        <v>7.4814199999999997E-2</v>
      </c>
      <c r="G2193" s="14">
        <v>4.0246310000000003</v>
      </c>
      <c r="H2193" s="14">
        <v>0.26614850000000001</v>
      </c>
      <c r="R2193" s="11">
        <f t="shared" si="68"/>
        <v>3.7337827623406079E-5</v>
      </c>
      <c r="Z2193" s="11">
        <f t="shared" si="69"/>
        <v>4.61973405431043E-5</v>
      </c>
    </row>
    <row r="2194" spans="1:26" x14ac:dyDescent="0.2">
      <c r="A2194" s="45">
        <v>393</v>
      </c>
      <c r="B2194" s="45">
        <v>1998</v>
      </c>
      <c r="C2194" s="17">
        <v>0</v>
      </c>
      <c r="D2194" s="14">
        <v>0.2156148</v>
      </c>
      <c r="E2194" s="14">
        <v>0.44447880000000001</v>
      </c>
      <c r="F2194" s="14">
        <v>8.0316600000000002E-2</v>
      </c>
      <c r="G2194" s="14">
        <v>4.0356120000000004</v>
      </c>
      <c r="H2194" s="14">
        <v>0.29449419999999998</v>
      </c>
      <c r="R2194" s="11">
        <f t="shared" si="68"/>
        <v>3.4887644806323861E-5</v>
      </c>
      <c r="Z2194" s="11">
        <f t="shared" si="69"/>
        <v>4.3356945714272047E-5</v>
      </c>
    </row>
    <row r="2195" spans="1:26" x14ac:dyDescent="0.2">
      <c r="A2195" s="45">
        <v>393</v>
      </c>
      <c r="B2195" s="45">
        <v>1999</v>
      </c>
      <c r="C2195" s="17">
        <v>0</v>
      </c>
      <c r="D2195" s="14">
        <v>0.2296511</v>
      </c>
      <c r="E2195" s="14">
        <v>0.3401209</v>
      </c>
      <c r="F2195" s="14">
        <v>6.2240499999999997E-2</v>
      </c>
      <c r="G2195" s="14">
        <v>3.2507359999999998</v>
      </c>
      <c r="H2195" s="14">
        <v>0.27839459999999999</v>
      </c>
      <c r="R2195" s="11">
        <f t="shared" si="68"/>
        <v>1.6387565483821719E-4</v>
      </c>
      <c r="Z2195" s="11">
        <f t="shared" si="69"/>
        <v>2.0342574790077549E-4</v>
      </c>
    </row>
    <row r="2196" spans="1:26" x14ac:dyDescent="0.2">
      <c r="A2196" s="45">
        <v>393</v>
      </c>
      <c r="B2196" s="45">
        <v>2000</v>
      </c>
      <c r="C2196" s="17">
        <v>0</v>
      </c>
      <c r="D2196" s="14">
        <v>0.1775246</v>
      </c>
      <c r="E2196" s="14">
        <v>0.3241019</v>
      </c>
      <c r="F2196" s="14">
        <v>5.57922E-2</v>
      </c>
      <c r="G2196" s="14">
        <v>2.7365620000000002</v>
      </c>
      <c r="H2196" s="14">
        <v>0.24533160000000001</v>
      </c>
      <c r="R2196" s="11">
        <f t="shared" si="68"/>
        <v>4.0066596768384855E-4</v>
      </c>
      <c r="Z2196" s="11">
        <f t="shared" si="69"/>
        <v>5.0007064022981234E-4</v>
      </c>
    </row>
    <row r="2197" spans="1:26" x14ac:dyDescent="0.2">
      <c r="A2197" s="45">
        <v>393</v>
      </c>
      <c r="B2197" s="45">
        <v>2001</v>
      </c>
      <c r="C2197" s="17">
        <v>0</v>
      </c>
      <c r="D2197" s="14">
        <v>0.17872979999999999</v>
      </c>
      <c r="E2197" s="14">
        <v>0.283553</v>
      </c>
      <c r="F2197" s="14">
        <v>6.0858700000000002E-2</v>
      </c>
      <c r="G2197" s="14">
        <v>2.2522630000000001</v>
      </c>
      <c r="H2197" s="14">
        <v>0.24596689999999999</v>
      </c>
      <c r="R2197" s="11">
        <f t="shared" si="68"/>
        <v>8.8258370988098813E-4</v>
      </c>
      <c r="Z2197" s="11">
        <f t="shared" si="69"/>
        <v>1.1162927984158918E-3</v>
      </c>
    </row>
    <row r="2198" spans="1:26" x14ac:dyDescent="0.2">
      <c r="A2198" s="45">
        <v>393</v>
      </c>
      <c r="B2198" s="45">
        <v>2002</v>
      </c>
      <c r="C2198" s="17">
        <v>0</v>
      </c>
      <c r="D2198" s="14">
        <v>0.21558469999999999</v>
      </c>
      <c r="E2198" s="14">
        <v>0.259772</v>
      </c>
      <c r="F2198" s="14">
        <v>6.6764799999999999E-2</v>
      </c>
      <c r="G2198" s="14">
        <v>1.556797</v>
      </c>
      <c r="H2198" s="14">
        <v>0.23643210000000001</v>
      </c>
      <c r="R2198" s="11">
        <f t="shared" si="68"/>
        <v>2.6352236165408183E-3</v>
      </c>
      <c r="Z2198" s="11">
        <f t="shared" si="69"/>
        <v>3.396327115187336E-3</v>
      </c>
    </row>
    <row r="2199" spans="1:26" x14ac:dyDescent="0.2">
      <c r="A2199" s="45">
        <v>393</v>
      </c>
      <c r="B2199" s="45">
        <v>2003</v>
      </c>
      <c r="C2199" s="17">
        <v>0</v>
      </c>
      <c r="D2199" s="14">
        <v>0.16497500000000001</v>
      </c>
      <c r="E2199" s="14">
        <v>0.3445375</v>
      </c>
      <c r="F2199" s="14">
        <v>6.9260199999999994E-2</v>
      </c>
      <c r="G2199" s="14">
        <v>1.9327289999999999</v>
      </c>
      <c r="H2199" s="14">
        <v>0.25491960000000002</v>
      </c>
      <c r="R2199" s="11">
        <f t="shared" ref="R2199:R2262" si="70">1/(1+EXP(-(K$2+$M$2*E2199+$N$2*F2199+$O$2*G2199)))</f>
        <v>1.2561545393927019E-3</v>
      </c>
      <c r="Z2199" s="11">
        <f t="shared" si="69"/>
        <v>1.6142312953072045E-3</v>
      </c>
    </row>
    <row r="2200" spans="1:26" x14ac:dyDescent="0.2">
      <c r="A2200" s="45">
        <v>393</v>
      </c>
      <c r="B2200" s="45">
        <v>2004</v>
      </c>
      <c r="C2200" s="17">
        <v>0</v>
      </c>
      <c r="D2200" s="14">
        <v>0.2216418</v>
      </c>
      <c r="E2200" s="14">
        <v>0.37656200000000001</v>
      </c>
      <c r="F2200" s="14">
        <v>7.6017699999999994E-2</v>
      </c>
      <c r="G2200" s="14">
        <v>2.3356650000000001</v>
      </c>
      <c r="H2200" s="14">
        <v>0.27850659999999999</v>
      </c>
      <c r="R2200" s="11">
        <f t="shared" si="70"/>
        <v>5.9808605870812219E-4</v>
      </c>
      <c r="Z2200" s="11">
        <f t="shared" si="69"/>
        <v>7.6700367267878479E-4</v>
      </c>
    </row>
    <row r="2201" spans="1:26" x14ac:dyDescent="0.2">
      <c r="A2201" s="45">
        <v>394</v>
      </c>
      <c r="B2201" s="45">
        <v>1995</v>
      </c>
      <c r="C2201" s="17">
        <v>0</v>
      </c>
      <c r="D2201" s="14">
        <v>0.22619890000000001</v>
      </c>
      <c r="E2201" s="14">
        <v>5.8716299999999999E-2</v>
      </c>
      <c r="F2201" s="14">
        <v>4.0563200000000001E-2</v>
      </c>
      <c r="G2201" s="14">
        <v>0.62735609999999997</v>
      </c>
      <c r="H2201" s="14">
        <v>0.29171609999999998</v>
      </c>
      <c r="R2201" s="11">
        <f t="shared" si="70"/>
        <v>1.8834153587219182E-2</v>
      </c>
      <c r="Z2201" s="11">
        <f t="shared" si="69"/>
        <v>2.3974896669516403E-2</v>
      </c>
    </row>
    <row r="2202" spans="1:26" x14ac:dyDescent="0.2">
      <c r="A2202" s="45">
        <v>394</v>
      </c>
      <c r="B2202" s="45">
        <v>1996</v>
      </c>
      <c r="C2202" s="17">
        <v>0</v>
      </c>
      <c r="D2202" s="14">
        <v>0.22483429999999999</v>
      </c>
      <c r="E2202" s="14">
        <v>9.6444699999999994E-2</v>
      </c>
      <c r="F2202" s="14">
        <v>4.2298599999999999E-2</v>
      </c>
      <c r="G2202" s="14">
        <v>0.59648699999999999</v>
      </c>
      <c r="H2202" s="14">
        <v>0.25086619999999998</v>
      </c>
      <c r="R2202" s="11">
        <f t="shared" si="70"/>
        <v>1.8476320074109563E-2</v>
      </c>
      <c r="Z2202" s="11">
        <f t="shared" si="69"/>
        <v>2.3599849794856749E-2</v>
      </c>
    </row>
    <row r="2203" spans="1:26" x14ac:dyDescent="0.2">
      <c r="A2203" s="45">
        <v>394</v>
      </c>
      <c r="B2203" s="45">
        <v>1997</v>
      </c>
      <c r="C2203" s="17">
        <v>0</v>
      </c>
      <c r="D2203" s="14">
        <v>0.17025499999999999</v>
      </c>
      <c r="E2203" s="14">
        <v>0.1284111</v>
      </c>
      <c r="F2203" s="14">
        <v>5.9865099999999997E-2</v>
      </c>
      <c r="G2203" s="14">
        <v>0.96453580000000005</v>
      </c>
      <c r="H2203" s="14">
        <v>0.22892879999999999</v>
      </c>
      <c r="R2203" s="11">
        <f t="shared" si="70"/>
        <v>8.610441625337157E-3</v>
      </c>
      <c r="Z2203" s="11">
        <f t="shared" si="69"/>
        <v>1.1109776305023749E-2</v>
      </c>
    </row>
    <row r="2204" spans="1:26" x14ac:dyDescent="0.2">
      <c r="A2204" s="45">
        <v>395</v>
      </c>
      <c r="B2204" s="45">
        <v>1995</v>
      </c>
      <c r="C2204" s="17">
        <v>0</v>
      </c>
      <c r="D2204" s="14">
        <v>0.1044967</v>
      </c>
      <c r="E2204" s="14">
        <v>-0.1436443</v>
      </c>
      <c r="F2204" s="14">
        <v>5.7207899999999999E-2</v>
      </c>
      <c r="G2204" s="14">
        <v>1.4585030000000001</v>
      </c>
      <c r="H2204" s="14">
        <v>0.3598557</v>
      </c>
      <c r="R2204" s="11">
        <f t="shared" si="70"/>
        <v>5.9613095899973302E-3</v>
      </c>
      <c r="Z2204" s="11">
        <f t="shared" si="69"/>
        <v>7.5285721884074605E-3</v>
      </c>
    </row>
    <row r="2205" spans="1:26" x14ac:dyDescent="0.2">
      <c r="A2205" s="45">
        <v>396</v>
      </c>
      <c r="B2205" s="45">
        <v>1998</v>
      </c>
      <c r="C2205" s="17">
        <v>0</v>
      </c>
      <c r="D2205" s="14">
        <v>0.25389499999999998</v>
      </c>
      <c r="E2205" s="14">
        <v>0.39157609999999998</v>
      </c>
      <c r="F2205" s="14">
        <v>2.98397E-2</v>
      </c>
      <c r="G2205" s="14">
        <v>1.136649</v>
      </c>
      <c r="H2205" s="14">
        <v>0.2288541</v>
      </c>
      <c r="R2205" s="11">
        <f t="shared" si="70"/>
        <v>5.6925796345477387E-3</v>
      </c>
      <c r="Z2205" s="11">
        <f t="shared" si="69"/>
        <v>7.211143557182915E-3</v>
      </c>
    </row>
    <row r="2206" spans="1:26" x14ac:dyDescent="0.2">
      <c r="A2206" s="45">
        <v>396</v>
      </c>
      <c r="B2206" s="45">
        <v>1999</v>
      </c>
      <c r="C2206" s="17">
        <v>0</v>
      </c>
      <c r="D2206" s="14">
        <v>0.2595459</v>
      </c>
      <c r="E2206" s="14">
        <v>0.37309209999999998</v>
      </c>
      <c r="F2206" s="14">
        <v>2.9309600000000002E-2</v>
      </c>
      <c r="G2206" s="14">
        <v>1.6096779999999999</v>
      </c>
      <c r="H2206" s="14">
        <v>0.23622199999999999</v>
      </c>
      <c r="R2206" s="11">
        <f t="shared" si="70"/>
        <v>2.7715233784322635E-3</v>
      </c>
      <c r="Z2206" s="11">
        <f t="shared" si="69"/>
        <v>3.47363110461941E-3</v>
      </c>
    </row>
    <row r="2207" spans="1:26" x14ac:dyDescent="0.2">
      <c r="A2207" s="45">
        <v>396</v>
      </c>
      <c r="B2207" s="45">
        <v>2000</v>
      </c>
      <c r="C2207" s="17">
        <v>0</v>
      </c>
      <c r="D2207" s="14">
        <v>0.23789399999999999</v>
      </c>
      <c r="E2207" s="14">
        <v>0.39702019999999999</v>
      </c>
      <c r="F2207" s="14">
        <v>3.0128800000000001E-2</v>
      </c>
      <c r="G2207" s="14">
        <v>1.125548</v>
      </c>
      <c r="H2207" s="14">
        <v>0.21248320000000001</v>
      </c>
      <c r="R2207" s="11">
        <f t="shared" si="70"/>
        <v>5.7349727491941803E-3</v>
      </c>
      <c r="Z2207" s="11">
        <f t="shared" si="69"/>
        <v>7.2695823770624075E-3</v>
      </c>
    </row>
    <row r="2208" spans="1:26" x14ac:dyDescent="0.2">
      <c r="A2208" s="45">
        <v>396</v>
      </c>
      <c r="B2208" s="45">
        <v>2001</v>
      </c>
      <c r="C2208" s="17">
        <v>0</v>
      </c>
      <c r="D2208" s="14">
        <v>0.21378520000000001</v>
      </c>
      <c r="E2208" s="14">
        <v>0.3259804</v>
      </c>
      <c r="F2208" s="14">
        <v>3.05332E-2</v>
      </c>
      <c r="G2208" s="14">
        <v>0.81435970000000002</v>
      </c>
      <c r="H2208" s="14">
        <v>0.2408207</v>
      </c>
      <c r="R2208" s="11">
        <f t="shared" si="70"/>
        <v>1.035932943492162E-2</v>
      </c>
      <c r="Z2208" s="11">
        <f t="shared" si="69"/>
        <v>1.3176651239288481E-2</v>
      </c>
    </row>
    <row r="2209" spans="1:26" x14ac:dyDescent="0.2">
      <c r="A2209" s="45">
        <v>396</v>
      </c>
      <c r="B2209" s="45">
        <v>2002</v>
      </c>
      <c r="C2209" s="17">
        <v>0</v>
      </c>
      <c r="D2209" s="14">
        <v>0.21762119999999999</v>
      </c>
      <c r="E2209" s="14">
        <v>0.25915870000000002</v>
      </c>
      <c r="F2209" s="14">
        <v>4.2081300000000002E-2</v>
      </c>
      <c r="G2209" s="14">
        <v>0.5695827</v>
      </c>
      <c r="H2209" s="14">
        <v>0.27995229999999999</v>
      </c>
      <c r="R2209" s="11">
        <f t="shared" si="70"/>
        <v>1.5298360773682167E-2</v>
      </c>
      <c r="Z2209" s="11">
        <f t="shared" si="69"/>
        <v>1.9673418540600458E-2</v>
      </c>
    </row>
    <row r="2210" spans="1:26" x14ac:dyDescent="0.2">
      <c r="A2210" s="45">
        <v>396</v>
      </c>
      <c r="B2210" s="45">
        <v>2003</v>
      </c>
      <c r="C2210" s="17">
        <v>0</v>
      </c>
      <c r="D2210" s="14">
        <v>0.19988059999999999</v>
      </c>
      <c r="E2210" s="14">
        <v>0.31818869999999999</v>
      </c>
      <c r="F2210" s="14">
        <v>4.1529999999999997E-2</v>
      </c>
      <c r="G2210" s="14">
        <v>1.0024139999999999</v>
      </c>
      <c r="H2210" s="14">
        <v>0.2955354</v>
      </c>
      <c r="R2210" s="11">
        <f t="shared" si="70"/>
        <v>7.1336614736935942E-3</v>
      </c>
      <c r="Z2210" s="11">
        <f t="shared" si="69"/>
        <v>9.1233242138647769E-3</v>
      </c>
    </row>
    <row r="2211" spans="1:26" x14ac:dyDescent="0.2">
      <c r="A2211" s="45">
        <v>397</v>
      </c>
      <c r="B2211" s="45">
        <v>1995</v>
      </c>
      <c r="C2211" s="17">
        <v>0</v>
      </c>
      <c r="D2211" s="14">
        <v>0.34197539999999998</v>
      </c>
      <c r="E2211" s="14">
        <v>0.39435579999999998</v>
      </c>
      <c r="F2211" s="14">
        <v>0.1137658</v>
      </c>
      <c r="G2211" s="14">
        <v>4.7988249999999999</v>
      </c>
      <c r="H2211" s="14">
        <v>0.47171770000000002</v>
      </c>
      <c r="R2211" s="11">
        <f t="shared" si="70"/>
        <v>8.5098562211372032E-6</v>
      </c>
      <c r="Z2211" s="11">
        <f t="shared" si="69"/>
        <v>1.0670242581420223E-5</v>
      </c>
    </row>
    <row r="2212" spans="1:26" x14ac:dyDescent="0.2">
      <c r="A2212" s="45">
        <v>397</v>
      </c>
      <c r="B2212" s="45">
        <v>1996</v>
      </c>
      <c r="C2212" s="17">
        <v>0</v>
      </c>
      <c r="D2212" s="14">
        <v>0.31880540000000002</v>
      </c>
      <c r="E2212" s="14">
        <v>0.48868519999999999</v>
      </c>
      <c r="F2212" s="14">
        <v>8.1032800000000002E-2</v>
      </c>
      <c r="G2212" s="14">
        <v>5.2335380000000002</v>
      </c>
      <c r="H2212" s="14">
        <v>0.51901430000000004</v>
      </c>
      <c r="R2212" s="11">
        <f t="shared" si="70"/>
        <v>4.8218078695651097E-6</v>
      </c>
      <c r="Z2212" s="11">
        <f t="shared" si="69"/>
        <v>5.8486620948160522E-6</v>
      </c>
    </row>
    <row r="2213" spans="1:26" x14ac:dyDescent="0.2">
      <c r="A2213" s="45">
        <v>397</v>
      </c>
      <c r="B2213" s="45">
        <v>1997</v>
      </c>
      <c r="C2213" s="17">
        <v>0</v>
      </c>
      <c r="D2213" s="14">
        <v>0.36598409999999998</v>
      </c>
      <c r="E2213" s="14">
        <v>0.36483090000000001</v>
      </c>
      <c r="F2213" s="14">
        <v>0.1134617</v>
      </c>
      <c r="G2213" s="14">
        <v>5.5065720000000002</v>
      </c>
      <c r="H2213" s="14">
        <v>0.456285</v>
      </c>
      <c r="R2213" s="11">
        <f t="shared" si="70"/>
        <v>2.8827118965399461E-6</v>
      </c>
      <c r="Z2213" s="11">
        <f t="shared" si="69"/>
        <v>3.5541641947015171E-6</v>
      </c>
    </row>
    <row r="2214" spans="1:26" x14ac:dyDescent="0.2">
      <c r="A2214" s="45">
        <v>397</v>
      </c>
      <c r="B2214" s="45">
        <v>1998</v>
      </c>
      <c r="C2214" s="17">
        <v>0</v>
      </c>
      <c r="D2214" s="14">
        <v>0.2056635</v>
      </c>
      <c r="E2214" s="14">
        <v>0.38966909999999999</v>
      </c>
      <c r="F2214" s="14">
        <v>7.7913300000000005E-2</v>
      </c>
      <c r="G2214" s="14">
        <v>2.7873950000000001</v>
      </c>
      <c r="H2214" s="14">
        <v>0.44556970000000001</v>
      </c>
      <c r="R2214" s="11">
        <f t="shared" si="70"/>
        <v>2.814503642583902E-4</v>
      </c>
      <c r="Z2214" s="11">
        <f t="shared" si="69"/>
        <v>3.5811736819250342E-4</v>
      </c>
    </row>
    <row r="2215" spans="1:26" x14ac:dyDescent="0.2">
      <c r="A2215" s="45">
        <v>397</v>
      </c>
      <c r="B2215" s="45">
        <v>1999</v>
      </c>
      <c r="C2215" s="17">
        <v>0</v>
      </c>
      <c r="D2215" s="14">
        <v>0.16120280000000001</v>
      </c>
      <c r="E2215" s="14">
        <v>7.9253000000000004E-2</v>
      </c>
      <c r="F2215" s="14">
        <v>6.88222E-2</v>
      </c>
      <c r="G2215" s="14">
        <v>1.789841</v>
      </c>
      <c r="H2215" s="14">
        <v>0.33014120000000002</v>
      </c>
      <c r="R2215" s="11">
        <f t="shared" si="70"/>
        <v>2.3254698072365386E-3</v>
      </c>
      <c r="Z2215" s="11">
        <f t="shared" si="69"/>
        <v>2.9687294384187885E-3</v>
      </c>
    </row>
    <row r="2216" spans="1:26" x14ac:dyDescent="0.2">
      <c r="A2216" s="45">
        <v>397</v>
      </c>
      <c r="B2216" s="45">
        <v>2000</v>
      </c>
      <c r="C2216" s="17">
        <v>0</v>
      </c>
      <c r="D2216" s="14">
        <v>7.4187600000000006E-2</v>
      </c>
      <c r="E2216" s="14">
        <v>-6.5173200000000001E-2</v>
      </c>
      <c r="F2216" s="14">
        <v>7.3078599999999994E-2</v>
      </c>
      <c r="G2216" s="14">
        <v>2.1632910000000001</v>
      </c>
      <c r="H2216" s="14">
        <v>0.40005649999999998</v>
      </c>
      <c r="R2216" s="11">
        <f t="shared" si="70"/>
        <v>1.5304202862806192E-3</v>
      </c>
      <c r="Z2216" s="11">
        <f t="shared" si="69"/>
        <v>1.9353890738511073E-3</v>
      </c>
    </row>
    <row r="2217" spans="1:26" x14ac:dyDescent="0.2">
      <c r="A2217" s="45">
        <v>397</v>
      </c>
      <c r="B2217" s="45">
        <v>2001</v>
      </c>
      <c r="C2217" s="17">
        <v>0</v>
      </c>
      <c r="D2217" s="14">
        <v>0.13424720000000001</v>
      </c>
      <c r="E2217" s="14">
        <v>-1.7876699999999999E-2</v>
      </c>
      <c r="F2217" s="14">
        <v>7.0797899999999997E-2</v>
      </c>
      <c r="G2217" s="14">
        <v>2.67299</v>
      </c>
      <c r="H2217" s="14">
        <v>0.38321100000000002</v>
      </c>
      <c r="R2217" s="11">
        <f t="shared" si="70"/>
        <v>6.4638975634659563E-4</v>
      </c>
      <c r="Z2217" s="11">
        <f t="shared" si="69"/>
        <v>8.0830519194186024E-4</v>
      </c>
    </row>
    <row r="2218" spans="1:26" x14ac:dyDescent="0.2">
      <c r="A2218" s="45">
        <v>397</v>
      </c>
      <c r="B2218" s="45">
        <v>2002</v>
      </c>
      <c r="C2218" s="17">
        <v>0</v>
      </c>
      <c r="D2218" s="14">
        <v>0.1937122</v>
      </c>
      <c r="E2218" s="14">
        <v>3.7728499999999998E-2</v>
      </c>
      <c r="F2218" s="14">
        <v>0.1066373</v>
      </c>
      <c r="G2218" s="14">
        <v>3.4176190000000002</v>
      </c>
      <c r="H2218" s="14">
        <v>0.403974</v>
      </c>
      <c r="R2218" s="11">
        <f t="shared" si="70"/>
        <v>1.3669381414783293E-4</v>
      </c>
      <c r="Z2218" s="11">
        <f t="shared" si="69"/>
        <v>1.7351975750217548E-4</v>
      </c>
    </row>
    <row r="2219" spans="1:26" x14ac:dyDescent="0.2">
      <c r="A2219" s="45">
        <v>397</v>
      </c>
      <c r="B2219" s="45">
        <v>2003</v>
      </c>
      <c r="C2219" s="17">
        <v>0</v>
      </c>
      <c r="D2219" s="14">
        <v>0.25334640000000003</v>
      </c>
      <c r="E2219" s="14">
        <v>0.13041359999999999</v>
      </c>
      <c r="F2219" s="14">
        <v>0.10592600000000001</v>
      </c>
      <c r="G2219" s="14">
        <v>3.648091</v>
      </c>
      <c r="H2219" s="14">
        <v>0.42000310000000002</v>
      </c>
      <c r="R2219" s="11">
        <f t="shared" si="70"/>
        <v>8.3216180990951526E-5</v>
      </c>
      <c r="Z2219" s="11">
        <f t="shared" si="69"/>
        <v>1.0537474668787035E-4</v>
      </c>
    </row>
    <row r="2220" spans="1:26" x14ac:dyDescent="0.2">
      <c r="A2220" s="45">
        <v>397</v>
      </c>
      <c r="B2220" s="45">
        <v>2004</v>
      </c>
      <c r="C2220" s="17">
        <v>0</v>
      </c>
      <c r="D2220" s="14">
        <v>0.2221688</v>
      </c>
      <c r="E2220" s="14">
        <v>0.2072659</v>
      </c>
      <c r="F2220" s="14">
        <v>0.1196231</v>
      </c>
      <c r="G2220" s="14">
        <v>3.432172</v>
      </c>
      <c r="H2220" s="14">
        <v>0.4155491</v>
      </c>
      <c r="R2220" s="11">
        <f t="shared" si="70"/>
        <v>9.4086019071283567E-5</v>
      </c>
      <c r="Z2220" s="11">
        <f t="shared" si="69"/>
        <v>1.2137707876694785E-4</v>
      </c>
    </row>
    <row r="2221" spans="1:26" x14ac:dyDescent="0.2">
      <c r="A2221" s="45">
        <v>398</v>
      </c>
      <c r="B2221" s="45">
        <v>1998</v>
      </c>
      <c r="C2221" s="17">
        <v>0</v>
      </c>
      <c r="D2221" s="14">
        <v>0.26120969999999999</v>
      </c>
      <c r="E2221" s="14">
        <v>-0.78619749999999999</v>
      </c>
      <c r="F2221" s="14">
        <v>6.8322300000000002E-2</v>
      </c>
      <c r="G2221" s="14">
        <v>1.9329890000000001</v>
      </c>
      <c r="H2221" s="14">
        <v>0.87272850000000002</v>
      </c>
      <c r="R2221" s="11">
        <f t="shared" si="70"/>
        <v>6.5141491930962858E-3</v>
      </c>
      <c r="Z2221" s="11">
        <f t="shared" si="69"/>
        <v>8.0371368418474653E-3</v>
      </c>
    </row>
    <row r="2222" spans="1:26" x14ac:dyDescent="0.2">
      <c r="A2222" s="45">
        <v>398</v>
      </c>
      <c r="B2222" s="45">
        <v>1999</v>
      </c>
      <c r="C2222" s="17">
        <v>0</v>
      </c>
      <c r="D2222" s="14">
        <v>0.21407979999999999</v>
      </c>
      <c r="E2222" s="14">
        <v>-0.83389679999999999</v>
      </c>
      <c r="F2222" s="14">
        <v>2.6663099999999999E-2</v>
      </c>
      <c r="G2222" s="14">
        <v>1.286986</v>
      </c>
      <c r="H2222" s="14">
        <v>0.78220959999999995</v>
      </c>
      <c r="R2222" s="11">
        <f t="shared" si="70"/>
        <v>2.6721900533178237E-2</v>
      </c>
      <c r="Z2222" s="11">
        <f t="shared" si="69"/>
        <v>3.2136050959745172E-2</v>
      </c>
    </row>
    <row r="2223" spans="1:26" x14ac:dyDescent="0.2">
      <c r="A2223" s="45">
        <v>398</v>
      </c>
      <c r="B2223" s="45">
        <v>2000</v>
      </c>
      <c r="C2223" s="17">
        <v>0</v>
      </c>
      <c r="D2223" s="14">
        <v>0.2088844</v>
      </c>
      <c r="E2223" s="14">
        <v>-0.71686709999999998</v>
      </c>
      <c r="F2223" s="14">
        <v>3.30301E-2</v>
      </c>
      <c r="G2223" s="14">
        <v>0.91646369999999999</v>
      </c>
      <c r="H2223" s="14">
        <v>0.74459140000000001</v>
      </c>
      <c r="R2223" s="11">
        <f t="shared" si="70"/>
        <v>3.8205629401235681E-2</v>
      </c>
      <c r="Z2223" s="11">
        <f t="shared" si="69"/>
        <v>4.6603522763224103E-2</v>
      </c>
    </row>
    <row r="2224" spans="1:26" x14ac:dyDescent="0.2">
      <c r="A2224" s="45">
        <v>398</v>
      </c>
      <c r="B2224" s="45">
        <v>2001</v>
      </c>
      <c r="C2224" s="17">
        <v>0</v>
      </c>
      <c r="D2224" s="14">
        <v>6.4153500000000002E-2</v>
      </c>
      <c r="E2224" s="14">
        <v>-0.50076609999999999</v>
      </c>
      <c r="F2224" s="14">
        <v>-9.4511999999999999E-3</v>
      </c>
      <c r="G2224" s="14">
        <v>0.87823039999999997</v>
      </c>
      <c r="H2224" s="14">
        <v>0.41052650000000002</v>
      </c>
      <c r="R2224" s="11">
        <f t="shared" si="70"/>
        <v>4.1515190814369829E-2</v>
      </c>
      <c r="Z2224" s="11">
        <f t="shared" si="69"/>
        <v>4.9340814852839532E-2</v>
      </c>
    </row>
    <row r="2225" spans="1:26" x14ac:dyDescent="0.2">
      <c r="A2225" s="45">
        <v>398</v>
      </c>
      <c r="B2225" s="45">
        <v>2002</v>
      </c>
      <c r="C2225" s="17">
        <v>0</v>
      </c>
      <c r="D2225" s="14">
        <v>-3.2030099999999999E-2</v>
      </c>
      <c r="E2225" s="14">
        <v>-0.70974369999999998</v>
      </c>
      <c r="F2225" s="14">
        <v>1.52912E-2</v>
      </c>
      <c r="G2225" s="14">
        <v>0.71197100000000002</v>
      </c>
      <c r="H2225" s="14">
        <v>0.47030309999999997</v>
      </c>
      <c r="R2225" s="11">
        <f t="shared" si="70"/>
        <v>5.9055722379785021E-2</v>
      </c>
      <c r="Z2225" s="11">
        <f t="shared" si="69"/>
        <v>7.1045940057047119E-2</v>
      </c>
    </row>
    <row r="2226" spans="1:26" x14ac:dyDescent="0.2">
      <c r="A2226" s="45">
        <v>398</v>
      </c>
      <c r="B2226" s="45">
        <v>2003</v>
      </c>
      <c r="C2226" s="17">
        <v>0</v>
      </c>
      <c r="D2226" s="14">
        <v>0.11716119999999999</v>
      </c>
      <c r="E2226" s="14">
        <v>-0.60893059999999999</v>
      </c>
      <c r="F2226" s="14">
        <v>4.05931E-2</v>
      </c>
      <c r="G2226" s="14">
        <v>1.542961</v>
      </c>
      <c r="H2226" s="14">
        <v>0.49509740000000002</v>
      </c>
      <c r="R2226" s="11">
        <f t="shared" si="70"/>
        <v>1.1639545589894581E-2</v>
      </c>
      <c r="Z2226" s="11">
        <f t="shared" si="69"/>
        <v>1.4229963901811936E-2</v>
      </c>
    </row>
    <row r="2227" spans="1:26" x14ac:dyDescent="0.2">
      <c r="A2227" s="45">
        <v>398</v>
      </c>
      <c r="B2227" s="45">
        <v>2004</v>
      </c>
      <c r="C2227" s="17">
        <v>0</v>
      </c>
      <c r="D2227" s="14">
        <v>9.8568600000000006E-2</v>
      </c>
      <c r="E2227" s="14">
        <v>-0.82120599999999999</v>
      </c>
      <c r="F2227" s="14">
        <v>1.6519699999999998E-2</v>
      </c>
      <c r="G2227" s="14">
        <v>0.89013640000000005</v>
      </c>
      <c r="H2227" s="14">
        <v>0.51791869999999995</v>
      </c>
      <c r="R2227" s="11">
        <f t="shared" si="70"/>
        <v>5.2149401681806359E-2</v>
      </c>
      <c r="Z2227" s="11">
        <f t="shared" si="69"/>
        <v>6.2435517426917379E-2</v>
      </c>
    </row>
    <row r="2228" spans="1:26" x14ac:dyDescent="0.2">
      <c r="A2228" s="45">
        <v>399</v>
      </c>
      <c r="B2228" s="45">
        <v>1995</v>
      </c>
      <c r="C2228" s="17">
        <v>0</v>
      </c>
      <c r="D2228" s="14">
        <v>0.3841753</v>
      </c>
      <c r="E2228" s="14">
        <v>0.47218100000000002</v>
      </c>
      <c r="F2228" s="14">
        <v>0.104009</v>
      </c>
      <c r="G2228" s="14">
        <v>2.0451899999999998</v>
      </c>
      <c r="H2228" s="14">
        <v>0.39769169999999998</v>
      </c>
      <c r="R2228" s="11">
        <f t="shared" si="70"/>
        <v>6.6092144034102316E-4</v>
      </c>
      <c r="Z2228" s="11">
        <f t="shared" si="69"/>
        <v>8.756483605275241E-4</v>
      </c>
    </row>
    <row r="2229" spans="1:26" x14ac:dyDescent="0.2">
      <c r="A2229" s="45">
        <v>399</v>
      </c>
      <c r="B2229" s="45">
        <v>1996</v>
      </c>
      <c r="C2229" s="17">
        <v>0</v>
      </c>
      <c r="D2229" s="14">
        <v>0.33784229999999998</v>
      </c>
      <c r="E2229" s="14">
        <v>0.3903277</v>
      </c>
      <c r="F2229" s="14">
        <v>0.10972609999999999</v>
      </c>
      <c r="G2229" s="14">
        <v>1.6796949999999999</v>
      </c>
      <c r="H2229" s="14">
        <v>0.4464514</v>
      </c>
      <c r="R2229" s="11">
        <f t="shared" si="70"/>
        <v>1.2725250941401185E-3</v>
      </c>
      <c r="Z2229" s="11">
        <f t="shared" si="69"/>
        <v>1.7024127670190192E-3</v>
      </c>
    </row>
    <row r="2230" spans="1:26" x14ac:dyDescent="0.2">
      <c r="A2230" s="45">
        <v>399</v>
      </c>
      <c r="B2230" s="45">
        <v>1997</v>
      </c>
      <c r="C2230" s="17">
        <v>0</v>
      </c>
      <c r="D2230" s="14">
        <v>0.32139610000000002</v>
      </c>
      <c r="E2230" s="14">
        <v>0.39719680000000002</v>
      </c>
      <c r="F2230" s="14">
        <v>0.1025842</v>
      </c>
      <c r="G2230" s="14">
        <v>2.024432</v>
      </c>
      <c r="H2230" s="14">
        <v>0.4657114</v>
      </c>
      <c r="R2230" s="11">
        <f t="shared" si="70"/>
        <v>7.7049317486263156E-4</v>
      </c>
      <c r="Z2230" s="11">
        <f t="shared" si="69"/>
        <v>1.0174422545802509E-3</v>
      </c>
    </row>
    <row r="2231" spans="1:26" x14ac:dyDescent="0.2">
      <c r="A2231" s="45">
        <v>399</v>
      </c>
      <c r="B2231" s="45">
        <v>1998</v>
      </c>
      <c r="C2231" s="17">
        <v>0</v>
      </c>
      <c r="D2231" s="14">
        <v>0.30431409999999998</v>
      </c>
      <c r="E2231" s="14">
        <v>0.39310109999999998</v>
      </c>
      <c r="F2231" s="14">
        <v>0.1222293</v>
      </c>
      <c r="G2231" s="14">
        <v>2.0594510000000001</v>
      </c>
      <c r="H2231" s="14">
        <v>0.45703090000000002</v>
      </c>
      <c r="R2231" s="11">
        <f t="shared" si="70"/>
        <v>6.2652063020059547E-4</v>
      </c>
      <c r="Z2231" s="11">
        <f t="shared" si="69"/>
        <v>8.4001781336529935E-4</v>
      </c>
    </row>
    <row r="2232" spans="1:26" x14ac:dyDescent="0.2">
      <c r="A2232" s="45">
        <v>399</v>
      </c>
      <c r="B2232" s="45">
        <v>1999</v>
      </c>
      <c r="C2232" s="17">
        <v>0</v>
      </c>
      <c r="D2232" s="14">
        <v>0.28211730000000002</v>
      </c>
      <c r="E2232" s="14">
        <v>0.381602</v>
      </c>
      <c r="F2232" s="14">
        <v>0.10931399999999999</v>
      </c>
      <c r="G2232" s="14">
        <v>1.5403</v>
      </c>
      <c r="H2232" s="14">
        <v>0.45566329999999999</v>
      </c>
      <c r="R2232" s="11">
        <f t="shared" si="70"/>
        <v>1.6141103464267289E-3</v>
      </c>
      <c r="Z2232" s="11">
        <f t="shared" si="69"/>
        <v>2.1643914797131905E-3</v>
      </c>
    </row>
    <row r="2233" spans="1:26" x14ac:dyDescent="0.2">
      <c r="A2233" s="45">
        <v>399</v>
      </c>
      <c r="B2233" s="45">
        <v>2000</v>
      </c>
      <c r="C2233" s="17">
        <v>0</v>
      </c>
      <c r="D2233" s="14">
        <v>0.28819830000000002</v>
      </c>
      <c r="E2233" s="14">
        <v>0.34287339999999999</v>
      </c>
      <c r="F2233" s="14">
        <v>0.1169905</v>
      </c>
      <c r="G2233" s="14">
        <v>1.5333559999999999</v>
      </c>
      <c r="H2233" s="14">
        <v>0.45775579999999999</v>
      </c>
      <c r="R2233" s="11">
        <f t="shared" si="70"/>
        <v>1.6237650986543673E-3</v>
      </c>
      <c r="Z2233" s="11">
        <f t="shared" si="69"/>
        <v>2.1884779315000788E-3</v>
      </c>
    </row>
    <row r="2234" spans="1:26" x14ac:dyDescent="0.2">
      <c r="A2234" s="45">
        <v>399</v>
      </c>
      <c r="B2234" s="45">
        <v>2001</v>
      </c>
      <c r="C2234" s="17">
        <v>0</v>
      </c>
      <c r="D2234" s="14">
        <v>0.2328141</v>
      </c>
      <c r="E2234" s="14">
        <v>0.34635749999999998</v>
      </c>
      <c r="F2234" s="14">
        <v>8.7161799999999998E-2</v>
      </c>
      <c r="G2234" s="14">
        <v>1.3890199999999999</v>
      </c>
      <c r="H2234" s="14">
        <v>0.4116669</v>
      </c>
      <c r="R2234" s="11">
        <f t="shared" si="70"/>
        <v>2.5788385138036233E-3</v>
      </c>
      <c r="Z2234" s="11">
        <f t="shared" si="69"/>
        <v>3.4020740070423707E-3</v>
      </c>
    </row>
    <row r="2235" spans="1:26" x14ac:dyDescent="0.2">
      <c r="A2235" s="45">
        <v>399</v>
      </c>
      <c r="B2235" s="45">
        <v>2002</v>
      </c>
      <c r="C2235" s="17">
        <v>0</v>
      </c>
      <c r="D2235" s="14">
        <v>0.1892807</v>
      </c>
      <c r="E2235" s="14">
        <v>0.36727159999999998</v>
      </c>
      <c r="F2235" s="14">
        <v>8.1100900000000004E-2</v>
      </c>
      <c r="G2235" s="14">
        <v>0.78087200000000001</v>
      </c>
      <c r="H2235" s="14">
        <v>0.41996990000000001</v>
      </c>
      <c r="R2235" s="11">
        <f t="shared" si="70"/>
        <v>6.8910226596833818E-3</v>
      </c>
      <c r="Z2235" s="11">
        <f t="shared" si="69"/>
        <v>9.1608967232517189E-3</v>
      </c>
    </row>
    <row r="2236" spans="1:26" x14ac:dyDescent="0.2">
      <c r="A2236" s="45">
        <v>399</v>
      </c>
      <c r="B2236" s="45">
        <v>2003</v>
      </c>
      <c r="C2236" s="17">
        <v>0</v>
      </c>
      <c r="D2236" s="14">
        <v>0.2251541</v>
      </c>
      <c r="E2236" s="14">
        <v>0.35467660000000001</v>
      </c>
      <c r="F2236" s="14">
        <v>8.1989800000000002E-2</v>
      </c>
      <c r="G2236" s="14">
        <v>1.2470870000000001</v>
      </c>
      <c r="H2236" s="14">
        <v>0.40357100000000001</v>
      </c>
      <c r="R2236" s="11">
        <f t="shared" si="70"/>
        <v>3.3269215265216414E-3</v>
      </c>
      <c r="Z2236" s="11">
        <f t="shared" si="69"/>
        <v>4.3842957313581588E-3</v>
      </c>
    </row>
    <row r="2237" spans="1:26" x14ac:dyDescent="0.2">
      <c r="A2237" s="45">
        <v>399</v>
      </c>
      <c r="B2237" s="45">
        <v>2004</v>
      </c>
      <c r="C2237" s="17">
        <v>0</v>
      </c>
      <c r="D2237" s="14">
        <v>0.16673859999999999</v>
      </c>
      <c r="E2237" s="14">
        <v>0.30414570000000002</v>
      </c>
      <c r="F2237" s="14">
        <v>6.1742699999999998E-2</v>
      </c>
      <c r="G2237" s="14">
        <v>0.97552349999999999</v>
      </c>
      <c r="H2237" s="14">
        <v>0.34732039999999997</v>
      </c>
      <c r="R2237" s="11">
        <f t="shared" si="70"/>
        <v>6.4693925607662364E-3</v>
      </c>
      <c r="Z2237" s="11">
        <f t="shared" si="69"/>
        <v>8.413338920831414E-3</v>
      </c>
    </row>
    <row r="2238" spans="1:26" x14ac:dyDescent="0.2">
      <c r="A2238" s="45">
        <v>400</v>
      </c>
      <c r="B2238" s="45">
        <v>1995</v>
      </c>
      <c r="C2238" s="17">
        <v>0</v>
      </c>
      <c r="D2238" s="14">
        <v>0.28634579999999998</v>
      </c>
      <c r="E2238" s="14">
        <v>0.18842800000000001</v>
      </c>
      <c r="F2238" s="14">
        <v>6.5474900000000003E-2</v>
      </c>
      <c r="G2238" s="14">
        <v>1.4623550000000001</v>
      </c>
      <c r="H2238" s="14">
        <v>0.34873090000000001</v>
      </c>
      <c r="R2238" s="11">
        <f t="shared" si="70"/>
        <v>3.4305690039892795E-3</v>
      </c>
      <c r="Z2238" s="11">
        <f t="shared" si="69"/>
        <v>4.4141075718387799E-3</v>
      </c>
    </row>
    <row r="2239" spans="1:26" x14ac:dyDescent="0.2">
      <c r="A2239" s="45">
        <v>400</v>
      </c>
      <c r="B2239" s="45">
        <v>1996</v>
      </c>
      <c r="C2239" s="17">
        <v>0</v>
      </c>
      <c r="D2239" s="14">
        <v>0.16809299999999999</v>
      </c>
      <c r="E2239" s="14">
        <v>0.2090658</v>
      </c>
      <c r="F2239" s="14">
        <v>6.0290900000000001E-2</v>
      </c>
      <c r="G2239" s="14">
        <v>1.1329050000000001</v>
      </c>
      <c r="H2239" s="14">
        <v>0.35489739999999997</v>
      </c>
      <c r="R2239" s="11">
        <f t="shared" si="70"/>
        <v>5.8518771344732278E-3</v>
      </c>
      <c r="Z2239" s="11">
        <f t="shared" si="69"/>
        <v>7.5521379711677543E-3</v>
      </c>
    </row>
    <row r="2240" spans="1:26" x14ac:dyDescent="0.2">
      <c r="A2240" s="45">
        <v>400</v>
      </c>
      <c r="B2240" s="45">
        <v>1997</v>
      </c>
      <c r="C2240" s="17">
        <v>0</v>
      </c>
      <c r="D2240" s="14">
        <v>0.18653169999999999</v>
      </c>
      <c r="E2240" s="14">
        <v>0.2568764</v>
      </c>
      <c r="F2240" s="14">
        <v>8.3080200000000007E-2</v>
      </c>
      <c r="G2240" s="14">
        <v>1.8925639999999999</v>
      </c>
      <c r="H2240" s="14">
        <v>0.40532109999999999</v>
      </c>
      <c r="R2240" s="11">
        <f t="shared" si="70"/>
        <v>1.3618853016181915E-3</v>
      </c>
      <c r="Z2240" s="11">
        <f t="shared" si="69"/>
        <v>1.7662089514371446E-3</v>
      </c>
    </row>
    <row r="2241" spans="1:26" x14ac:dyDescent="0.2">
      <c r="A2241" s="45">
        <v>400</v>
      </c>
      <c r="B2241" s="45">
        <v>1998</v>
      </c>
      <c r="C2241" s="17">
        <v>0</v>
      </c>
      <c r="D2241" s="14">
        <v>0.1052698</v>
      </c>
      <c r="E2241" s="14">
        <v>0.31745180000000001</v>
      </c>
      <c r="F2241" s="14">
        <v>7.5193099999999999E-2</v>
      </c>
      <c r="G2241" s="14">
        <v>2.7301449999999998</v>
      </c>
      <c r="H2241" s="14">
        <v>0.39950350000000001</v>
      </c>
      <c r="R2241" s="11">
        <f t="shared" si="70"/>
        <v>3.4998325384911734E-4</v>
      </c>
      <c r="Z2241" s="11">
        <f t="shared" si="69"/>
        <v>4.4377979019830582E-4</v>
      </c>
    </row>
    <row r="2242" spans="1:26" x14ac:dyDescent="0.2">
      <c r="A2242" s="45">
        <v>400</v>
      </c>
      <c r="B2242" s="45">
        <v>1999</v>
      </c>
      <c r="C2242" s="17">
        <v>0</v>
      </c>
      <c r="D2242" s="14">
        <v>8.9922600000000005E-2</v>
      </c>
      <c r="E2242" s="14">
        <v>0.41250819999999999</v>
      </c>
      <c r="F2242" s="14">
        <v>7.9869800000000005E-2</v>
      </c>
      <c r="G2242" s="14">
        <v>1.8614599999999999</v>
      </c>
      <c r="H2242" s="14">
        <v>0.42321340000000002</v>
      </c>
      <c r="R2242" s="11">
        <f t="shared" si="70"/>
        <v>1.1711854213380059E-3</v>
      </c>
      <c r="Z2242" s="11">
        <f t="shared" ref="Z2242:Z2305" si="71">1/(1+EXP(-(U$2+$V$2*E2242+$W$2*F2242+$X$2*G2242)))</f>
        <v>1.5241261803614231E-3</v>
      </c>
    </row>
    <row r="2243" spans="1:26" x14ac:dyDescent="0.2">
      <c r="A2243" s="45">
        <v>400</v>
      </c>
      <c r="B2243" s="45">
        <v>2000</v>
      </c>
      <c r="C2243" s="17">
        <v>0</v>
      </c>
      <c r="D2243" s="14">
        <v>7.4591699999999997E-2</v>
      </c>
      <c r="E2243" s="14">
        <v>0.45812570000000002</v>
      </c>
      <c r="F2243" s="14">
        <v>5.7926800000000001E-2</v>
      </c>
      <c r="G2243" s="14">
        <v>1.0540160000000001</v>
      </c>
      <c r="H2243" s="14">
        <v>0.3793164</v>
      </c>
      <c r="R2243" s="11">
        <f t="shared" si="70"/>
        <v>4.7133384858816466E-3</v>
      </c>
      <c r="Z2243" s="11">
        <f t="shared" si="71"/>
        <v>6.1354460535724071E-3</v>
      </c>
    </row>
    <row r="2244" spans="1:26" x14ac:dyDescent="0.2">
      <c r="A2244" s="45">
        <v>400</v>
      </c>
      <c r="B2244" s="45">
        <v>2001</v>
      </c>
      <c r="C2244" s="17">
        <v>0</v>
      </c>
      <c r="D2244" s="14">
        <v>0.1232636</v>
      </c>
      <c r="E2244" s="14">
        <v>0.3390417</v>
      </c>
      <c r="F2244" s="14">
        <v>4.2733599999999997E-2</v>
      </c>
      <c r="G2244" s="14">
        <v>0.78829249999999995</v>
      </c>
      <c r="H2244" s="14">
        <v>0.37715539999999997</v>
      </c>
      <c r="R2244" s="11">
        <f t="shared" si="70"/>
        <v>9.6175941108527004E-3</v>
      </c>
      <c r="Z2244" s="11">
        <f t="shared" si="71"/>
        <v>1.2369622641109159E-2</v>
      </c>
    </row>
    <row r="2245" spans="1:26" x14ac:dyDescent="0.2">
      <c r="A2245" s="45">
        <v>400</v>
      </c>
      <c r="B2245" s="45">
        <v>2002</v>
      </c>
      <c r="C2245" s="17">
        <v>0</v>
      </c>
      <c r="D2245" s="14">
        <v>7.9139000000000001E-2</v>
      </c>
      <c r="E2245" s="14">
        <v>0.32994269999999998</v>
      </c>
      <c r="F2245" s="14">
        <v>6.7829200000000006E-2</v>
      </c>
      <c r="G2245" s="14">
        <v>0.75811039999999996</v>
      </c>
      <c r="H2245" s="14">
        <v>0.3932406</v>
      </c>
      <c r="R2245" s="11">
        <f t="shared" si="70"/>
        <v>8.3765273534655744E-3</v>
      </c>
      <c r="Z2245" s="11">
        <f t="shared" si="71"/>
        <v>1.1002663262894098E-2</v>
      </c>
    </row>
    <row r="2246" spans="1:26" x14ac:dyDescent="0.2">
      <c r="A2246" s="45">
        <v>400</v>
      </c>
      <c r="B2246" s="45">
        <v>2003</v>
      </c>
      <c r="C2246" s="17">
        <v>0</v>
      </c>
      <c r="D2246" s="14">
        <v>0.1297403</v>
      </c>
      <c r="E2246" s="14">
        <v>0.33747270000000001</v>
      </c>
      <c r="F2246" s="14">
        <v>5.1472299999999999E-2</v>
      </c>
      <c r="G2246" s="14">
        <v>0.76251360000000001</v>
      </c>
      <c r="H2246" s="14">
        <v>0.435525</v>
      </c>
      <c r="R2246" s="11">
        <f t="shared" si="70"/>
        <v>9.368070380376823E-3</v>
      </c>
      <c r="Z2246" s="11">
        <f t="shared" si="71"/>
        <v>1.2141300731499612E-2</v>
      </c>
    </row>
    <row r="2247" spans="1:26" x14ac:dyDescent="0.2">
      <c r="A2247" s="45">
        <v>400</v>
      </c>
      <c r="B2247" s="45">
        <v>2004</v>
      </c>
      <c r="C2247" s="17">
        <v>0</v>
      </c>
      <c r="D2247" s="14">
        <v>0.1960278</v>
      </c>
      <c r="E2247" s="14">
        <v>0.285603</v>
      </c>
      <c r="F2247" s="14">
        <v>4.6267799999999998E-2</v>
      </c>
      <c r="G2247" s="14">
        <v>0.56165010000000004</v>
      </c>
      <c r="H2247" s="14">
        <v>0.40917740000000002</v>
      </c>
      <c r="R2247" s="11">
        <f t="shared" si="70"/>
        <v>1.4430291528755367E-2</v>
      </c>
      <c r="Z2247" s="11">
        <f t="shared" si="71"/>
        <v>1.864416560354433E-2</v>
      </c>
    </row>
    <row r="2248" spans="1:26" x14ac:dyDescent="0.2">
      <c r="A2248" s="45">
        <v>401</v>
      </c>
      <c r="B2248" s="45">
        <v>1995</v>
      </c>
      <c r="C2248" s="17">
        <v>0</v>
      </c>
      <c r="D2248" s="14">
        <v>2.4473200000000001E-2</v>
      </c>
      <c r="E2248" s="14">
        <v>0.26054719999999998</v>
      </c>
      <c r="F2248" s="14">
        <v>8.3692799999999998E-2</v>
      </c>
      <c r="G2248" s="14">
        <v>1.7801940000000001</v>
      </c>
      <c r="H2248" s="14">
        <v>0.34647159999999999</v>
      </c>
      <c r="R2248" s="11">
        <f t="shared" si="70"/>
        <v>1.6119652343725092E-3</v>
      </c>
      <c r="Z2248" s="11">
        <f t="shared" si="71"/>
        <v>2.096860372857774E-3</v>
      </c>
    </row>
    <row r="2249" spans="1:26" x14ac:dyDescent="0.2">
      <c r="A2249" s="45">
        <v>401</v>
      </c>
      <c r="B2249" s="45">
        <v>1996</v>
      </c>
      <c r="C2249" s="17">
        <v>0</v>
      </c>
      <c r="D2249" s="14">
        <v>6.2737500000000002E-2</v>
      </c>
      <c r="E2249" s="14">
        <v>0.25331039999999999</v>
      </c>
      <c r="F2249" s="14">
        <v>8.5850200000000002E-2</v>
      </c>
      <c r="G2249" s="14">
        <v>2.2326739999999998</v>
      </c>
      <c r="H2249" s="14">
        <v>0.44005040000000001</v>
      </c>
      <c r="R2249" s="11">
        <f t="shared" si="70"/>
        <v>7.7917753307307205E-4</v>
      </c>
      <c r="Z2249" s="11">
        <f t="shared" si="71"/>
        <v>1.0053003585658075E-3</v>
      </c>
    </row>
    <row r="2250" spans="1:26" x14ac:dyDescent="0.2">
      <c r="A2250" s="45">
        <v>401</v>
      </c>
      <c r="B2250" s="45">
        <v>1997</v>
      </c>
      <c r="C2250" s="17">
        <v>0</v>
      </c>
      <c r="D2250" s="14">
        <v>3.5118700000000003E-2</v>
      </c>
      <c r="E2250" s="14">
        <v>0.2219267</v>
      </c>
      <c r="F2250" s="14">
        <v>9.4473299999999996E-2</v>
      </c>
      <c r="G2250" s="14">
        <v>2.2932410000000001</v>
      </c>
      <c r="H2250" s="14">
        <v>0.46599190000000001</v>
      </c>
      <c r="R2250" s="11">
        <f t="shared" si="70"/>
        <v>6.9122374806796524E-4</v>
      </c>
      <c r="Z2250" s="11">
        <f t="shared" si="71"/>
        <v>8.9600548830686625E-4</v>
      </c>
    </row>
    <row r="2251" spans="1:26" x14ac:dyDescent="0.2">
      <c r="A2251" s="45">
        <v>401</v>
      </c>
      <c r="B2251" s="45">
        <v>1998</v>
      </c>
      <c r="C2251" s="17">
        <v>0</v>
      </c>
      <c r="D2251" s="14">
        <v>2.1710199999999999E-2</v>
      </c>
      <c r="E2251" s="14">
        <v>0.2081616</v>
      </c>
      <c r="F2251" s="14">
        <v>0.1041839</v>
      </c>
      <c r="G2251" s="14">
        <v>2.8107760000000002</v>
      </c>
      <c r="H2251" s="14">
        <v>0.50998889999999997</v>
      </c>
      <c r="R2251" s="11">
        <f t="shared" si="70"/>
        <v>2.8613598046658609E-4</v>
      </c>
      <c r="Z2251" s="11">
        <f t="shared" si="71"/>
        <v>3.6950446096018397E-4</v>
      </c>
    </row>
    <row r="2252" spans="1:26" x14ac:dyDescent="0.2">
      <c r="A2252" s="45">
        <v>401</v>
      </c>
      <c r="B2252" s="45">
        <v>1999</v>
      </c>
      <c r="C2252" s="17">
        <v>0</v>
      </c>
      <c r="D2252" s="14">
        <v>5.6727899999999998E-2</v>
      </c>
      <c r="E2252" s="14">
        <v>0.2144703</v>
      </c>
      <c r="F2252" s="14">
        <v>0.11003250000000001</v>
      </c>
      <c r="G2252" s="14">
        <v>2.845399</v>
      </c>
      <c r="H2252" s="14">
        <v>0.53465410000000002</v>
      </c>
      <c r="R2252" s="11">
        <f t="shared" si="70"/>
        <v>2.5604826405732601E-4</v>
      </c>
      <c r="Z2252" s="11">
        <f t="shared" si="71"/>
        <v>3.3206039432125795E-4</v>
      </c>
    </row>
    <row r="2253" spans="1:26" x14ac:dyDescent="0.2">
      <c r="A2253" s="45">
        <v>401</v>
      </c>
      <c r="B2253" s="45">
        <v>2000</v>
      </c>
      <c r="C2253" s="17">
        <v>0</v>
      </c>
      <c r="D2253" s="14">
        <v>-0.21470549999999999</v>
      </c>
      <c r="E2253" s="14">
        <v>0.138069</v>
      </c>
      <c r="F2253" s="14">
        <v>9.3712799999999999E-2</v>
      </c>
      <c r="G2253" s="14">
        <v>1.98753</v>
      </c>
      <c r="H2253" s="14">
        <v>0.42786669999999999</v>
      </c>
      <c r="R2253" s="11">
        <f t="shared" si="70"/>
        <v>1.2780229449745673E-3</v>
      </c>
      <c r="Z2253" s="11">
        <f t="shared" si="71"/>
        <v>1.6617186616283606E-3</v>
      </c>
    </row>
    <row r="2254" spans="1:26" x14ac:dyDescent="0.2">
      <c r="A2254" s="45">
        <v>401</v>
      </c>
      <c r="B2254" s="45">
        <v>2001</v>
      </c>
      <c r="C2254" s="17">
        <v>0</v>
      </c>
      <c r="D2254" s="14">
        <v>-1.9768399999999998E-2</v>
      </c>
      <c r="E2254" s="14">
        <v>0.18477399999999999</v>
      </c>
      <c r="F2254" s="14">
        <v>9.6540000000000001E-2</v>
      </c>
      <c r="G2254" s="14">
        <v>2.299553</v>
      </c>
      <c r="H2254" s="14">
        <v>0.39911679999999999</v>
      </c>
      <c r="R2254" s="11">
        <f t="shared" si="70"/>
        <v>7.1043305589547478E-4</v>
      </c>
      <c r="Z2254" s="11">
        <f t="shared" si="71"/>
        <v>9.2115963367382647E-4</v>
      </c>
    </row>
    <row r="2255" spans="1:26" x14ac:dyDescent="0.2">
      <c r="A2255" s="45">
        <v>401</v>
      </c>
      <c r="B2255" s="45">
        <v>2002</v>
      </c>
      <c r="C2255" s="17">
        <v>0</v>
      </c>
      <c r="D2255" s="14">
        <v>5.19465E-2</v>
      </c>
      <c r="E2255" s="14">
        <v>0.2167558</v>
      </c>
      <c r="F2255" s="14">
        <v>9.7288399999999997E-2</v>
      </c>
      <c r="G2255" s="14">
        <v>2.5097909999999999</v>
      </c>
      <c r="H2255" s="14">
        <v>0.35034530000000003</v>
      </c>
      <c r="R2255" s="11">
        <f t="shared" si="70"/>
        <v>4.8230670607936685E-4</v>
      </c>
      <c r="Z2255" s="11">
        <f t="shared" si="71"/>
        <v>6.2358704297735767E-4</v>
      </c>
    </row>
    <row r="2256" spans="1:26" x14ac:dyDescent="0.2">
      <c r="A2256" s="45">
        <v>401</v>
      </c>
      <c r="B2256" s="45">
        <v>2003</v>
      </c>
      <c r="C2256" s="17">
        <v>0</v>
      </c>
      <c r="D2256" s="14">
        <v>6.8427199999999994E-2</v>
      </c>
      <c r="E2256" s="14">
        <v>0.25989390000000001</v>
      </c>
      <c r="F2256" s="14">
        <v>8.3786399999999997E-2</v>
      </c>
      <c r="G2256" s="14">
        <v>2.8873869999999999</v>
      </c>
      <c r="H2256" s="14">
        <v>0.35354409999999997</v>
      </c>
      <c r="R2256" s="11">
        <f t="shared" si="70"/>
        <v>2.7653320299401746E-4</v>
      </c>
      <c r="Z2256" s="11">
        <f t="shared" si="71"/>
        <v>3.5121604901118108E-4</v>
      </c>
    </row>
    <row r="2257" spans="1:26" x14ac:dyDescent="0.2">
      <c r="A2257" s="45">
        <v>401</v>
      </c>
      <c r="B2257" s="45">
        <v>2004</v>
      </c>
      <c r="C2257" s="17">
        <v>0</v>
      </c>
      <c r="D2257" s="14">
        <v>7.5504299999999996E-2</v>
      </c>
      <c r="E2257" s="14">
        <v>0.25589099999999998</v>
      </c>
      <c r="F2257" s="14">
        <v>8.1775299999999995E-2</v>
      </c>
      <c r="G2257" s="14">
        <v>3.4084310000000002</v>
      </c>
      <c r="H2257" s="14">
        <v>0.33923779999999998</v>
      </c>
      <c r="R2257" s="11">
        <f t="shared" si="70"/>
        <v>1.2323076510055219E-4</v>
      </c>
      <c r="Z2257" s="11">
        <f t="shared" si="71"/>
        <v>1.5445659197986506E-4</v>
      </c>
    </row>
    <row r="2258" spans="1:26" x14ac:dyDescent="0.2">
      <c r="A2258" s="45">
        <v>402</v>
      </c>
      <c r="B2258" s="45">
        <v>1995</v>
      </c>
      <c r="C2258" s="17">
        <v>0</v>
      </c>
      <c r="D2258" s="14">
        <v>-1.6565900000000001E-2</v>
      </c>
      <c r="E2258" s="14">
        <v>0.65799529999999995</v>
      </c>
      <c r="F2258" s="14">
        <v>8.7404999999999997E-2</v>
      </c>
      <c r="G2258" s="14">
        <v>4.2157960000000001</v>
      </c>
      <c r="H2258" s="14">
        <v>0.21024680000000001</v>
      </c>
      <c r="R2258" s="11">
        <f t="shared" si="70"/>
        <v>1.8135138140467396E-5</v>
      </c>
      <c r="Z2258" s="11">
        <f t="shared" si="71"/>
        <v>2.2745115719986788E-5</v>
      </c>
    </row>
    <row r="2259" spans="1:26" x14ac:dyDescent="0.2">
      <c r="A2259" s="45">
        <v>402</v>
      </c>
      <c r="B2259" s="45">
        <v>1996</v>
      </c>
      <c r="C2259" s="17">
        <v>0</v>
      </c>
      <c r="D2259" s="14">
        <v>-2.2871800000000001E-2</v>
      </c>
      <c r="E2259" s="14">
        <v>0.66922769999999998</v>
      </c>
      <c r="F2259" s="14">
        <v>6.9549399999999997E-2</v>
      </c>
      <c r="G2259" s="14">
        <v>3.6708940000000001</v>
      </c>
      <c r="H2259" s="14">
        <v>0.1906738</v>
      </c>
      <c r="R2259" s="11">
        <f t="shared" si="70"/>
        <v>4.9041604993524286E-5</v>
      </c>
      <c r="Z2259" s="11">
        <f t="shared" si="71"/>
        <v>6.1369231452710135E-5</v>
      </c>
    </row>
    <row r="2260" spans="1:26" x14ac:dyDescent="0.2">
      <c r="A2260" s="45">
        <v>402</v>
      </c>
      <c r="B2260" s="45">
        <v>1997</v>
      </c>
      <c r="C2260" s="17">
        <v>0</v>
      </c>
      <c r="D2260" s="14">
        <v>-8.6348599999999998E-2</v>
      </c>
      <c r="E2260" s="14">
        <v>0.67677710000000002</v>
      </c>
      <c r="F2260" s="14">
        <v>6.8683599999999997E-2</v>
      </c>
      <c r="G2260" s="14">
        <v>3.5431270000000001</v>
      </c>
      <c r="H2260" s="14">
        <v>0.19445270000000001</v>
      </c>
      <c r="R2260" s="11">
        <f t="shared" si="70"/>
        <v>5.9872394642142213E-5</v>
      </c>
      <c r="Z2260" s="11">
        <f t="shared" si="71"/>
        <v>7.5099573768976552E-5</v>
      </c>
    </row>
    <row r="2261" spans="1:26" x14ac:dyDescent="0.2">
      <c r="A2261" s="45">
        <v>402</v>
      </c>
      <c r="B2261" s="45">
        <v>1998</v>
      </c>
      <c r="C2261" s="17">
        <v>0</v>
      </c>
      <c r="D2261" s="14">
        <v>-2.9395899999999999E-2</v>
      </c>
      <c r="E2261" s="14">
        <v>0.69797240000000005</v>
      </c>
      <c r="F2261" s="14">
        <v>7.9145900000000005E-2</v>
      </c>
      <c r="G2261" s="14">
        <v>5.1157659999999998</v>
      </c>
      <c r="H2261" s="14">
        <v>0.18853200000000001</v>
      </c>
      <c r="R2261" s="11">
        <f t="shared" si="70"/>
        <v>4.3562678447598749E-6</v>
      </c>
      <c r="Z2261" s="11">
        <f t="shared" si="71"/>
        <v>5.3275961785849406E-6</v>
      </c>
    </row>
    <row r="2262" spans="1:26" x14ac:dyDescent="0.2">
      <c r="A2262" s="45">
        <v>402</v>
      </c>
      <c r="B2262" s="45">
        <v>1999</v>
      </c>
      <c r="C2262" s="17">
        <v>0</v>
      </c>
      <c r="D2262" s="14">
        <v>-4.1455499999999999E-2</v>
      </c>
      <c r="E2262" s="14">
        <v>0.72642479999999998</v>
      </c>
      <c r="F2262" s="14">
        <v>7.3147799999999999E-2</v>
      </c>
      <c r="G2262" s="14">
        <v>5.1669309999999999</v>
      </c>
      <c r="H2262" s="14">
        <v>0.202371</v>
      </c>
      <c r="R2262" s="11">
        <f t="shared" si="70"/>
        <v>4.0417935448189338E-6</v>
      </c>
      <c r="Z2262" s="11">
        <f t="shared" si="71"/>
        <v>4.9180148770436051E-6</v>
      </c>
    </row>
    <row r="2263" spans="1:26" x14ac:dyDescent="0.2">
      <c r="A2263" s="45">
        <v>402</v>
      </c>
      <c r="B2263" s="45">
        <v>2000</v>
      </c>
      <c r="C2263" s="17">
        <v>0</v>
      </c>
      <c r="D2263" s="14">
        <v>5.8885999999999999E-3</v>
      </c>
      <c r="E2263" s="14">
        <v>0.77892189999999994</v>
      </c>
      <c r="F2263" s="14">
        <v>5.2122399999999999E-2</v>
      </c>
      <c r="G2263" s="14">
        <v>3.8209070000000001</v>
      </c>
      <c r="H2263" s="14">
        <v>0.2005574</v>
      </c>
      <c r="R2263" s="11">
        <f t="shared" ref="R2263:R2326" si="72">1/(1+EXP(-(K$2+$M$2*E2263+$N$2*F2263+$O$2*G2263)))</f>
        <v>3.7845888396892436E-5</v>
      </c>
      <c r="Z2263" s="11">
        <f t="shared" si="71"/>
        <v>4.670900257741358E-5</v>
      </c>
    </row>
    <row r="2264" spans="1:26" x14ac:dyDescent="0.2">
      <c r="A2264" s="45">
        <v>402</v>
      </c>
      <c r="B2264" s="45">
        <v>2001</v>
      </c>
      <c r="C2264" s="17">
        <v>0</v>
      </c>
      <c r="D2264" s="14">
        <v>3.2292500000000002E-2</v>
      </c>
      <c r="E2264" s="14">
        <v>0.77831779999999995</v>
      </c>
      <c r="F2264" s="14">
        <v>5.3209100000000002E-2</v>
      </c>
      <c r="G2264" s="14">
        <v>2.7401710000000001</v>
      </c>
      <c r="H2264" s="14">
        <v>0.21075630000000001</v>
      </c>
      <c r="R2264" s="11">
        <f t="shared" si="72"/>
        <v>2.1014346274021798E-4</v>
      </c>
      <c r="Z2264" s="11">
        <f t="shared" si="71"/>
        <v>2.6582215384015592E-4</v>
      </c>
    </row>
    <row r="2265" spans="1:26" x14ac:dyDescent="0.2">
      <c r="A2265" s="45">
        <v>402</v>
      </c>
      <c r="B2265" s="45">
        <v>2002</v>
      </c>
      <c r="C2265" s="17">
        <v>0</v>
      </c>
      <c r="D2265" s="14">
        <v>-3.8211999999999999E-3</v>
      </c>
      <c r="E2265" s="14">
        <v>0.7507549</v>
      </c>
      <c r="F2265" s="14">
        <v>7.2363700000000003E-2</v>
      </c>
      <c r="G2265" s="14">
        <v>1.533069</v>
      </c>
      <c r="H2265" s="14">
        <v>0.20288610000000001</v>
      </c>
      <c r="R2265" s="11">
        <f t="shared" si="72"/>
        <v>1.283319646106303E-3</v>
      </c>
      <c r="Z2265" s="11">
        <f t="shared" si="71"/>
        <v>1.69125794609487E-3</v>
      </c>
    </row>
    <row r="2266" spans="1:26" x14ac:dyDescent="0.2">
      <c r="A2266" s="45">
        <v>402</v>
      </c>
      <c r="B2266" s="45">
        <v>2003</v>
      </c>
      <c r="C2266" s="17">
        <v>0</v>
      </c>
      <c r="D2266" s="14">
        <v>2.8444E-3</v>
      </c>
      <c r="E2266" s="14">
        <v>0.81758520000000001</v>
      </c>
      <c r="F2266" s="14">
        <v>6.84332E-2</v>
      </c>
      <c r="G2266" s="14">
        <v>2.3639329999999998</v>
      </c>
      <c r="H2266" s="14">
        <v>0.20600640000000001</v>
      </c>
      <c r="R2266" s="11">
        <f t="shared" si="72"/>
        <v>3.2001797171012596E-4</v>
      </c>
      <c r="Z2266" s="11">
        <f t="shared" si="71"/>
        <v>4.1384288470334366E-4</v>
      </c>
    </row>
    <row r="2267" spans="1:26" x14ac:dyDescent="0.2">
      <c r="A2267" s="45">
        <v>402</v>
      </c>
      <c r="B2267" s="45">
        <v>2004</v>
      </c>
      <c r="C2267" s="17">
        <v>0</v>
      </c>
      <c r="D2267" s="14">
        <v>1.7836500000000002E-2</v>
      </c>
      <c r="E2267" s="14">
        <v>0.80493769999999998</v>
      </c>
      <c r="F2267" s="14">
        <v>6.9767599999999999E-2</v>
      </c>
      <c r="G2267" s="14">
        <v>2.9936799999999999</v>
      </c>
      <c r="H2267" s="14">
        <v>0.2141797</v>
      </c>
      <c r="R2267" s="11">
        <f t="shared" si="72"/>
        <v>1.1824202517411421E-4</v>
      </c>
      <c r="Z2267" s="11">
        <f t="shared" si="71"/>
        <v>1.5091193407853597E-4</v>
      </c>
    </row>
    <row r="2268" spans="1:26" x14ac:dyDescent="0.2">
      <c r="A2268" s="45">
        <v>403</v>
      </c>
      <c r="B2268" s="45">
        <v>1995</v>
      </c>
      <c r="C2268" s="17">
        <v>0</v>
      </c>
      <c r="D2268" s="14">
        <v>0.1028693</v>
      </c>
      <c r="E2268" s="14">
        <v>0.33337749999999999</v>
      </c>
      <c r="F2268" s="14">
        <v>6.4655099999999993E-2</v>
      </c>
      <c r="G2268" s="14">
        <v>2.132174</v>
      </c>
      <c r="H2268" s="14">
        <v>0.25852799999999998</v>
      </c>
      <c r="R2268" s="11">
        <f t="shared" si="72"/>
        <v>9.6423165326431934E-4</v>
      </c>
      <c r="Z2268" s="11">
        <f t="shared" si="71"/>
        <v>1.2286605202787E-3</v>
      </c>
    </row>
    <row r="2269" spans="1:26" x14ac:dyDescent="0.2">
      <c r="A2269" s="45">
        <v>403</v>
      </c>
      <c r="B2269" s="45">
        <v>1996</v>
      </c>
      <c r="C2269" s="17">
        <v>0</v>
      </c>
      <c r="D2269" s="14">
        <v>6.9612300000000002E-2</v>
      </c>
      <c r="E2269" s="14">
        <v>0.3913373</v>
      </c>
      <c r="F2269" s="14">
        <v>5.6060400000000003E-2</v>
      </c>
      <c r="G2269" s="14">
        <v>2.0317289999999999</v>
      </c>
      <c r="H2269" s="14">
        <v>0.25202219999999997</v>
      </c>
      <c r="R2269" s="11">
        <f t="shared" si="72"/>
        <v>1.1140139832010875E-3</v>
      </c>
      <c r="Z2269" s="11">
        <f t="shared" si="71"/>
        <v>1.4154314613202086E-3</v>
      </c>
    </row>
    <row r="2270" spans="1:26" x14ac:dyDescent="0.2">
      <c r="A2270" s="45">
        <v>403</v>
      </c>
      <c r="B2270" s="45">
        <v>1997</v>
      </c>
      <c r="C2270" s="17">
        <v>0</v>
      </c>
      <c r="D2270" s="14">
        <v>9.4063900000000006E-2</v>
      </c>
      <c r="E2270" s="14">
        <v>0.41620390000000002</v>
      </c>
      <c r="F2270" s="14">
        <v>5.3179799999999999E-2</v>
      </c>
      <c r="G2270" s="14">
        <v>3.2342080000000002</v>
      </c>
      <c r="H2270" s="14">
        <v>0.26014470000000001</v>
      </c>
      <c r="R2270" s="11">
        <f t="shared" si="72"/>
        <v>1.6195193801836629E-4</v>
      </c>
      <c r="Z2270" s="11">
        <f t="shared" si="71"/>
        <v>2.0014435124763317E-4</v>
      </c>
    </row>
    <row r="2271" spans="1:26" x14ac:dyDescent="0.2">
      <c r="A2271" s="45">
        <v>403</v>
      </c>
      <c r="B2271" s="45">
        <v>1998</v>
      </c>
      <c r="C2271" s="17">
        <v>0</v>
      </c>
      <c r="D2271" s="14">
        <v>7.8993599999999997E-2</v>
      </c>
      <c r="E2271" s="14">
        <v>0.46129239999999999</v>
      </c>
      <c r="F2271" s="14">
        <v>6.7658599999999999E-2</v>
      </c>
      <c r="G2271" s="14">
        <v>4.5183600000000004</v>
      </c>
      <c r="H2271" s="14">
        <v>0.27724949999999998</v>
      </c>
      <c r="R2271" s="11">
        <f t="shared" si="72"/>
        <v>1.745542586712955E-5</v>
      </c>
      <c r="Z2271" s="11">
        <f t="shared" si="71"/>
        <v>2.1254299185985977E-5</v>
      </c>
    </row>
    <row r="2272" spans="1:26" x14ac:dyDescent="0.2">
      <c r="A2272" s="45">
        <v>403</v>
      </c>
      <c r="B2272" s="45">
        <v>1999</v>
      </c>
      <c r="C2272" s="17">
        <v>0</v>
      </c>
      <c r="D2272" s="14">
        <v>3.36884E-2</v>
      </c>
      <c r="E2272" s="14">
        <v>0.4846625</v>
      </c>
      <c r="F2272" s="14">
        <v>7.6140399999999997E-2</v>
      </c>
      <c r="G2272" s="14">
        <v>5.0630559999999996</v>
      </c>
      <c r="H2272" s="14">
        <v>0.2738138</v>
      </c>
      <c r="R2272" s="11">
        <f t="shared" si="72"/>
        <v>6.6181108132224626E-6</v>
      </c>
      <c r="Z2272" s="11">
        <f t="shared" si="71"/>
        <v>8.02434169943681E-6</v>
      </c>
    </row>
    <row r="2273" spans="1:26" x14ac:dyDescent="0.2">
      <c r="A2273" s="45">
        <v>403</v>
      </c>
      <c r="B2273" s="45">
        <v>2000</v>
      </c>
      <c r="C2273" s="17">
        <v>0</v>
      </c>
      <c r="D2273" s="14">
        <v>3.0076499999999999E-2</v>
      </c>
      <c r="E2273" s="14">
        <v>0.44341760000000002</v>
      </c>
      <c r="F2273" s="14">
        <v>7.1954799999999999E-2</v>
      </c>
      <c r="G2273" s="14">
        <v>3.6290740000000001</v>
      </c>
      <c r="H2273" s="14">
        <v>0.25314969999999998</v>
      </c>
      <c r="R2273" s="11">
        <f t="shared" si="72"/>
        <v>7.1406033897398289E-5</v>
      </c>
      <c r="Z2273" s="11">
        <f t="shared" si="71"/>
        <v>8.892287868704332E-5</v>
      </c>
    </row>
    <row r="2274" spans="1:26" x14ac:dyDescent="0.2">
      <c r="A2274" s="45">
        <v>403</v>
      </c>
      <c r="B2274" s="45">
        <v>2001</v>
      </c>
      <c r="C2274" s="17">
        <v>0</v>
      </c>
      <c r="D2274" s="14">
        <v>1.34889E-2</v>
      </c>
      <c r="E2274" s="14">
        <v>0.45316020000000001</v>
      </c>
      <c r="F2274" s="14">
        <v>7.2820099999999999E-2</v>
      </c>
      <c r="G2274" s="14">
        <v>3.5856889999999999</v>
      </c>
      <c r="H2274" s="14">
        <v>0.24914339999999999</v>
      </c>
      <c r="R2274" s="11">
        <f t="shared" si="72"/>
        <v>7.4920639722800132E-5</v>
      </c>
      <c r="Z2274" s="11">
        <f t="shared" si="71"/>
        <v>9.3486222814351095E-5</v>
      </c>
    </row>
    <row r="2275" spans="1:26" x14ac:dyDescent="0.2">
      <c r="A2275" s="45">
        <v>403</v>
      </c>
      <c r="B2275" s="45">
        <v>2003</v>
      </c>
      <c r="C2275" s="17">
        <v>0</v>
      </c>
      <c r="D2275" s="14">
        <v>7.0891300000000004E-2</v>
      </c>
      <c r="E2275" s="14">
        <v>0.59980230000000001</v>
      </c>
      <c r="F2275" s="14">
        <v>7.3285100000000006E-2</v>
      </c>
      <c r="G2275" s="14">
        <v>4.7536389999999997</v>
      </c>
      <c r="H2275" s="14">
        <v>0.27084039999999998</v>
      </c>
      <c r="R2275" s="11">
        <f t="shared" si="72"/>
        <v>9.3775299919146453E-6</v>
      </c>
      <c r="Z2275" s="11">
        <f t="shared" si="71"/>
        <v>1.1466219155832521E-5</v>
      </c>
    </row>
    <row r="2276" spans="1:26" x14ac:dyDescent="0.2">
      <c r="A2276" s="45">
        <v>404</v>
      </c>
      <c r="B2276" s="45">
        <v>1999</v>
      </c>
      <c r="C2276" s="17">
        <v>0</v>
      </c>
      <c r="D2276" s="14">
        <v>0.30261569999999999</v>
      </c>
      <c r="E2276" s="14">
        <v>0.2135273</v>
      </c>
      <c r="F2276" s="14">
        <v>1.3252999999999999E-2</v>
      </c>
      <c r="G2276" s="14">
        <v>0.89355989999999996</v>
      </c>
      <c r="H2276" s="14">
        <v>0.93853169999999997</v>
      </c>
      <c r="R2276" s="11">
        <f t="shared" si="72"/>
        <v>1.2322456858201231E-2</v>
      </c>
      <c r="Z2276" s="11">
        <f t="shared" si="71"/>
        <v>1.5363374710948634E-2</v>
      </c>
    </row>
    <row r="2277" spans="1:26" x14ac:dyDescent="0.2">
      <c r="A2277" s="45">
        <v>404</v>
      </c>
      <c r="B2277" s="45">
        <v>2000</v>
      </c>
      <c r="C2277" s="17">
        <v>0</v>
      </c>
      <c r="D2277" s="14">
        <v>0.26279469999999999</v>
      </c>
      <c r="E2277" s="14">
        <v>0.1743719</v>
      </c>
      <c r="F2277" s="14">
        <v>2.3696700000000001E-2</v>
      </c>
      <c r="G2277" s="14">
        <v>0.98973860000000002</v>
      </c>
      <c r="H2277" s="14">
        <v>1.0181249999999999</v>
      </c>
      <c r="R2277" s="11">
        <f t="shared" si="72"/>
        <v>1.0314773522506513E-2</v>
      </c>
      <c r="Z2277" s="11">
        <f t="shared" si="71"/>
        <v>1.2931637310675204E-2</v>
      </c>
    </row>
    <row r="2278" spans="1:26" x14ac:dyDescent="0.2">
      <c r="A2278" s="45">
        <v>404</v>
      </c>
      <c r="B2278" s="45">
        <v>2001</v>
      </c>
      <c r="C2278" s="17">
        <v>0</v>
      </c>
      <c r="D2278" s="14">
        <v>0.26394790000000001</v>
      </c>
      <c r="E2278" s="14">
        <v>0.19691069999999999</v>
      </c>
      <c r="F2278" s="14">
        <v>4.80919E-2</v>
      </c>
      <c r="G2278" s="14">
        <v>1.179748</v>
      </c>
      <c r="H2278" s="14">
        <v>1.012475</v>
      </c>
      <c r="R2278" s="11">
        <f t="shared" si="72"/>
        <v>6.0929085819399079E-3</v>
      </c>
      <c r="Z2278" s="11">
        <f t="shared" si="71"/>
        <v>7.7738470422686126E-3</v>
      </c>
    </row>
    <row r="2279" spans="1:26" x14ac:dyDescent="0.2">
      <c r="A2279" s="45">
        <v>404</v>
      </c>
      <c r="B2279" s="45">
        <v>2002</v>
      </c>
      <c r="C2279" s="17">
        <v>0</v>
      </c>
      <c r="D2279" s="14">
        <v>0.25984970000000002</v>
      </c>
      <c r="E2279" s="14">
        <v>0.21498249999999999</v>
      </c>
      <c r="F2279" s="14">
        <v>4.6349399999999999E-2</v>
      </c>
      <c r="G2279" s="14">
        <v>0.77115469999999997</v>
      </c>
      <c r="H2279" s="14">
        <v>1.0704800000000001</v>
      </c>
      <c r="R2279" s="11">
        <f t="shared" si="72"/>
        <v>1.1478613629317781E-2</v>
      </c>
      <c r="Z2279" s="11">
        <f t="shared" si="71"/>
        <v>1.4741992024389972E-2</v>
      </c>
    </row>
    <row r="2280" spans="1:26" x14ac:dyDescent="0.2">
      <c r="A2280" s="45">
        <v>404</v>
      </c>
      <c r="B2280" s="45">
        <v>2003</v>
      </c>
      <c r="C2280" s="17">
        <v>0</v>
      </c>
      <c r="D2280" s="14">
        <v>0.24718609999999999</v>
      </c>
      <c r="E2280" s="14">
        <v>0.2430871</v>
      </c>
      <c r="F2280" s="14">
        <v>4.9695200000000002E-2</v>
      </c>
      <c r="G2280" s="14">
        <v>0.83023910000000001</v>
      </c>
      <c r="H2280" s="14">
        <v>1.13646</v>
      </c>
      <c r="R2280" s="11">
        <f t="shared" si="72"/>
        <v>9.7807604346335352E-3</v>
      </c>
      <c r="Z2280" s="11">
        <f t="shared" si="71"/>
        <v>1.2597451822895242E-2</v>
      </c>
    </row>
    <row r="2281" spans="1:26" x14ac:dyDescent="0.2">
      <c r="A2281" s="45">
        <v>404</v>
      </c>
      <c r="B2281" s="45">
        <v>2004</v>
      </c>
      <c r="C2281" s="17">
        <v>0</v>
      </c>
      <c r="D2281" s="14">
        <v>0.21042179999999999</v>
      </c>
      <c r="E2281" s="14">
        <v>0.19191739999999999</v>
      </c>
      <c r="F2281" s="14">
        <v>4.4833100000000001E-2</v>
      </c>
      <c r="G2281" s="14">
        <v>0.86124800000000001</v>
      </c>
      <c r="H2281" s="14">
        <v>1.1209750000000001</v>
      </c>
      <c r="R2281" s="11">
        <f t="shared" si="72"/>
        <v>1.0419204615522246E-2</v>
      </c>
      <c r="Z2281" s="11">
        <f t="shared" si="71"/>
        <v>1.3332518338663406E-2</v>
      </c>
    </row>
    <row r="2282" spans="1:26" x14ac:dyDescent="0.2">
      <c r="A2282" s="45">
        <v>405</v>
      </c>
      <c r="B2282" s="45">
        <v>1995</v>
      </c>
      <c r="C2282" s="17">
        <v>0</v>
      </c>
      <c r="D2282" s="14">
        <v>0.15397469999999999</v>
      </c>
      <c r="E2282" s="14">
        <v>0.50319000000000003</v>
      </c>
      <c r="F2282" s="14">
        <v>6.30796E-2</v>
      </c>
      <c r="G2282" s="14">
        <v>1.2922370000000001</v>
      </c>
      <c r="H2282" s="14">
        <v>0.2808214</v>
      </c>
      <c r="R2282" s="11">
        <f t="shared" si="72"/>
        <v>2.9032878989725952E-3</v>
      </c>
      <c r="Z2282" s="11">
        <f t="shared" si="71"/>
        <v>3.7833107969812863E-3</v>
      </c>
    </row>
    <row r="2283" spans="1:26" x14ac:dyDescent="0.2">
      <c r="A2283" s="45">
        <v>405</v>
      </c>
      <c r="B2283" s="45">
        <v>1996</v>
      </c>
      <c r="C2283" s="17">
        <v>0</v>
      </c>
      <c r="D2283" s="14">
        <v>0.12675549999999999</v>
      </c>
      <c r="E2283" s="14">
        <v>0.45312350000000001</v>
      </c>
      <c r="F2283" s="14">
        <v>3.36505E-2</v>
      </c>
      <c r="G2283" s="14">
        <v>1.1228340000000001</v>
      </c>
      <c r="H2283" s="14">
        <v>0.25752000000000003</v>
      </c>
      <c r="R2283" s="11">
        <f t="shared" si="72"/>
        <v>5.1641284214828916E-3</v>
      </c>
      <c r="Z2283" s="11">
        <f t="shared" si="71"/>
        <v>6.5787409667147261E-3</v>
      </c>
    </row>
    <row r="2284" spans="1:26" x14ac:dyDescent="0.2">
      <c r="A2284" s="45">
        <v>405</v>
      </c>
      <c r="B2284" s="45">
        <v>1997</v>
      </c>
      <c r="C2284" s="17">
        <v>0</v>
      </c>
      <c r="D2284" s="14">
        <v>0.1293792</v>
      </c>
      <c r="E2284" s="14">
        <v>0.4217265</v>
      </c>
      <c r="F2284" s="14">
        <v>4.8887300000000002E-2</v>
      </c>
      <c r="G2284" s="14">
        <v>1.0218210000000001</v>
      </c>
      <c r="H2284" s="14">
        <v>0.1977815</v>
      </c>
      <c r="R2284" s="11">
        <f t="shared" si="72"/>
        <v>5.6182783764151794E-3</v>
      </c>
      <c r="Z2284" s="11">
        <f t="shared" si="71"/>
        <v>7.2539552190788613E-3</v>
      </c>
    </row>
    <row r="2285" spans="1:26" x14ac:dyDescent="0.2">
      <c r="A2285" s="45">
        <v>405</v>
      </c>
      <c r="B2285" s="45">
        <v>1998</v>
      </c>
      <c r="C2285" s="17">
        <v>0</v>
      </c>
      <c r="D2285" s="14">
        <v>0.107845</v>
      </c>
      <c r="E2285" s="14">
        <v>0.42735970000000001</v>
      </c>
      <c r="F2285" s="14">
        <v>3.3694200000000001E-2</v>
      </c>
      <c r="G2285" s="14">
        <v>1.076247</v>
      </c>
      <c r="H2285" s="14">
        <v>0.19815089999999999</v>
      </c>
      <c r="R2285" s="11">
        <f t="shared" si="72"/>
        <v>5.7688950454356054E-3</v>
      </c>
      <c r="Z2285" s="11">
        <f t="shared" si="71"/>
        <v>7.3492511476593372E-3</v>
      </c>
    </row>
    <row r="2286" spans="1:26" x14ac:dyDescent="0.2">
      <c r="A2286" s="45">
        <v>405</v>
      </c>
      <c r="B2286" s="45">
        <v>1999</v>
      </c>
      <c r="C2286" s="17">
        <v>0</v>
      </c>
      <c r="D2286" s="14">
        <v>8.0615199999999998E-2</v>
      </c>
      <c r="E2286" s="14">
        <v>0.39931359999999999</v>
      </c>
      <c r="F2286" s="14">
        <v>5.39257E-2</v>
      </c>
      <c r="G2286" s="14">
        <v>1.402371</v>
      </c>
      <c r="H2286" s="14">
        <v>0.20392550000000001</v>
      </c>
      <c r="R2286" s="11">
        <f t="shared" si="72"/>
        <v>3.0478942179240124E-3</v>
      </c>
      <c r="Z2286" s="11">
        <f t="shared" si="71"/>
        <v>3.9185692588906244E-3</v>
      </c>
    </row>
    <row r="2287" spans="1:26" x14ac:dyDescent="0.2">
      <c r="A2287" s="45">
        <v>405</v>
      </c>
      <c r="B2287" s="45">
        <v>2000</v>
      </c>
      <c r="C2287" s="17">
        <v>0</v>
      </c>
      <c r="D2287" s="14">
        <v>7.6561799999999999E-2</v>
      </c>
      <c r="E2287" s="14">
        <v>0.40393630000000003</v>
      </c>
      <c r="F2287" s="14">
        <v>4.0139099999999997E-2</v>
      </c>
      <c r="G2287" s="14">
        <v>1.015479</v>
      </c>
      <c r="H2287" s="14">
        <v>0.2032419</v>
      </c>
      <c r="R2287" s="11">
        <f t="shared" si="72"/>
        <v>6.2423005864824096E-3</v>
      </c>
      <c r="Z2287" s="11">
        <f t="shared" si="71"/>
        <v>7.9973323722811514E-3</v>
      </c>
    </row>
    <row r="2288" spans="1:26" x14ac:dyDescent="0.2">
      <c r="A2288" s="45">
        <v>406</v>
      </c>
      <c r="B2288" s="45">
        <v>2003</v>
      </c>
      <c r="C2288" s="17">
        <v>0</v>
      </c>
      <c r="D2288" s="14">
        <v>0.13863829999999999</v>
      </c>
      <c r="E2288" s="14">
        <v>4.1501200000000002E-2</v>
      </c>
      <c r="F2288" s="14">
        <v>7.4447299999999994E-2</v>
      </c>
      <c r="G2288" s="14">
        <v>1.8074190000000001</v>
      </c>
      <c r="H2288" s="14">
        <v>0.92004839999999999</v>
      </c>
      <c r="R2288" s="11">
        <f t="shared" si="72"/>
        <v>2.283816675398054E-3</v>
      </c>
      <c r="Z2288" s="11">
        <f t="shared" si="71"/>
        <v>2.9241177154962937E-3</v>
      </c>
    </row>
    <row r="2289" spans="1:26" x14ac:dyDescent="0.2">
      <c r="A2289" s="45">
        <v>406</v>
      </c>
      <c r="B2289" s="45">
        <v>2004</v>
      </c>
      <c r="C2289" s="17">
        <v>0</v>
      </c>
      <c r="D2289" s="14">
        <v>0.19807669999999999</v>
      </c>
      <c r="E2289" s="14">
        <v>9.9766199999999999E-2</v>
      </c>
      <c r="F2289" s="14">
        <v>4.6242199999999997E-2</v>
      </c>
      <c r="G2289" s="14">
        <v>2.3833630000000001</v>
      </c>
      <c r="H2289" s="14">
        <v>0.89460119999999999</v>
      </c>
      <c r="R2289" s="11">
        <f t="shared" si="72"/>
        <v>1.0514363683576838E-3</v>
      </c>
      <c r="Z2289" s="11">
        <f t="shared" si="71"/>
        <v>1.3019816982893174E-3</v>
      </c>
    </row>
    <row r="2290" spans="1:26" x14ac:dyDescent="0.2">
      <c r="A2290" s="45">
        <v>407</v>
      </c>
      <c r="B2290" s="45">
        <v>2001</v>
      </c>
      <c r="C2290" s="17">
        <v>0</v>
      </c>
      <c r="D2290" s="14">
        <v>4.8062899999999999E-2</v>
      </c>
      <c r="E2290" s="14">
        <v>0.42620340000000001</v>
      </c>
      <c r="F2290" s="14">
        <v>2.6773700000000001E-2</v>
      </c>
      <c r="G2290" s="14">
        <v>0.84300920000000001</v>
      </c>
      <c r="H2290" s="14">
        <v>0.1069852</v>
      </c>
      <c r="R2290" s="11">
        <f t="shared" si="72"/>
        <v>8.8297121877267751E-3</v>
      </c>
      <c r="Z2290" s="11">
        <f t="shared" si="71"/>
        <v>1.1232682350390199E-2</v>
      </c>
    </row>
    <row r="2291" spans="1:26" x14ac:dyDescent="0.2">
      <c r="A2291" s="45">
        <v>407</v>
      </c>
      <c r="B2291" s="45">
        <v>2002</v>
      </c>
      <c r="C2291" s="17">
        <v>0</v>
      </c>
      <c r="D2291" s="14">
        <v>5.3579300000000003E-2</v>
      </c>
      <c r="E2291" s="14">
        <v>0.42715779999999998</v>
      </c>
      <c r="F2291" s="14">
        <v>5.5781699999999997E-2</v>
      </c>
      <c r="G2291" s="14">
        <v>1.0809299999999999</v>
      </c>
      <c r="H2291" s="14">
        <v>0.12347909999999999</v>
      </c>
      <c r="R2291" s="11">
        <f t="shared" si="72"/>
        <v>4.8047325875025578E-3</v>
      </c>
      <c r="Z2291" s="11">
        <f t="shared" si="71"/>
        <v>6.2330689750037561E-3</v>
      </c>
    </row>
    <row r="2292" spans="1:26" x14ac:dyDescent="0.2">
      <c r="A2292" s="45">
        <v>407</v>
      </c>
      <c r="B2292" s="45">
        <v>2003</v>
      </c>
      <c r="C2292" s="17">
        <v>0</v>
      </c>
      <c r="D2292" s="14">
        <v>5.2604699999999997E-2</v>
      </c>
      <c r="E2292" s="14">
        <v>0.43740830000000003</v>
      </c>
      <c r="F2292" s="14">
        <v>5.44597E-2</v>
      </c>
      <c r="G2292" s="14">
        <v>1.207662</v>
      </c>
      <c r="H2292" s="14">
        <v>0.1173676</v>
      </c>
      <c r="R2292" s="11">
        <f t="shared" si="72"/>
        <v>3.9126243506889952E-3</v>
      </c>
      <c r="Z2292" s="11">
        <f t="shared" si="71"/>
        <v>5.0593451155038476E-3</v>
      </c>
    </row>
    <row r="2293" spans="1:26" x14ac:dyDescent="0.2">
      <c r="A2293" s="45">
        <v>407</v>
      </c>
      <c r="B2293" s="45">
        <v>2004</v>
      </c>
      <c r="C2293" s="17">
        <v>0</v>
      </c>
      <c r="D2293" s="14">
        <v>4.88911E-2</v>
      </c>
      <c r="E2293" s="14">
        <v>0.46246169999999998</v>
      </c>
      <c r="F2293" s="14">
        <v>5.4482700000000002E-2</v>
      </c>
      <c r="G2293" s="14">
        <v>1.297121</v>
      </c>
      <c r="H2293" s="14">
        <v>0.14487439999999999</v>
      </c>
      <c r="R2293" s="11">
        <f t="shared" si="72"/>
        <v>3.2729014470773044E-3</v>
      </c>
      <c r="Z2293" s="11">
        <f t="shared" si="71"/>
        <v>4.2283254909211239E-3</v>
      </c>
    </row>
    <row r="2294" spans="1:26" x14ac:dyDescent="0.2">
      <c r="A2294" s="45">
        <v>408</v>
      </c>
      <c r="B2294" s="45">
        <v>1996</v>
      </c>
      <c r="C2294" s="17">
        <v>0</v>
      </c>
      <c r="D2294" s="14">
        <v>6.5362500000000004E-2</v>
      </c>
      <c r="E2294" s="14">
        <v>-4.34405E-2</v>
      </c>
      <c r="F2294" s="14">
        <v>5.5489200000000002E-2</v>
      </c>
      <c r="G2294" s="14">
        <v>0.42190830000000001</v>
      </c>
      <c r="H2294" s="14">
        <v>0.13823730000000001</v>
      </c>
      <c r="R2294" s="11">
        <f t="shared" si="72"/>
        <v>2.6687106959098358E-2</v>
      </c>
      <c r="Z2294" s="11">
        <f t="shared" si="71"/>
        <v>3.4334098246111222E-2</v>
      </c>
    </row>
    <row r="2295" spans="1:26" x14ac:dyDescent="0.2">
      <c r="A2295" s="45">
        <v>408</v>
      </c>
      <c r="B2295" s="45">
        <v>1997</v>
      </c>
      <c r="C2295" s="17">
        <v>0</v>
      </c>
      <c r="D2295" s="14">
        <v>0.162521</v>
      </c>
      <c r="E2295" s="14">
        <v>2.18893E-2</v>
      </c>
      <c r="F2295" s="14">
        <v>3.8035199999999998E-2</v>
      </c>
      <c r="G2295" s="14">
        <v>0.81255869999999997</v>
      </c>
      <c r="H2295" s="14">
        <v>0.17224700000000001</v>
      </c>
      <c r="R2295" s="11">
        <f t="shared" si="72"/>
        <v>1.5150749941944668E-2</v>
      </c>
      <c r="Z2295" s="11">
        <f t="shared" si="71"/>
        <v>1.9166047231939147E-2</v>
      </c>
    </row>
    <row r="2296" spans="1:26" x14ac:dyDescent="0.2">
      <c r="A2296" s="45">
        <v>409</v>
      </c>
      <c r="B2296" s="45">
        <v>2001</v>
      </c>
      <c r="C2296" s="17">
        <v>0</v>
      </c>
      <c r="D2296" s="14">
        <v>-2.2072700000000001E-2</v>
      </c>
      <c r="E2296" s="14">
        <v>0.61235819999999996</v>
      </c>
      <c r="F2296" s="14">
        <v>8.2020899999999994E-2</v>
      </c>
      <c r="G2296" s="14">
        <v>12.147069999999999</v>
      </c>
      <c r="H2296" s="14">
        <v>0.18774469999999999</v>
      </c>
      <c r="R2296" s="11">
        <f t="shared" si="72"/>
        <v>6.5599809184810216E-11</v>
      </c>
      <c r="Z2296" s="11">
        <f t="shared" si="71"/>
        <v>6.8678880074666933E-11</v>
      </c>
    </row>
    <row r="2297" spans="1:26" x14ac:dyDescent="0.2">
      <c r="A2297" s="45">
        <v>409</v>
      </c>
      <c r="B2297" s="45">
        <v>2002</v>
      </c>
      <c r="C2297" s="17">
        <v>0</v>
      </c>
      <c r="D2297" s="14">
        <v>0.25700669999999998</v>
      </c>
      <c r="E2297" s="14">
        <v>0.66241360000000005</v>
      </c>
      <c r="F2297" s="14">
        <v>8.7400800000000001E-2</v>
      </c>
      <c r="G2297" s="14">
        <v>13.20561</v>
      </c>
      <c r="H2297" s="14">
        <v>0.2138176</v>
      </c>
      <c r="R2297" s="11">
        <f t="shared" si="72"/>
        <v>1.0814348829217453E-11</v>
      </c>
      <c r="Z2297" s="11">
        <f t="shared" si="71"/>
        <v>1.1129040519640988E-11</v>
      </c>
    </row>
    <row r="2298" spans="1:26" x14ac:dyDescent="0.2">
      <c r="A2298" s="45">
        <v>409</v>
      </c>
      <c r="B2298" s="45">
        <v>2003</v>
      </c>
      <c r="C2298" s="17">
        <v>0</v>
      </c>
      <c r="D2298" s="14">
        <v>0.1066597</v>
      </c>
      <c r="E2298" s="14">
        <v>0.66428620000000005</v>
      </c>
      <c r="F2298" s="14">
        <v>9.4856300000000005E-2</v>
      </c>
      <c r="G2298" s="14">
        <v>12.17525</v>
      </c>
      <c r="H2298" s="14">
        <v>0.21648300000000001</v>
      </c>
      <c r="R2298" s="11">
        <f t="shared" si="72"/>
        <v>5.2483025311496894E-11</v>
      </c>
      <c r="Z2298" s="11">
        <f t="shared" si="71"/>
        <v>5.5591995779174921E-11</v>
      </c>
    </row>
    <row r="2299" spans="1:26" x14ac:dyDescent="0.2">
      <c r="A2299" s="45">
        <v>409</v>
      </c>
      <c r="B2299" s="45">
        <v>2004</v>
      </c>
      <c r="C2299" s="17">
        <v>0</v>
      </c>
      <c r="D2299" s="14">
        <v>0.26643109999999998</v>
      </c>
      <c r="E2299" s="14">
        <v>0.65763369999999999</v>
      </c>
      <c r="F2299" s="14">
        <v>9.0188400000000002E-2</v>
      </c>
      <c r="G2299" s="14">
        <v>10.365489999999999</v>
      </c>
      <c r="H2299" s="14">
        <v>0.193439</v>
      </c>
      <c r="R2299" s="11">
        <f t="shared" si="72"/>
        <v>9.8390025712074807E-10</v>
      </c>
      <c r="Z2299" s="11">
        <f t="shared" si="71"/>
        <v>1.0801691964687316E-9</v>
      </c>
    </row>
    <row r="2300" spans="1:26" x14ac:dyDescent="0.2">
      <c r="A2300" s="45">
        <v>410</v>
      </c>
      <c r="B2300" s="45">
        <v>1995</v>
      </c>
      <c r="C2300" s="17">
        <v>0</v>
      </c>
      <c r="D2300" s="14">
        <v>0.29312870000000002</v>
      </c>
      <c r="E2300" s="14">
        <v>0.46908539999999999</v>
      </c>
      <c r="F2300" s="14">
        <v>0.12439600000000001</v>
      </c>
      <c r="G2300" s="14">
        <v>3.5358610000000001</v>
      </c>
      <c r="H2300" s="14">
        <v>0.36857269999999998</v>
      </c>
      <c r="R2300" s="11">
        <f t="shared" si="72"/>
        <v>5.2464839632055402E-5</v>
      </c>
      <c r="Z2300" s="11">
        <f t="shared" si="71"/>
        <v>6.8405302199907046E-5</v>
      </c>
    </row>
    <row r="2301" spans="1:26" x14ac:dyDescent="0.2">
      <c r="A2301" s="45">
        <v>411</v>
      </c>
      <c r="B2301" s="45">
        <v>1995</v>
      </c>
      <c r="C2301" s="17">
        <v>0</v>
      </c>
      <c r="D2301" s="14">
        <v>0.2161883</v>
      </c>
      <c r="E2301" s="14">
        <v>0.43141030000000002</v>
      </c>
      <c r="F2301" s="14">
        <v>2.9359900000000001E-2</v>
      </c>
      <c r="G2301" s="14">
        <v>1.380711</v>
      </c>
      <c r="H2301" s="14">
        <v>0.37611260000000002</v>
      </c>
      <c r="R2301" s="11">
        <f t="shared" si="72"/>
        <v>3.6626443756717871E-3</v>
      </c>
      <c r="Z2301" s="11">
        <f t="shared" si="71"/>
        <v>4.6219287304630338E-3</v>
      </c>
    </row>
    <row r="2302" spans="1:26" x14ac:dyDescent="0.2">
      <c r="A2302" s="45">
        <v>411</v>
      </c>
      <c r="B2302" s="45">
        <v>1996</v>
      </c>
      <c r="C2302" s="17">
        <v>0</v>
      </c>
      <c r="D2302" s="14">
        <v>0.31248379999999998</v>
      </c>
      <c r="E2302" s="14">
        <v>0.39182220000000001</v>
      </c>
      <c r="F2302" s="14">
        <v>9.3370599999999998E-2</v>
      </c>
      <c r="G2302" s="14">
        <v>2.8169580000000001</v>
      </c>
      <c r="H2302" s="14">
        <v>1.1266050000000001</v>
      </c>
      <c r="R2302" s="11">
        <f t="shared" si="72"/>
        <v>2.3653947066301661E-4</v>
      </c>
      <c r="Z2302" s="11">
        <f t="shared" si="71"/>
        <v>3.0463716543568199E-4</v>
      </c>
    </row>
    <row r="2303" spans="1:26" x14ac:dyDescent="0.2">
      <c r="A2303" s="45">
        <v>411</v>
      </c>
      <c r="B2303" s="45">
        <v>1997</v>
      </c>
      <c r="C2303" s="17">
        <v>0</v>
      </c>
      <c r="D2303" s="14">
        <v>0.1961183</v>
      </c>
      <c r="E2303" s="14">
        <v>0.25324439999999998</v>
      </c>
      <c r="F2303" s="14">
        <v>8.6202500000000001E-2</v>
      </c>
      <c r="G2303" s="14">
        <v>3.4102579999999998</v>
      </c>
      <c r="H2303" s="14">
        <v>0.66793449999999999</v>
      </c>
      <c r="R2303" s="11">
        <f t="shared" si="72"/>
        <v>1.1905507380349311E-4</v>
      </c>
      <c r="Z2303" s="11">
        <f t="shared" si="71"/>
        <v>1.4974578802288052E-4</v>
      </c>
    </row>
    <row r="2304" spans="1:26" x14ac:dyDescent="0.2">
      <c r="A2304" s="45">
        <v>411</v>
      </c>
      <c r="B2304" s="45">
        <v>1998</v>
      </c>
      <c r="C2304" s="17">
        <v>0</v>
      </c>
      <c r="D2304" s="14">
        <v>0.2070217</v>
      </c>
      <c r="E2304" s="14">
        <v>0.29995460000000002</v>
      </c>
      <c r="F2304" s="14">
        <v>6.52948E-2</v>
      </c>
      <c r="G2304" s="14">
        <v>6.0242740000000001</v>
      </c>
      <c r="H2304" s="14">
        <v>0.65415279999999998</v>
      </c>
      <c r="R2304" s="11">
        <f t="shared" si="72"/>
        <v>2.0408100099244333E-6</v>
      </c>
      <c r="Z2304" s="11">
        <f t="shared" si="71"/>
        <v>2.3860255343823335E-6</v>
      </c>
    </row>
    <row r="2305" spans="1:26" x14ac:dyDescent="0.2">
      <c r="A2305" s="45">
        <v>411</v>
      </c>
      <c r="B2305" s="45">
        <v>1999</v>
      </c>
      <c r="C2305" s="17">
        <v>0</v>
      </c>
      <c r="D2305" s="14">
        <v>0.26477200000000001</v>
      </c>
      <c r="E2305" s="14">
        <v>0.33481509999999998</v>
      </c>
      <c r="F2305" s="14">
        <v>7.8568499999999999E-2</v>
      </c>
      <c r="G2305" s="14">
        <v>4.3677960000000002</v>
      </c>
      <c r="H2305" s="14">
        <v>0.74830730000000001</v>
      </c>
      <c r="R2305" s="11">
        <f t="shared" si="72"/>
        <v>2.4439804599137517E-5</v>
      </c>
      <c r="Z2305" s="11">
        <f t="shared" si="71"/>
        <v>2.9995378209229637E-5</v>
      </c>
    </row>
    <row r="2306" spans="1:26" x14ac:dyDescent="0.2">
      <c r="A2306" s="45">
        <v>411</v>
      </c>
      <c r="B2306" s="45">
        <v>2000</v>
      </c>
      <c r="C2306" s="17">
        <v>0</v>
      </c>
      <c r="D2306" s="14">
        <v>0.281976</v>
      </c>
      <c r="E2306" s="14">
        <v>0.40076970000000001</v>
      </c>
      <c r="F2306" s="14">
        <v>7.6322399999999999E-2</v>
      </c>
      <c r="G2306" s="14">
        <v>6.4512539999999996</v>
      </c>
      <c r="H2306" s="14">
        <v>0.73204729999999996</v>
      </c>
      <c r="R2306" s="11">
        <f t="shared" si="72"/>
        <v>8.1719093836167115E-7</v>
      </c>
      <c r="Z2306" s="11">
        <f t="shared" ref="Z2306:Z2369" si="73">1/(1+EXP(-(U$2+$V$2*E2306+$W$2*F2306+$X$2*G2306)))</f>
        <v>9.5838293775456304E-7</v>
      </c>
    </row>
    <row r="2307" spans="1:26" x14ac:dyDescent="0.2">
      <c r="A2307" s="45">
        <v>411</v>
      </c>
      <c r="B2307" s="45">
        <v>2001</v>
      </c>
      <c r="C2307" s="17">
        <v>0</v>
      </c>
      <c r="D2307" s="14">
        <v>0.31687900000000002</v>
      </c>
      <c r="E2307" s="14">
        <v>0.42134949999999999</v>
      </c>
      <c r="F2307" s="14">
        <v>4.5473800000000002E-2</v>
      </c>
      <c r="G2307" s="14">
        <v>2.8789929999999999</v>
      </c>
      <c r="H2307" s="14">
        <v>0.72095609999999999</v>
      </c>
      <c r="R2307" s="11">
        <f t="shared" si="72"/>
        <v>3.0108359763875354E-4</v>
      </c>
      <c r="Z2307" s="11">
        <f t="shared" si="73"/>
        <v>3.7270075926821938E-4</v>
      </c>
    </row>
    <row r="2308" spans="1:26" x14ac:dyDescent="0.2">
      <c r="A2308" s="45">
        <v>411</v>
      </c>
      <c r="B2308" s="45">
        <v>2002</v>
      </c>
      <c r="C2308" s="17">
        <v>0</v>
      </c>
      <c r="D2308" s="14">
        <v>0.33084960000000002</v>
      </c>
      <c r="E2308" s="14">
        <v>0.4521096</v>
      </c>
      <c r="F2308" s="14">
        <v>6.0241099999999999E-2</v>
      </c>
      <c r="G2308" s="14">
        <v>2.2443569999999999</v>
      </c>
      <c r="H2308" s="14">
        <v>0.69117589999999995</v>
      </c>
      <c r="R2308" s="11">
        <f t="shared" si="72"/>
        <v>7.0309194428008369E-4</v>
      </c>
      <c r="Z2308" s="11">
        <f t="shared" si="73"/>
        <v>8.9416522130854055E-4</v>
      </c>
    </row>
    <row r="2309" spans="1:26" x14ac:dyDescent="0.2">
      <c r="A2309" s="45">
        <v>411</v>
      </c>
      <c r="B2309" s="45">
        <v>2003</v>
      </c>
      <c r="C2309" s="17">
        <v>0</v>
      </c>
      <c r="D2309" s="14">
        <v>0.3133861</v>
      </c>
      <c r="E2309" s="14">
        <v>0.50031939999999997</v>
      </c>
      <c r="F2309" s="14">
        <v>6.3680100000000003E-2</v>
      </c>
      <c r="G2309" s="14">
        <v>3.1842890000000001</v>
      </c>
      <c r="H2309" s="14">
        <v>0.72783920000000002</v>
      </c>
      <c r="R2309" s="11">
        <f t="shared" si="72"/>
        <v>1.4267528627467032E-4</v>
      </c>
      <c r="Z2309" s="11">
        <f t="shared" si="73"/>
        <v>1.7855602472921685E-4</v>
      </c>
    </row>
    <row r="2310" spans="1:26" x14ac:dyDescent="0.2">
      <c r="A2310" s="45">
        <v>411</v>
      </c>
      <c r="B2310" s="45">
        <v>2004</v>
      </c>
      <c r="C2310" s="17">
        <v>0</v>
      </c>
      <c r="D2310" s="14">
        <v>0.2286714</v>
      </c>
      <c r="E2310" s="14">
        <v>0.40349760000000001</v>
      </c>
      <c r="F2310" s="14">
        <v>4.6937199999999998E-2</v>
      </c>
      <c r="G2310" s="14">
        <v>2.4364129999999999</v>
      </c>
      <c r="H2310" s="14">
        <v>0.63163939999999996</v>
      </c>
      <c r="R2310" s="11">
        <f t="shared" si="72"/>
        <v>6.180781783110636E-4</v>
      </c>
      <c r="Z2310" s="11">
        <f t="shared" si="73"/>
        <v>7.7298010607846647E-4</v>
      </c>
    </row>
    <row r="2311" spans="1:26" x14ac:dyDescent="0.2">
      <c r="A2311" s="45">
        <v>412</v>
      </c>
      <c r="B2311" s="45">
        <v>1995</v>
      </c>
      <c r="C2311" s="17">
        <v>0</v>
      </c>
      <c r="D2311" s="14">
        <v>0.52018319999999996</v>
      </c>
      <c r="E2311" s="14">
        <v>0.73729489999999998</v>
      </c>
      <c r="F2311" s="14">
        <v>8.4962700000000002E-2</v>
      </c>
      <c r="G2311" s="14">
        <v>2.973986</v>
      </c>
      <c r="H2311" s="14">
        <v>0.521733</v>
      </c>
      <c r="R2311" s="11">
        <f t="shared" si="72"/>
        <v>1.192144981145958E-4</v>
      </c>
      <c r="Z2311" s="11">
        <f t="shared" si="73"/>
        <v>1.537696804127827E-4</v>
      </c>
    </row>
    <row r="2312" spans="1:26" x14ac:dyDescent="0.2">
      <c r="A2312" s="45">
        <v>412</v>
      </c>
      <c r="B2312" s="45">
        <v>1996</v>
      </c>
      <c r="C2312" s="17">
        <v>0</v>
      </c>
      <c r="D2312" s="14">
        <v>0.49609579999999998</v>
      </c>
      <c r="E2312" s="14">
        <v>0.74701019999999996</v>
      </c>
      <c r="F2312" s="14">
        <v>9.2119699999999999E-2</v>
      </c>
      <c r="G2312" s="14">
        <v>3.1543570000000001</v>
      </c>
      <c r="H2312" s="14">
        <v>0.48510999999999999</v>
      </c>
      <c r="R2312" s="11">
        <f t="shared" si="72"/>
        <v>8.3274853289499825E-5</v>
      </c>
      <c r="Z2312" s="11">
        <f t="shared" si="73"/>
        <v>1.0765330314966961E-4</v>
      </c>
    </row>
    <row r="2313" spans="1:26" x14ac:dyDescent="0.2">
      <c r="A2313" s="45">
        <v>412</v>
      </c>
      <c r="B2313" s="45">
        <v>1997</v>
      </c>
      <c r="C2313" s="17">
        <v>0</v>
      </c>
      <c r="D2313" s="14">
        <v>0.49613760000000001</v>
      </c>
      <c r="E2313" s="14">
        <v>0.78374060000000001</v>
      </c>
      <c r="F2313" s="14">
        <v>8.3183099999999996E-2</v>
      </c>
      <c r="G2313" s="14">
        <v>4.153295</v>
      </c>
      <c r="H2313" s="14">
        <v>0.49921270000000001</v>
      </c>
      <c r="R2313" s="11">
        <f t="shared" si="72"/>
        <v>1.7259944382261935E-5</v>
      </c>
      <c r="Z2313" s="11">
        <f t="shared" si="73"/>
        <v>2.1695685717032606E-5</v>
      </c>
    </row>
    <row r="2314" spans="1:26" x14ac:dyDescent="0.2">
      <c r="A2314" s="45">
        <v>413</v>
      </c>
      <c r="B2314" s="45">
        <v>1995</v>
      </c>
      <c r="C2314" s="17">
        <v>0</v>
      </c>
      <c r="D2314" s="14">
        <v>0.14715739999999999</v>
      </c>
      <c r="E2314" s="14">
        <v>0.55138779999999998</v>
      </c>
      <c r="F2314" s="14">
        <v>7.2174199999999994E-2</v>
      </c>
      <c r="G2314" s="14">
        <v>6.6948869999999996</v>
      </c>
      <c r="H2314" s="14">
        <v>0.21290870000000001</v>
      </c>
      <c r="R2314" s="11">
        <f t="shared" si="72"/>
        <v>4.6026428819675639E-7</v>
      </c>
      <c r="Z2314" s="11">
        <f t="shared" si="73"/>
        <v>5.3784628972897927E-7</v>
      </c>
    </row>
    <row r="2315" spans="1:26" x14ac:dyDescent="0.2">
      <c r="A2315" s="45">
        <v>413</v>
      </c>
      <c r="B2315" s="45">
        <v>1996</v>
      </c>
      <c r="C2315" s="17">
        <v>0</v>
      </c>
      <c r="D2315" s="14">
        <v>0.15126290000000001</v>
      </c>
      <c r="E2315" s="14">
        <v>0.65078659999999999</v>
      </c>
      <c r="F2315" s="14">
        <v>7.5151399999999993E-2</v>
      </c>
      <c r="G2315" s="14">
        <v>7.8257729999999999</v>
      </c>
      <c r="H2315" s="14">
        <v>0.26072139999999999</v>
      </c>
      <c r="R2315" s="11">
        <f t="shared" si="72"/>
        <v>6.4153918434716182E-8</v>
      </c>
      <c r="Z2315" s="11">
        <f t="shared" si="73"/>
        <v>7.3552616235144929E-8</v>
      </c>
    </row>
    <row r="2316" spans="1:26" x14ac:dyDescent="0.2">
      <c r="A2316" s="45">
        <v>413</v>
      </c>
      <c r="B2316" s="45">
        <v>1997</v>
      </c>
      <c r="C2316" s="17">
        <v>0</v>
      </c>
      <c r="D2316" s="14">
        <v>0.14123920000000001</v>
      </c>
      <c r="E2316" s="14">
        <v>0.70688519999999999</v>
      </c>
      <c r="F2316" s="14">
        <v>7.9731200000000002E-2</v>
      </c>
      <c r="G2316" s="14">
        <v>9.6248419999999992</v>
      </c>
      <c r="H2316" s="14">
        <v>0.28487760000000001</v>
      </c>
      <c r="R2316" s="11">
        <f t="shared" si="72"/>
        <v>3.2416960875026291E-9</v>
      </c>
      <c r="Z2316" s="11">
        <f t="shared" si="73"/>
        <v>3.5925834590909754E-9</v>
      </c>
    </row>
    <row r="2317" spans="1:26" x14ac:dyDescent="0.2">
      <c r="A2317" s="45">
        <v>413</v>
      </c>
      <c r="B2317" s="45">
        <v>1998</v>
      </c>
      <c r="C2317" s="17">
        <v>0</v>
      </c>
      <c r="D2317" s="14">
        <v>0.16530800000000001</v>
      </c>
      <c r="E2317" s="14">
        <v>0.66592689999999999</v>
      </c>
      <c r="F2317" s="14">
        <v>7.7961100000000005E-2</v>
      </c>
      <c r="G2317" s="14">
        <v>9.2584400000000002</v>
      </c>
      <c r="H2317" s="14">
        <v>0.27869840000000001</v>
      </c>
      <c r="R2317" s="11">
        <f t="shared" si="72"/>
        <v>6.2570331073709221E-9</v>
      </c>
      <c r="Z2317" s="11">
        <f t="shared" si="73"/>
        <v>6.9705548652065207E-9</v>
      </c>
    </row>
    <row r="2318" spans="1:26" x14ac:dyDescent="0.2">
      <c r="A2318" s="45">
        <v>413</v>
      </c>
      <c r="B2318" s="45">
        <v>1999</v>
      </c>
      <c r="C2318" s="17">
        <v>0</v>
      </c>
      <c r="D2318" s="14">
        <v>0.1130039</v>
      </c>
      <c r="E2318" s="14">
        <v>0.68495309999999998</v>
      </c>
      <c r="F2318" s="14">
        <v>8.9638200000000001E-2</v>
      </c>
      <c r="G2318" s="14">
        <v>7.0249009999999998</v>
      </c>
      <c r="H2318" s="14">
        <v>0.29488959999999997</v>
      </c>
      <c r="R2318" s="11">
        <f t="shared" si="72"/>
        <v>1.9480332326224167E-7</v>
      </c>
      <c r="Z2318" s="11">
        <f t="shared" si="73"/>
        <v>2.3030129669678866E-7</v>
      </c>
    </row>
    <row r="2319" spans="1:26" x14ac:dyDescent="0.2">
      <c r="A2319" s="45">
        <v>413</v>
      </c>
      <c r="B2319" s="45">
        <v>2000</v>
      </c>
      <c r="C2319" s="17">
        <v>0</v>
      </c>
      <c r="D2319" s="14">
        <v>0.1175964</v>
      </c>
      <c r="E2319" s="14">
        <v>0.72319049999999996</v>
      </c>
      <c r="F2319" s="14">
        <v>9.1867900000000002E-2</v>
      </c>
      <c r="G2319" s="14">
        <v>8.6263509999999997</v>
      </c>
      <c r="H2319" s="14">
        <v>0.33089619999999997</v>
      </c>
      <c r="R2319" s="11">
        <f t="shared" si="72"/>
        <v>1.4104525638286068E-8</v>
      </c>
      <c r="Z2319" s="11">
        <f t="shared" si="73"/>
        <v>1.6147512501040277E-8</v>
      </c>
    </row>
    <row r="2320" spans="1:26" x14ac:dyDescent="0.2">
      <c r="A2320" s="45">
        <v>413</v>
      </c>
      <c r="B2320" s="45">
        <v>2001</v>
      </c>
      <c r="C2320" s="17">
        <v>0</v>
      </c>
      <c r="D2320" s="14">
        <v>5.0489300000000001E-2</v>
      </c>
      <c r="E2320" s="14">
        <v>0.75269839999999999</v>
      </c>
      <c r="F2320" s="14">
        <v>9.0657100000000004E-2</v>
      </c>
      <c r="G2320" s="14">
        <v>4.8189399999999996</v>
      </c>
      <c r="H2320" s="14">
        <v>0.32331280000000001</v>
      </c>
      <c r="R2320" s="11">
        <f t="shared" si="72"/>
        <v>5.8883913612532084E-6</v>
      </c>
      <c r="Z2320" s="11">
        <f t="shared" si="73"/>
        <v>7.3310213148804033E-6</v>
      </c>
    </row>
    <row r="2321" spans="1:26" x14ac:dyDescent="0.2">
      <c r="A2321" s="45">
        <v>413</v>
      </c>
      <c r="B2321" s="45">
        <v>2002</v>
      </c>
      <c r="C2321" s="17">
        <v>0</v>
      </c>
      <c r="D2321" s="14">
        <v>8.9470900000000006E-2</v>
      </c>
      <c r="E2321" s="14">
        <v>0.77353300000000003</v>
      </c>
      <c r="F2321" s="14">
        <v>8.3608000000000002E-2</v>
      </c>
      <c r="G2321" s="14">
        <v>4.3690090000000001</v>
      </c>
      <c r="H2321" s="14">
        <v>0.1577556</v>
      </c>
      <c r="R2321" s="11">
        <f t="shared" si="72"/>
        <v>1.2379922695890128E-5</v>
      </c>
      <c r="Z2321" s="11">
        <f t="shared" si="73"/>
        <v>1.5487765947816334E-5</v>
      </c>
    </row>
    <row r="2322" spans="1:26" x14ac:dyDescent="0.2">
      <c r="A2322" s="45">
        <v>413</v>
      </c>
      <c r="B2322" s="45">
        <v>2003</v>
      </c>
      <c r="C2322" s="17">
        <v>0</v>
      </c>
      <c r="D2322" s="14">
        <v>6.7893300000000004E-2</v>
      </c>
      <c r="E2322" s="14">
        <v>0.87856259999999997</v>
      </c>
      <c r="F2322" s="14">
        <v>9.3546199999999996E-2</v>
      </c>
      <c r="G2322" s="14">
        <v>4.1444470000000004</v>
      </c>
      <c r="H2322" s="14">
        <v>0.17106850000000001</v>
      </c>
      <c r="R2322" s="11">
        <f t="shared" si="72"/>
        <v>1.4037377705203024E-5</v>
      </c>
      <c r="Z2322" s="11">
        <f t="shared" si="73"/>
        <v>1.7856878709318206E-5</v>
      </c>
    </row>
    <row r="2323" spans="1:26" x14ac:dyDescent="0.2">
      <c r="A2323" s="45">
        <v>413</v>
      </c>
      <c r="B2323" s="45">
        <v>2004</v>
      </c>
      <c r="C2323" s="17">
        <v>0</v>
      </c>
      <c r="D2323" s="14">
        <v>7.7546500000000004E-2</v>
      </c>
      <c r="E2323" s="14">
        <v>0.89712080000000005</v>
      </c>
      <c r="F2323" s="14">
        <v>7.7442300000000006E-2</v>
      </c>
      <c r="G2323" s="14">
        <v>2.8492440000000001</v>
      </c>
      <c r="H2323" s="14">
        <v>0.17775150000000001</v>
      </c>
      <c r="R2323" s="11">
        <f t="shared" si="72"/>
        <v>1.2242214347333699E-4</v>
      </c>
      <c r="Z2323" s="11">
        <f t="shared" si="73"/>
        <v>1.5823263015661532E-4</v>
      </c>
    </row>
    <row r="2324" spans="1:26" x14ac:dyDescent="0.2">
      <c r="A2324" s="45">
        <v>414</v>
      </c>
      <c r="B2324" s="45">
        <v>1995</v>
      </c>
      <c r="C2324" s="17">
        <v>1</v>
      </c>
      <c r="D2324" s="14">
        <v>4.0332300000000001E-2</v>
      </c>
      <c r="E2324" s="14">
        <v>-0.19844149999999999</v>
      </c>
      <c r="F2324" s="14">
        <v>3.4754100000000003E-2</v>
      </c>
      <c r="G2324" s="14">
        <v>0.2141342</v>
      </c>
      <c r="H2324" s="14">
        <v>6.6475900000000004E-2</v>
      </c>
      <c r="R2324" s="11">
        <f t="shared" si="72"/>
        <v>5.3444721919403845E-2</v>
      </c>
      <c r="Z2324" s="11">
        <f t="shared" si="73"/>
        <v>6.710279537706057E-2</v>
      </c>
    </row>
    <row r="2325" spans="1:26" x14ac:dyDescent="0.2">
      <c r="A2325" s="45">
        <v>415</v>
      </c>
      <c r="B2325" s="45">
        <v>1995</v>
      </c>
      <c r="C2325" s="17">
        <v>0</v>
      </c>
      <c r="D2325" s="14">
        <v>0.34051500000000001</v>
      </c>
      <c r="E2325" s="14">
        <v>0.1418838</v>
      </c>
      <c r="F2325" s="14">
        <v>6.1974099999999997E-2</v>
      </c>
      <c r="G2325" s="14">
        <v>0.71697100000000002</v>
      </c>
      <c r="H2325" s="14">
        <v>0.65601390000000004</v>
      </c>
      <c r="R2325" s="11">
        <f t="shared" si="72"/>
        <v>1.2272162412352999E-2</v>
      </c>
      <c r="Z2325" s="11">
        <f t="shared" si="73"/>
        <v>1.5936828785889572E-2</v>
      </c>
    </row>
    <row r="2326" spans="1:26" x14ac:dyDescent="0.2">
      <c r="A2326" s="45">
        <v>415</v>
      </c>
      <c r="B2326" s="45">
        <v>1996</v>
      </c>
      <c r="C2326" s="17">
        <v>0</v>
      </c>
      <c r="D2326" s="14">
        <v>0.33793069999999997</v>
      </c>
      <c r="E2326" s="14">
        <v>0.1036189</v>
      </c>
      <c r="F2326" s="14">
        <v>4.0571299999999998E-2</v>
      </c>
      <c r="G2326" s="14">
        <v>0.71656580000000003</v>
      </c>
      <c r="H2326" s="14">
        <v>0.65698699999999999</v>
      </c>
      <c r="R2326" s="11">
        <f t="shared" si="72"/>
        <v>1.5358814334502426E-2</v>
      </c>
      <c r="Z2326" s="11">
        <f t="shared" si="73"/>
        <v>1.9561857365021237E-2</v>
      </c>
    </row>
    <row r="2327" spans="1:26" x14ac:dyDescent="0.2">
      <c r="A2327" s="45">
        <v>415</v>
      </c>
      <c r="B2327" s="45">
        <v>1997</v>
      </c>
      <c r="C2327" s="17">
        <v>0</v>
      </c>
      <c r="D2327" s="14">
        <v>0.41005049999999998</v>
      </c>
      <c r="E2327" s="14">
        <v>0.12875320000000001</v>
      </c>
      <c r="F2327" s="14">
        <v>7.12034E-2</v>
      </c>
      <c r="G2327" s="14">
        <v>1.9411480000000001</v>
      </c>
      <c r="H2327" s="14">
        <v>0.58719270000000001</v>
      </c>
      <c r="R2327" s="11">
        <f t="shared" ref="R2327:R2390" si="74">1/(1+EXP(-(K$2+$M$2*E2327+$N$2*F2327+$O$2*G2327)))</f>
        <v>1.6693525959914027E-3</v>
      </c>
      <c r="Z2327" s="11">
        <f t="shared" si="73"/>
        <v>2.1321816128698906E-3</v>
      </c>
    </row>
    <row r="2328" spans="1:26" x14ac:dyDescent="0.2">
      <c r="A2328" s="45">
        <v>415</v>
      </c>
      <c r="B2328" s="45">
        <v>1998</v>
      </c>
      <c r="C2328" s="17">
        <v>0</v>
      </c>
      <c r="D2328" s="14">
        <v>0.4484901</v>
      </c>
      <c r="E2328" s="14">
        <v>0.17193140000000001</v>
      </c>
      <c r="F2328" s="14">
        <v>8.8483699999999998E-2</v>
      </c>
      <c r="G2328" s="14">
        <v>1.131175</v>
      </c>
      <c r="H2328" s="14">
        <v>0.58739079999999999</v>
      </c>
      <c r="R2328" s="11">
        <f t="shared" si="74"/>
        <v>4.9476210790409397E-3</v>
      </c>
      <c r="Z2328" s="11">
        <f t="shared" si="73"/>
        <v>6.5271671053654216E-3</v>
      </c>
    </row>
    <row r="2329" spans="1:26" x14ac:dyDescent="0.2">
      <c r="A2329" s="45">
        <v>415</v>
      </c>
      <c r="B2329" s="45">
        <v>1999</v>
      </c>
      <c r="C2329" s="17">
        <v>0</v>
      </c>
      <c r="D2329" s="14">
        <v>0.43197419999999997</v>
      </c>
      <c r="E2329" s="14">
        <v>0.22220419999999999</v>
      </c>
      <c r="F2329" s="14">
        <v>9.8017099999999996E-2</v>
      </c>
      <c r="G2329" s="14">
        <v>1.5929960000000001</v>
      </c>
      <c r="H2329" s="14">
        <v>0.6405554</v>
      </c>
      <c r="R2329" s="11">
        <f t="shared" si="74"/>
        <v>2.0472679790967223E-3</v>
      </c>
      <c r="Z2329" s="11">
        <f t="shared" si="73"/>
        <v>2.7016773717751285E-3</v>
      </c>
    </row>
    <row r="2330" spans="1:26" x14ac:dyDescent="0.2">
      <c r="A2330" s="45">
        <v>415</v>
      </c>
      <c r="B2330" s="45">
        <v>2000</v>
      </c>
      <c r="C2330" s="17">
        <v>0</v>
      </c>
      <c r="D2330" s="14">
        <v>0.40655570000000002</v>
      </c>
      <c r="E2330" s="14">
        <v>0.2449897</v>
      </c>
      <c r="F2330" s="14">
        <v>9.9010399999999998E-2</v>
      </c>
      <c r="G2330" s="14">
        <v>2.9023059999999998</v>
      </c>
      <c r="H2330" s="14">
        <v>0.74017849999999996</v>
      </c>
      <c r="R2330" s="11">
        <f t="shared" si="74"/>
        <v>2.4432067855185426E-4</v>
      </c>
      <c r="Z2330" s="11">
        <f t="shared" si="73"/>
        <v>3.1393848053097313E-4</v>
      </c>
    </row>
    <row r="2331" spans="1:26" x14ac:dyDescent="0.2">
      <c r="A2331" s="45">
        <v>415</v>
      </c>
      <c r="B2331" s="45">
        <v>2001</v>
      </c>
      <c r="C2331" s="17">
        <v>0</v>
      </c>
      <c r="D2331" s="14">
        <v>0.44828200000000001</v>
      </c>
      <c r="E2331" s="14">
        <v>0.28871340000000001</v>
      </c>
      <c r="F2331" s="14">
        <v>0.1111301</v>
      </c>
      <c r="G2331" s="14">
        <v>3.9279419999999998</v>
      </c>
      <c r="H2331" s="14">
        <v>0.67083000000000004</v>
      </c>
      <c r="R2331" s="11">
        <f t="shared" si="74"/>
        <v>4.0597903049803018E-5</v>
      </c>
      <c r="Z2331" s="11">
        <f t="shared" si="73"/>
        <v>5.1590514011340482E-5</v>
      </c>
    </row>
    <row r="2332" spans="1:26" x14ac:dyDescent="0.2">
      <c r="A2332" s="45">
        <v>415</v>
      </c>
      <c r="B2332" s="45">
        <v>2002</v>
      </c>
      <c r="C2332" s="17">
        <v>0</v>
      </c>
      <c r="D2332" s="14">
        <v>0.51431490000000002</v>
      </c>
      <c r="E2332" s="14">
        <v>0.34846519999999997</v>
      </c>
      <c r="F2332" s="14">
        <v>9.8206600000000005E-2</v>
      </c>
      <c r="G2332" s="14">
        <v>4.1770339999999999</v>
      </c>
      <c r="H2332" s="14">
        <v>0.65079640000000005</v>
      </c>
      <c r="R2332" s="11">
        <f t="shared" si="74"/>
        <v>2.7751036448339351E-5</v>
      </c>
      <c r="Z2332" s="11">
        <f t="shared" si="73"/>
        <v>3.4773928379722003E-5</v>
      </c>
    </row>
    <row r="2333" spans="1:26" x14ac:dyDescent="0.2">
      <c r="A2333" s="45">
        <v>415</v>
      </c>
      <c r="B2333" s="45">
        <v>2003</v>
      </c>
      <c r="C2333" s="17">
        <v>0</v>
      </c>
      <c r="D2333" s="14">
        <v>0.52718419999999999</v>
      </c>
      <c r="E2333" s="14">
        <v>0.40423819999999999</v>
      </c>
      <c r="F2333" s="14">
        <v>0.1165651</v>
      </c>
      <c r="G2333" s="14">
        <v>4.8299370000000001</v>
      </c>
      <c r="H2333" s="14">
        <v>0.61661189999999999</v>
      </c>
      <c r="R2333" s="11">
        <f t="shared" si="74"/>
        <v>7.8059391008844575E-6</v>
      </c>
      <c r="Z2333" s="11">
        <f t="shared" si="73"/>
        <v>9.8067111906710303E-6</v>
      </c>
    </row>
    <row r="2334" spans="1:26" x14ac:dyDescent="0.2">
      <c r="A2334" s="45">
        <v>415</v>
      </c>
      <c r="B2334" s="45">
        <v>2004</v>
      </c>
      <c r="C2334" s="17">
        <v>0</v>
      </c>
      <c r="D2334" s="14">
        <v>0.53091909999999998</v>
      </c>
      <c r="E2334" s="14">
        <v>0.41170899999999999</v>
      </c>
      <c r="F2334" s="14">
        <v>0.10367899999999999</v>
      </c>
      <c r="G2334" s="14">
        <v>5.1089370000000001</v>
      </c>
      <c r="H2334" s="14">
        <v>0.59047749999999999</v>
      </c>
      <c r="R2334" s="11">
        <f t="shared" si="74"/>
        <v>5.4875856370778399E-6</v>
      </c>
      <c r="Z2334" s="11">
        <f t="shared" si="73"/>
        <v>6.7816510876451621E-6</v>
      </c>
    </row>
    <row r="2335" spans="1:26" x14ac:dyDescent="0.2">
      <c r="A2335" s="45">
        <v>416</v>
      </c>
      <c r="B2335" s="45">
        <v>1999</v>
      </c>
      <c r="C2335" s="17">
        <v>0</v>
      </c>
      <c r="D2335" s="14">
        <v>-2.23742E-2</v>
      </c>
      <c r="E2335" s="14">
        <v>-6.0583E-3</v>
      </c>
      <c r="F2335" s="14">
        <v>3.5452200000000003E-2</v>
      </c>
      <c r="G2335" s="14">
        <v>0.62833159999999999</v>
      </c>
      <c r="H2335" s="14">
        <v>0.19132779999999999</v>
      </c>
      <c r="R2335" s="11">
        <f t="shared" si="74"/>
        <v>2.1466585867699239E-2</v>
      </c>
      <c r="Z2335" s="11">
        <f t="shared" si="73"/>
        <v>2.7135553772792934E-2</v>
      </c>
    </row>
    <row r="2336" spans="1:26" x14ac:dyDescent="0.2">
      <c r="A2336" s="45">
        <v>416</v>
      </c>
      <c r="B2336" s="45">
        <v>2000</v>
      </c>
      <c r="C2336" s="17">
        <v>0</v>
      </c>
      <c r="D2336" s="14">
        <v>-5.2770699999999997E-2</v>
      </c>
      <c r="E2336" s="14">
        <v>-8.4940000000000005E-4</v>
      </c>
      <c r="F2336" s="14">
        <v>4.0454900000000002E-2</v>
      </c>
      <c r="G2336" s="14">
        <v>0.66069160000000005</v>
      </c>
      <c r="H2336" s="14">
        <v>0.2270788</v>
      </c>
      <c r="R2336" s="11">
        <f t="shared" si="74"/>
        <v>1.9479578632181312E-2</v>
      </c>
      <c r="Z2336" s="11">
        <f t="shared" si="73"/>
        <v>2.4722874463928343E-2</v>
      </c>
    </row>
    <row r="2337" spans="1:26" x14ac:dyDescent="0.2">
      <c r="A2337" s="45">
        <v>417</v>
      </c>
      <c r="B2337" s="45">
        <v>1995</v>
      </c>
      <c r="C2337" s="17">
        <v>0</v>
      </c>
      <c r="D2337" s="14">
        <v>0.40390999999999999</v>
      </c>
      <c r="E2337" s="14">
        <v>-0.62836270000000005</v>
      </c>
      <c r="F2337" s="14">
        <v>-9.5758899999999994E-2</v>
      </c>
      <c r="G2337" s="14">
        <v>0.37424249999999998</v>
      </c>
      <c r="H2337" s="14">
        <v>0.2516099</v>
      </c>
      <c r="R2337" s="11">
        <f t="shared" si="74"/>
        <v>0.18843160035015671</v>
      </c>
      <c r="Z2337" s="11">
        <f t="shared" si="73"/>
        <v>0.20695728854780154</v>
      </c>
    </row>
    <row r="2338" spans="1:26" x14ac:dyDescent="0.2">
      <c r="A2338" s="45">
        <v>418</v>
      </c>
      <c r="B2338" s="45">
        <v>1997</v>
      </c>
      <c r="C2338" s="17">
        <v>0</v>
      </c>
      <c r="D2338" s="14">
        <v>0.2843482</v>
      </c>
      <c r="E2338" s="14">
        <v>0.53047639999999996</v>
      </c>
      <c r="F2338" s="14">
        <v>6.21868E-2</v>
      </c>
      <c r="G2338" s="14">
        <v>4.8164189999999998</v>
      </c>
      <c r="H2338" s="14">
        <v>0.23422470000000001</v>
      </c>
      <c r="R2338" s="11">
        <f t="shared" si="74"/>
        <v>1.0255836217110273E-5</v>
      </c>
      <c r="Z2338" s="11">
        <f t="shared" si="73"/>
        <v>1.2379968812872008E-5</v>
      </c>
    </row>
    <row r="2339" spans="1:26" x14ac:dyDescent="0.2">
      <c r="A2339" s="45">
        <v>418</v>
      </c>
      <c r="B2339" s="45">
        <v>1998</v>
      </c>
      <c r="C2339" s="17">
        <v>0</v>
      </c>
      <c r="D2339" s="14">
        <v>0.1893273</v>
      </c>
      <c r="E2339" s="14">
        <v>0.4825796</v>
      </c>
      <c r="F2339" s="14">
        <v>-3.3828999999999999E-3</v>
      </c>
      <c r="G2339" s="14">
        <v>2.4646080000000001</v>
      </c>
      <c r="H2339" s="14">
        <v>0.18180450000000001</v>
      </c>
      <c r="R2339" s="11">
        <f t="shared" si="74"/>
        <v>7.8763949732776092E-4</v>
      </c>
      <c r="Z2339" s="11">
        <f t="shared" si="73"/>
        <v>9.4720598998042425E-4</v>
      </c>
    </row>
    <row r="2340" spans="1:26" x14ac:dyDescent="0.2">
      <c r="A2340" s="45">
        <v>418</v>
      </c>
      <c r="B2340" s="45">
        <v>1999</v>
      </c>
      <c r="C2340" s="17">
        <v>0</v>
      </c>
      <c r="D2340" s="14">
        <v>0.30901220000000001</v>
      </c>
      <c r="E2340" s="14">
        <v>0.30733250000000001</v>
      </c>
      <c r="F2340" s="14">
        <v>1.8616600000000001E-2</v>
      </c>
      <c r="G2340" s="14">
        <v>6.294556</v>
      </c>
      <c r="H2340" s="14">
        <v>0.1939843</v>
      </c>
      <c r="R2340" s="11">
        <f t="shared" si="74"/>
        <v>1.9065230234589344E-6</v>
      </c>
      <c r="Z2340" s="11">
        <f t="shared" si="73"/>
        <v>2.1331556135252011E-6</v>
      </c>
    </row>
    <row r="2341" spans="1:26" x14ac:dyDescent="0.2">
      <c r="A2341" s="45">
        <v>418</v>
      </c>
      <c r="B2341" s="45">
        <v>2000</v>
      </c>
      <c r="C2341" s="17">
        <v>0</v>
      </c>
      <c r="D2341" s="14">
        <v>0.37306299999999998</v>
      </c>
      <c r="E2341" s="14">
        <v>0.3834497</v>
      </c>
      <c r="F2341" s="14">
        <v>0.1486152</v>
      </c>
      <c r="G2341" s="14">
        <v>13.407550000000001</v>
      </c>
      <c r="H2341" s="14">
        <v>0.25639640000000002</v>
      </c>
      <c r="R2341" s="11">
        <f t="shared" si="74"/>
        <v>7.2068003783506418E-12</v>
      </c>
      <c r="Z2341" s="11">
        <f t="shared" si="73"/>
        <v>7.6896688156922213E-12</v>
      </c>
    </row>
    <row r="2342" spans="1:26" x14ac:dyDescent="0.2">
      <c r="A2342" s="45">
        <v>418</v>
      </c>
      <c r="B2342" s="45">
        <v>2001</v>
      </c>
      <c r="C2342" s="17">
        <v>0</v>
      </c>
      <c r="D2342" s="14">
        <v>0.32489889999999999</v>
      </c>
      <c r="E2342" s="14">
        <v>0.38491059999999999</v>
      </c>
      <c r="F2342" s="14">
        <v>1.5346E-2</v>
      </c>
      <c r="G2342" s="14">
        <v>18.324850000000001</v>
      </c>
      <c r="H2342" s="14">
        <v>8.5635500000000003E-2</v>
      </c>
      <c r="R2342" s="11">
        <f t="shared" si="74"/>
        <v>8.2523964012889407E-15</v>
      </c>
      <c r="Z2342" s="11">
        <f t="shared" si="73"/>
        <v>7.0842948476502978E-15</v>
      </c>
    </row>
    <row r="2343" spans="1:26" x14ac:dyDescent="0.2">
      <c r="A2343" s="45">
        <v>418</v>
      </c>
      <c r="B2343" s="45">
        <v>2002</v>
      </c>
      <c r="C2343" s="17">
        <v>0</v>
      </c>
      <c r="D2343" s="14">
        <v>0.21017169999999999</v>
      </c>
      <c r="E2343" s="14">
        <v>0.29645739999999998</v>
      </c>
      <c r="F2343" s="14">
        <v>-3.6620199999999999E-2</v>
      </c>
      <c r="G2343" s="14">
        <v>8.7915500000000009</v>
      </c>
      <c r="H2343" s="14">
        <v>0.1240029</v>
      </c>
      <c r="R2343" s="11">
        <f t="shared" si="74"/>
        <v>5.6345264285790727E-8</v>
      </c>
      <c r="Z2343" s="11">
        <f t="shared" si="73"/>
        <v>5.7007466683662498E-8</v>
      </c>
    </row>
    <row r="2344" spans="1:26" x14ac:dyDescent="0.2">
      <c r="A2344" s="45">
        <v>418</v>
      </c>
      <c r="B2344" s="45">
        <v>2003</v>
      </c>
      <c r="C2344" s="17">
        <v>0</v>
      </c>
      <c r="D2344" s="14">
        <v>0.1870329</v>
      </c>
      <c r="E2344" s="14">
        <v>0.1249764</v>
      </c>
      <c r="F2344" s="14">
        <v>6.5348000000000003E-3</v>
      </c>
      <c r="G2344" s="14">
        <v>4.1579100000000002</v>
      </c>
      <c r="H2344" s="14">
        <v>0.15376380000000001</v>
      </c>
      <c r="R2344" s="11">
        <f t="shared" si="74"/>
        <v>8.2429214187249472E-5</v>
      </c>
      <c r="Z2344" s="11">
        <f t="shared" si="73"/>
        <v>9.5120689338478115E-5</v>
      </c>
    </row>
    <row r="2345" spans="1:26" x14ac:dyDescent="0.2">
      <c r="A2345" s="45">
        <v>418</v>
      </c>
      <c r="B2345" s="45">
        <v>2004</v>
      </c>
      <c r="C2345" s="17">
        <v>0</v>
      </c>
      <c r="D2345" s="14">
        <v>0.24041170000000001</v>
      </c>
      <c r="E2345" s="14">
        <v>0.1515811</v>
      </c>
      <c r="F2345" s="14">
        <v>5.2308899999999998E-2</v>
      </c>
      <c r="G2345" s="14">
        <v>3.3054549999999998</v>
      </c>
      <c r="H2345" s="14">
        <v>0.1819045</v>
      </c>
      <c r="R2345" s="11">
        <f t="shared" si="74"/>
        <v>2.1388580662393364E-4</v>
      </c>
      <c r="Z2345" s="11">
        <f t="shared" si="73"/>
        <v>2.6133918685927369E-4</v>
      </c>
    </row>
    <row r="2346" spans="1:26" x14ac:dyDescent="0.2">
      <c r="A2346" s="45">
        <v>419</v>
      </c>
      <c r="B2346" s="45">
        <v>1995</v>
      </c>
      <c r="C2346" s="17">
        <v>0</v>
      </c>
      <c r="D2346" s="14">
        <v>0.47412900000000002</v>
      </c>
      <c r="E2346" s="14">
        <v>7.4717199999999998E-2</v>
      </c>
      <c r="F2346" s="14">
        <v>8.4991399999999995E-2</v>
      </c>
      <c r="G2346" s="14">
        <v>1.118212</v>
      </c>
      <c r="H2346" s="14">
        <v>0.38382060000000001</v>
      </c>
      <c r="R2346" s="11">
        <f t="shared" si="74"/>
        <v>5.9763904555441526E-3</v>
      </c>
      <c r="Z2346" s="11">
        <f t="shared" si="73"/>
        <v>7.8356986622767286E-3</v>
      </c>
    </row>
    <row r="2347" spans="1:26" x14ac:dyDescent="0.2">
      <c r="A2347" s="45">
        <v>419</v>
      </c>
      <c r="B2347" s="45">
        <v>1996</v>
      </c>
      <c r="C2347" s="17">
        <v>0</v>
      </c>
      <c r="D2347" s="14">
        <v>0.47232730000000001</v>
      </c>
      <c r="E2347" s="14">
        <v>0.1422281</v>
      </c>
      <c r="F2347" s="14">
        <v>7.8341999999999995E-2</v>
      </c>
      <c r="G2347" s="14">
        <v>0.93847590000000003</v>
      </c>
      <c r="H2347" s="14">
        <v>0.3780599</v>
      </c>
      <c r="R2347" s="11">
        <f t="shared" si="74"/>
        <v>7.5961313606188923E-3</v>
      </c>
      <c r="Z2347" s="11">
        <f t="shared" si="73"/>
        <v>9.9624088290493368E-3</v>
      </c>
    </row>
    <row r="2348" spans="1:26" x14ac:dyDescent="0.2">
      <c r="A2348" s="45">
        <v>419</v>
      </c>
      <c r="B2348" s="45">
        <v>1997</v>
      </c>
      <c r="C2348" s="17">
        <v>0</v>
      </c>
      <c r="D2348" s="14">
        <v>0.4308863</v>
      </c>
      <c r="E2348" s="14">
        <v>0.21995719999999999</v>
      </c>
      <c r="F2348" s="14">
        <v>6.4696600000000007E-2</v>
      </c>
      <c r="G2348" s="14">
        <v>1.6509290000000001</v>
      </c>
      <c r="H2348" s="14">
        <v>0.34817029999999999</v>
      </c>
      <c r="R2348" s="11">
        <f t="shared" si="74"/>
        <v>2.4438798024865394E-3</v>
      </c>
      <c r="Z2348" s="11">
        <f t="shared" si="73"/>
        <v>3.133817870669423E-3</v>
      </c>
    </row>
    <row r="2349" spans="1:26" x14ac:dyDescent="0.2">
      <c r="A2349" s="45">
        <v>420</v>
      </c>
      <c r="B2349" s="45">
        <v>2001</v>
      </c>
      <c r="C2349" s="17">
        <v>0</v>
      </c>
      <c r="D2349" s="14">
        <v>0.26601649999999999</v>
      </c>
      <c r="E2349" s="14">
        <v>0.35102810000000001</v>
      </c>
      <c r="F2349" s="14">
        <v>2.9793099999999999E-2</v>
      </c>
      <c r="G2349" s="14">
        <v>3.4300199999999998</v>
      </c>
      <c r="H2349" s="14">
        <v>0.43842520000000001</v>
      </c>
      <c r="R2349" s="11">
        <f t="shared" si="74"/>
        <v>1.571338712979825E-4</v>
      </c>
      <c r="Z2349" s="11">
        <f t="shared" si="73"/>
        <v>1.8926106796570758E-4</v>
      </c>
    </row>
    <row r="2350" spans="1:26" x14ac:dyDescent="0.2">
      <c r="A2350" s="45">
        <v>420</v>
      </c>
      <c r="B2350" s="45">
        <v>2002</v>
      </c>
      <c r="C2350" s="17">
        <v>0</v>
      </c>
      <c r="D2350" s="14">
        <v>0.27343149999999999</v>
      </c>
      <c r="E2350" s="14">
        <v>0.26872940000000001</v>
      </c>
      <c r="F2350" s="14">
        <v>5.4041800000000001E-2</v>
      </c>
      <c r="G2350" s="14">
        <v>2.4654579999999999</v>
      </c>
      <c r="H2350" s="14">
        <v>0.4635533</v>
      </c>
      <c r="R2350" s="11">
        <f t="shared" si="74"/>
        <v>6.7816763531837682E-4</v>
      </c>
      <c r="Z2350" s="11">
        <f t="shared" si="73"/>
        <v>8.4859495642508468E-4</v>
      </c>
    </row>
    <row r="2351" spans="1:26" x14ac:dyDescent="0.2">
      <c r="A2351" s="45">
        <v>420</v>
      </c>
      <c r="B2351" s="45">
        <v>2003</v>
      </c>
      <c r="C2351" s="17">
        <v>0</v>
      </c>
      <c r="D2351" s="14">
        <v>0.28929470000000002</v>
      </c>
      <c r="E2351" s="14">
        <v>0.29546509999999998</v>
      </c>
      <c r="F2351" s="14">
        <v>6.2670199999999995E-2</v>
      </c>
      <c r="G2351" s="14">
        <v>3.3695050000000002</v>
      </c>
      <c r="H2351" s="14">
        <v>0.52416819999999997</v>
      </c>
      <c r="R2351" s="11">
        <f t="shared" si="74"/>
        <v>1.4422163725996562E-4</v>
      </c>
      <c r="Z2351" s="11">
        <f t="shared" si="73"/>
        <v>1.7835143381963428E-4</v>
      </c>
    </row>
    <row r="2352" spans="1:26" x14ac:dyDescent="0.2">
      <c r="A2352" s="45">
        <v>421</v>
      </c>
      <c r="B2352" s="45">
        <v>1995</v>
      </c>
      <c r="C2352" s="17">
        <v>0</v>
      </c>
      <c r="D2352" s="14">
        <v>0.2002565</v>
      </c>
      <c r="E2352" s="14">
        <v>1.0096879999999999</v>
      </c>
      <c r="F2352" s="14">
        <v>9.0636599999999998E-2</v>
      </c>
      <c r="G2352" s="14">
        <v>6.0107920000000004</v>
      </c>
      <c r="H2352" s="14">
        <v>0.30742370000000002</v>
      </c>
      <c r="R2352" s="11">
        <f t="shared" si="74"/>
        <v>6.0662496957686373E-7</v>
      </c>
      <c r="Z2352" s="11">
        <f t="shared" si="73"/>
        <v>7.4217847805600638E-7</v>
      </c>
    </row>
    <row r="2353" spans="1:26" x14ac:dyDescent="0.2">
      <c r="A2353" s="45">
        <v>421</v>
      </c>
      <c r="B2353" s="45">
        <v>1996</v>
      </c>
      <c r="C2353" s="17">
        <v>0</v>
      </c>
      <c r="D2353" s="14">
        <v>0.17903079999999999</v>
      </c>
      <c r="E2353" s="14">
        <v>0.84423479999999995</v>
      </c>
      <c r="F2353" s="14">
        <v>7.5421799999999997E-2</v>
      </c>
      <c r="G2353" s="14">
        <v>3.890018</v>
      </c>
      <c r="H2353" s="14">
        <v>0.25645200000000001</v>
      </c>
      <c r="R2353" s="11">
        <f t="shared" si="74"/>
        <v>2.558637859336643E-5</v>
      </c>
      <c r="Z2353" s="11">
        <f t="shared" si="73"/>
        <v>3.2210490552774269E-5</v>
      </c>
    </row>
    <row r="2354" spans="1:26" x14ac:dyDescent="0.2">
      <c r="A2354" s="45">
        <v>421</v>
      </c>
      <c r="B2354" s="45">
        <v>1997</v>
      </c>
      <c r="C2354" s="17">
        <v>0</v>
      </c>
      <c r="D2354" s="14">
        <v>9.7176399999999996E-2</v>
      </c>
      <c r="E2354" s="14">
        <v>0.64523240000000004</v>
      </c>
      <c r="F2354" s="14">
        <v>7.0515300000000003E-2</v>
      </c>
      <c r="G2354" s="14">
        <v>2.4380850000000001</v>
      </c>
      <c r="H2354" s="14">
        <v>0.30135859999999998</v>
      </c>
      <c r="R2354" s="11">
        <f t="shared" si="74"/>
        <v>3.5928622860400937E-4</v>
      </c>
      <c r="Z2354" s="11">
        <f t="shared" si="73"/>
        <v>4.6191733597604815E-4</v>
      </c>
    </row>
    <row r="2355" spans="1:26" x14ac:dyDescent="0.2">
      <c r="A2355" s="45">
        <v>421</v>
      </c>
      <c r="B2355" s="45">
        <v>1998</v>
      </c>
      <c r="C2355" s="17">
        <v>0</v>
      </c>
      <c r="D2355" s="14">
        <v>4.2705399999999998E-2</v>
      </c>
      <c r="E2355" s="14">
        <v>0.60836239999999997</v>
      </c>
      <c r="F2355" s="14">
        <v>5.6221699999999999E-2</v>
      </c>
      <c r="G2355" s="14">
        <v>2.0106999999999999</v>
      </c>
      <c r="H2355" s="14">
        <v>0.26873989999999998</v>
      </c>
      <c r="R2355" s="11">
        <f t="shared" si="74"/>
        <v>8.393790089987397E-4</v>
      </c>
      <c r="Z2355" s="11">
        <f t="shared" si="73"/>
        <v>1.0751623587950984E-3</v>
      </c>
    </row>
    <row r="2356" spans="1:26" x14ac:dyDescent="0.2">
      <c r="A2356" s="45">
        <v>421</v>
      </c>
      <c r="B2356" s="45">
        <v>1999</v>
      </c>
      <c r="C2356" s="17">
        <v>0</v>
      </c>
      <c r="D2356" s="14">
        <v>0.13159019999999999</v>
      </c>
      <c r="E2356" s="14">
        <v>0.58750979999999997</v>
      </c>
      <c r="F2356" s="14">
        <v>7.6432899999999998E-2</v>
      </c>
      <c r="G2356" s="14">
        <v>2.848808</v>
      </c>
      <c r="H2356" s="14">
        <v>0.30135060000000002</v>
      </c>
      <c r="R2356" s="11">
        <f t="shared" si="74"/>
        <v>1.9370837611619701E-4</v>
      </c>
      <c r="Z2356" s="11">
        <f t="shared" si="73"/>
        <v>2.4752131901000521E-4</v>
      </c>
    </row>
    <row r="2357" spans="1:26" x14ac:dyDescent="0.2">
      <c r="A2357" s="45">
        <v>421</v>
      </c>
      <c r="B2357" s="45">
        <v>2000</v>
      </c>
      <c r="C2357" s="17">
        <v>0</v>
      </c>
      <c r="D2357" s="14">
        <v>0.30120390000000002</v>
      </c>
      <c r="E2357" s="14">
        <v>0.63103529999999997</v>
      </c>
      <c r="F2357" s="14">
        <v>6.8018499999999996E-2</v>
      </c>
      <c r="G2357" s="14">
        <v>5.1546459999999996</v>
      </c>
      <c r="H2357" s="14">
        <v>0.2068683</v>
      </c>
      <c r="R2357" s="11">
        <f t="shared" si="74"/>
        <v>4.9332245059830367E-6</v>
      </c>
      <c r="Z2357" s="11">
        <f t="shared" si="73"/>
        <v>5.9596131137720198E-6</v>
      </c>
    </row>
    <row r="2358" spans="1:26" x14ac:dyDescent="0.2">
      <c r="A2358" s="45">
        <v>421</v>
      </c>
      <c r="B2358" s="45">
        <v>2001</v>
      </c>
      <c r="C2358" s="17">
        <v>0</v>
      </c>
      <c r="D2358" s="14">
        <v>0.21394940000000001</v>
      </c>
      <c r="E2358" s="14">
        <v>0.58016880000000004</v>
      </c>
      <c r="F2358" s="14">
        <v>5.5480700000000001E-2</v>
      </c>
      <c r="G2358" s="14">
        <v>5.5902880000000001</v>
      </c>
      <c r="H2358" s="14">
        <v>0.2092493</v>
      </c>
      <c r="R2358" s="11">
        <f t="shared" si="74"/>
        <v>2.9329531412738122E-6</v>
      </c>
      <c r="Z2358" s="11">
        <f t="shared" si="73"/>
        <v>3.467413392136044E-6</v>
      </c>
    </row>
    <row r="2359" spans="1:26" x14ac:dyDescent="0.2">
      <c r="A2359" s="45">
        <v>421</v>
      </c>
      <c r="B2359" s="45">
        <v>2002</v>
      </c>
      <c r="C2359" s="17">
        <v>0</v>
      </c>
      <c r="D2359" s="14">
        <v>0.36071360000000002</v>
      </c>
      <c r="E2359" s="14">
        <v>0.53091999999999995</v>
      </c>
      <c r="F2359" s="14">
        <v>6.8433099999999997E-2</v>
      </c>
      <c r="G2359" s="14">
        <v>3.3132480000000002</v>
      </c>
      <c r="H2359" s="14">
        <v>0.2493253</v>
      </c>
      <c r="R2359" s="11">
        <f t="shared" si="74"/>
        <v>1.0697394274181718E-4</v>
      </c>
      <c r="Z2359" s="11">
        <f t="shared" si="73"/>
        <v>1.3415959853454917E-4</v>
      </c>
    </row>
    <row r="2360" spans="1:26" x14ac:dyDescent="0.2">
      <c r="A2360" s="45">
        <v>421</v>
      </c>
      <c r="B2360" s="45">
        <v>2003</v>
      </c>
      <c r="C2360" s="17">
        <v>0</v>
      </c>
      <c r="D2360" s="14">
        <v>0.33904830000000002</v>
      </c>
      <c r="E2360" s="14">
        <v>0.60565789999999997</v>
      </c>
      <c r="F2360" s="14">
        <v>6.6499600000000006E-2</v>
      </c>
      <c r="G2360" s="14">
        <v>4.3221850000000002</v>
      </c>
      <c r="H2360" s="14">
        <v>0.25754709999999997</v>
      </c>
      <c r="R2360" s="11">
        <f t="shared" si="74"/>
        <v>1.952376234784395E-5</v>
      </c>
      <c r="Z2360" s="11">
        <f t="shared" si="73"/>
        <v>2.3971332123702792E-5</v>
      </c>
    </row>
    <row r="2361" spans="1:26" x14ac:dyDescent="0.2">
      <c r="A2361" s="45">
        <v>421</v>
      </c>
      <c r="B2361" s="45">
        <v>2004</v>
      </c>
      <c r="C2361" s="17">
        <v>0</v>
      </c>
      <c r="D2361" s="14">
        <v>0.40185949999999998</v>
      </c>
      <c r="E2361" s="14">
        <v>0.5940782</v>
      </c>
      <c r="F2361" s="14">
        <v>5.79287E-2</v>
      </c>
      <c r="G2361" s="14">
        <v>6.6362880000000004</v>
      </c>
      <c r="H2361" s="14">
        <v>0.24385229999999999</v>
      </c>
      <c r="R2361" s="11">
        <f t="shared" si="74"/>
        <v>5.3222253348932232E-7</v>
      </c>
      <c r="Z2361" s="11">
        <f t="shared" si="73"/>
        <v>6.16408761911917E-7</v>
      </c>
    </row>
    <row r="2362" spans="1:26" x14ac:dyDescent="0.2">
      <c r="A2362" s="45">
        <v>422</v>
      </c>
      <c r="B2362" s="45">
        <v>1995</v>
      </c>
      <c r="C2362" s="17">
        <v>0</v>
      </c>
      <c r="D2362" s="14">
        <v>0.2233453</v>
      </c>
      <c r="E2362" s="14">
        <v>0.63732</v>
      </c>
      <c r="F2362" s="14">
        <v>7.7727000000000004E-2</v>
      </c>
      <c r="G2362" s="14">
        <v>3.8391489999999999</v>
      </c>
      <c r="H2362" s="14">
        <v>0.26844630000000003</v>
      </c>
      <c r="R2362" s="11">
        <f t="shared" si="74"/>
        <v>3.6801272095027101E-5</v>
      </c>
      <c r="Z2362" s="11">
        <f t="shared" si="73"/>
        <v>4.6139954616023823E-5</v>
      </c>
    </row>
    <row r="2363" spans="1:26" x14ac:dyDescent="0.2">
      <c r="A2363" s="45">
        <v>422</v>
      </c>
      <c r="B2363" s="45">
        <v>1996</v>
      </c>
      <c r="C2363" s="17">
        <v>0</v>
      </c>
      <c r="D2363" s="14">
        <v>0.23068089999999999</v>
      </c>
      <c r="E2363" s="14">
        <v>0.6370304</v>
      </c>
      <c r="F2363" s="14">
        <v>9.4221700000000005E-2</v>
      </c>
      <c r="G2363" s="14">
        <v>4.9335760000000004</v>
      </c>
      <c r="H2363" s="14">
        <v>0.31453720000000002</v>
      </c>
      <c r="R2363" s="11">
        <f t="shared" si="74"/>
        <v>5.6404849287483002E-6</v>
      </c>
      <c r="Z2363" s="11">
        <f t="shared" si="73"/>
        <v>6.9973738484330432E-6</v>
      </c>
    </row>
    <row r="2364" spans="1:26" x14ac:dyDescent="0.2">
      <c r="A2364" s="45">
        <v>422</v>
      </c>
      <c r="B2364" s="45">
        <v>1997</v>
      </c>
      <c r="C2364" s="17">
        <v>0</v>
      </c>
      <c r="D2364" s="14">
        <v>0.21014840000000001</v>
      </c>
      <c r="E2364" s="14">
        <v>0.69890750000000001</v>
      </c>
      <c r="F2364" s="14">
        <v>8.1871899999999997E-2</v>
      </c>
      <c r="G2364" s="14">
        <v>4.5734260000000004</v>
      </c>
      <c r="H2364" s="14">
        <v>0.31378080000000003</v>
      </c>
      <c r="R2364" s="11">
        <f t="shared" si="74"/>
        <v>1.0101811243861597E-5</v>
      </c>
      <c r="Z2364" s="11">
        <f t="shared" si="73"/>
        <v>1.2531021855468042E-5</v>
      </c>
    </row>
    <row r="2365" spans="1:26" x14ac:dyDescent="0.2">
      <c r="A2365" s="45">
        <v>422</v>
      </c>
      <c r="B2365" s="45">
        <v>1998</v>
      </c>
      <c r="C2365" s="17">
        <v>0</v>
      </c>
      <c r="D2365" s="14">
        <v>0.16398489999999999</v>
      </c>
      <c r="E2365" s="14">
        <v>0.66964009999999996</v>
      </c>
      <c r="F2365" s="14">
        <v>6.3568799999999995E-2</v>
      </c>
      <c r="G2365" s="14">
        <v>3.5005829999999998</v>
      </c>
      <c r="H2365" s="14">
        <v>0.30522050000000001</v>
      </c>
      <c r="R2365" s="11">
        <f t="shared" si="74"/>
        <v>6.7443942836785178E-5</v>
      </c>
      <c r="Z2365" s="11">
        <f t="shared" si="73"/>
        <v>8.4301034654005636E-5</v>
      </c>
    </row>
    <row r="2366" spans="1:26" x14ac:dyDescent="0.2">
      <c r="A2366" s="45">
        <v>422</v>
      </c>
      <c r="B2366" s="45">
        <v>1999</v>
      </c>
      <c r="C2366" s="17">
        <v>0</v>
      </c>
      <c r="D2366" s="14">
        <v>0.1870761</v>
      </c>
      <c r="E2366" s="14">
        <v>0.73657709999999998</v>
      </c>
      <c r="F2366" s="14">
        <v>8.4925E-2</v>
      </c>
      <c r="G2366" s="14">
        <v>5.1909710000000002</v>
      </c>
      <c r="H2366" s="14">
        <v>0.32998939999999999</v>
      </c>
      <c r="R2366" s="11">
        <f t="shared" si="74"/>
        <v>3.4882874426972941E-6</v>
      </c>
      <c r="Z2366" s="11">
        <f t="shared" si="73"/>
        <v>4.2849109299168704E-6</v>
      </c>
    </row>
    <row r="2367" spans="1:26" x14ac:dyDescent="0.2">
      <c r="A2367" s="45">
        <v>422</v>
      </c>
      <c r="B2367" s="45">
        <v>2000</v>
      </c>
      <c r="C2367" s="17">
        <v>0</v>
      </c>
      <c r="D2367" s="14">
        <v>0.14177870000000001</v>
      </c>
      <c r="E2367" s="14">
        <v>0.74050240000000001</v>
      </c>
      <c r="F2367" s="14">
        <v>7.2068499999999994E-2</v>
      </c>
      <c r="G2367" s="14">
        <v>5.987552</v>
      </c>
      <c r="H2367" s="14">
        <v>0.32088220000000001</v>
      </c>
      <c r="R2367" s="11">
        <f t="shared" si="74"/>
        <v>1.0801704924608822E-6</v>
      </c>
      <c r="Z2367" s="11">
        <f t="shared" si="73"/>
        <v>1.2902843995292895E-6</v>
      </c>
    </row>
    <row r="2368" spans="1:26" x14ac:dyDescent="0.2">
      <c r="A2368" s="45">
        <v>422</v>
      </c>
      <c r="B2368" s="45">
        <v>2001</v>
      </c>
      <c r="C2368" s="17">
        <v>0</v>
      </c>
      <c r="D2368" s="14">
        <v>0.15523490000000001</v>
      </c>
      <c r="E2368" s="14">
        <v>0.75948789999999999</v>
      </c>
      <c r="F2368" s="14">
        <v>7.4248800000000004E-2</v>
      </c>
      <c r="G2368" s="14">
        <v>5.475454</v>
      </c>
      <c r="H2368" s="14">
        <v>0.29355530000000002</v>
      </c>
      <c r="R2368" s="11">
        <f t="shared" si="74"/>
        <v>2.3353187368548939E-6</v>
      </c>
      <c r="Z2368" s="11">
        <f t="shared" si="73"/>
        <v>2.8281050208097708E-6</v>
      </c>
    </row>
    <row r="2369" spans="1:26" x14ac:dyDescent="0.2">
      <c r="A2369" s="45">
        <v>422</v>
      </c>
      <c r="B2369" s="45">
        <v>2002</v>
      </c>
      <c r="C2369" s="17">
        <v>0</v>
      </c>
      <c r="D2369" s="14">
        <v>0.12903229999999999</v>
      </c>
      <c r="E2369" s="14">
        <v>0.71852300000000002</v>
      </c>
      <c r="F2369" s="14">
        <v>7.7149999999999996E-2</v>
      </c>
      <c r="G2369" s="14">
        <v>5.1771320000000003</v>
      </c>
      <c r="H2369" s="14">
        <v>0.29716730000000002</v>
      </c>
      <c r="R2369" s="11">
        <f t="shared" si="74"/>
        <v>3.8958347754801504E-6</v>
      </c>
      <c r="Z2369" s="11">
        <f t="shared" si="73"/>
        <v>4.7536347564366522E-6</v>
      </c>
    </row>
    <row r="2370" spans="1:26" x14ac:dyDescent="0.2">
      <c r="A2370" s="45">
        <v>422</v>
      </c>
      <c r="B2370" s="45">
        <v>2003</v>
      </c>
      <c r="C2370" s="17">
        <v>0</v>
      </c>
      <c r="D2370" s="14">
        <v>0.17736940000000001</v>
      </c>
      <c r="E2370" s="14">
        <v>0.73545000000000005</v>
      </c>
      <c r="F2370" s="14">
        <v>7.64658E-2</v>
      </c>
      <c r="G2370" s="14">
        <v>6.8805449999999997</v>
      </c>
      <c r="H2370" s="14">
        <v>0.3010372</v>
      </c>
      <c r="R2370" s="11">
        <f t="shared" si="74"/>
        <v>2.5314907743237263E-7</v>
      </c>
      <c r="Z2370" s="11">
        <f t="shared" ref="Z2370:Z2433" si="75">1/(1+EXP(-(U$2+$V$2*E2370+$W$2*F2370+$X$2*G2370)))</f>
        <v>2.9752221313810953E-7</v>
      </c>
    </row>
    <row r="2371" spans="1:26" x14ac:dyDescent="0.2">
      <c r="A2371" s="45">
        <v>422</v>
      </c>
      <c r="B2371" s="45">
        <v>2004</v>
      </c>
      <c r="C2371" s="17">
        <v>0</v>
      </c>
      <c r="D2371" s="14">
        <v>0.15861159999999999</v>
      </c>
      <c r="E2371" s="14">
        <v>0.79749729999999996</v>
      </c>
      <c r="F2371" s="14">
        <v>8.0491199999999999E-2</v>
      </c>
      <c r="G2371" s="14">
        <v>6.2227189999999997</v>
      </c>
      <c r="H2371" s="14">
        <v>0.2688161</v>
      </c>
      <c r="R2371" s="11">
        <f t="shared" si="74"/>
        <v>6.3897696355276556E-7</v>
      </c>
      <c r="Z2371" s="11">
        <f t="shared" si="75"/>
        <v>7.6608353290945582E-7</v>
      </c>
    </row>
    <row r="2372" spans="1:26" x14ac:dyDescent="0.2">
      <c r="A2372" s="45">
        <v>423</v>
      </c>
      <c r="B2372" s="45">
        <v>1995</v>
      </c>
      <c r="C2372" s="17">
        <v>0</v>
      </c>
      <c r="D2372" s="14">
        <v>3.7317099999999999E-2</v>
      </c>
      <c r="E2372" s="14">
        <v>0.17535000000000001</v>
      </c>
      <c r="F2372" s="14">
        <v>3.3680599999999998E-2</v>
      </c>
      <c r="G2372" s="14">
        <v>0.74864520000000001</v>
      </c>
      <c r="H2372" s="14">
        <v>0.1399291</v>
      </c>
      <c r="R2372" s="11">
        <f t="shared" si="74"/>
        <v>1.3913442325295365E-2</v>
      </c>
      <c r="Z2372" s="11">
        <f t="shared" si="75"/>
        <v>1.7660353322548117E-2</v>
      </c>
    </row>
    <row r="2373" spans="1:26" x14ac:dyDescent="0.2">
      <c r="A2373" s="45">
        <v>423</v>
      </c>
      <c r="B2373" s="45">
        <v>1996</v>
      </c>
      <c r="C2373" s="17">
        <v>0</v>
      </c>
      <c r="D2373" s="14">
        <v>3.4534799999999997E-2</v>
      </c>
      <c r="E2373" s="14">
        <v>0.18174760000000001</v>
      </c>
      <c r="F2373" s="14">
        <v>3.8617699999999998E-2</v>
      </c>
      <c r="G2373" s="14">
        <v>0.66036490000000003</v>
      </c>
      <c r="H2373" s="14">
        <v>0.13739209999999999</v>
      </c>
      <c r="R2373" s="11">
        <f t="shared" si="74"/>
        <v>1.5232112309754407E-2</v>
      </c>
      <c r="Z2373" s="11">
        <f t="shared" si="75"/>
        <v>1.9445242066482696E-2</v>
      </c>
    </row>
    <row r="2374" spans="1:26" x14ac:dyDescent="0.2">
      <c r="A2374" s="45">
        <v>423</v>
      </c>
      <c r="B2374" s="45">
        <v>1997</v>
      </c>
      <c r="C2374" s="17">
        <v>0</v>
      </c>
      <c r="D2374" s="14">
        <v>4.7671499999999999E-2</v>
      </c>
      <c r="E2374" s="14">
        <v>0.19270029999999999</v>
      </c>
      <c r="F2374" s="14">
        <v>2.7302E-2</v>
      </c>
      <c r="G2374" s="14">
        <v>1.087615</v>
      </c>
      <c r="H2374" s="14">
        <v>0.1369824</v>
      </c>
      <c r="R2374" s="11">
        <f t="shared" si="74"/>
        <v>8.3652062725625212E-3</v>
      </c>
      <c r="Z2374" s="11">
        <f t="shared" si="75"/>
        <v>1.0507545613507554E-2</v>
      </c>
    </row>
    <row r="2375" spans="1:26" x14ac:dyDescent="0.2">
      <c r="A2375" s="45">
        <v>423</v>
      </c>
      <c r="B2375" s="45">
        <v>1998</v>
      </c>
      <c r="C2375" s="17">
        <v>0</v>
      </c>
      <c r="D2375" s="14">
        <v>9.0232599999999996E-2</v>
      </c>
      <c r="E2375" s="14">
        <v>0.16998179999999999</v>
      </c>
      <c r="F2375" s="14">
        <v>3.4688799999999999E-2</v>
      </c>
      <c r="G2375" s="14">
        <v>1.1643049999999999</v>
      </c>
      <c r="H2375" s="14">
        <v>0.12736939999999999</v>
      </c>
      <c r="R2375" s="11">
        <f t="shared" si="74"/>
        <v>7.2208115664911766E-3</v>
      </c>
      <c r="Z2375" s="11">
        <f t="shared" si="75"/>
        <v>9.1050609594839384E-3</v>
      </c>
    </row>
    <row r="2376" spans="1:26" x14ac:dyDescent="0.2">
      <c r="A2376" s="45">
        <v>423</v>
      </c>
      <c r="B2376" s="45">
        <v>1999</v>
      </c>
      <c r="C2376" s="17">
        <v>0</v>
      </c>
      <c r="D2376" s="14">
        <v>9.3032000000000004E-2</v>
      </c>
      <c r="E2376" s="14">
        <v>0.1672265</v>
      </c>
      <c r="F2376" s="14">
        <v>3.5234500000000002E-2</v>
      </c>
      <c r="G2376" s="14">
        <v>0.87986969999999998</v>
      </c>
      <c r="H2376" s="14">
        <v>0.13650770000000001</v>
      </c>
      <c r="R2376" s="11">
        <f t="shared" si="74"/>
        <v>1.1310763185774671E-2</v>
      </c>
      <c r="Z2376" s="11">
        <f t="shared" si="75"/>
        <v>1.4340178918828408E-2</v>
      </c>
    </row>
    <row r="2377" spans="1:26" x14ac:dyDescent="0.2">
      <c r="A2377" s="45">
        <v>423</v>
      </c>
      <c r="B2377" s="45">
        <v>2000</v>
      </c>
      <c r="C2377" s="17">
        <v>0</v>
      </c>
      <c r="D2377" s="14">
        <v>5.6477800000000002E-2</v>
      </c>
      <c r="E2377" s="14">
        <v>0.15887080000000001</v>
      </c>
      <c r="F2377" s="14">
        <v>4.4975000000000001E-2</v>
      </c>
      <c r="G2377" s="14">
        <v>0.94685160000000002</v>
      </c>
      <c r="H2377" s="14">
        <v>0.1440862</v>
      </c>
      <c r="R2377" s="11">
        <f t="shared" si="74"/>
        <v>9.5356851764614656E-3</v>
      </c>
      <c r="Z2377" s="11">
        <f t="shared" si="75"/>
        <v>1.2170073733658235E-2</v>
      </c>
    </row>
    <row r="2378" spans="1:26" x14ac:dyDescent="0.2">
      <c r="A2378" s="45">
        <v>423</v>
      </c>
      <c r="B2378" s="45">
        <v>2001</v>
      </c>
      <c r="C2378" s="17">
        <v>0</v>
      </c>
      <c r="D2378" s="14">
        <v>9.6775799999999995E-2</v>
      </c>
      <c r="E2378" s="14">
        <v>0.15878900000000001</v>
      </c>
      <c r="F2378" s="14">
        <v>4.4021299999999999E-2</v>
      </c>
      <c r="G2378" s="14">
        <v>1.005725</v>
      </c>
      <c r="H2378" s="14">
        <v>0.1545311</v>
      </c>
      <c r="R2378" s="11">
        <f t="shared" si="74"/>
        <v>8.7561400024203304E-3</v>
      </c>
      <c r="Z2378" s="11">
        <f t="shared" si="75"/>
        <v>1.1154619474081884E-2</v>
      </c>
    </row>
    <row r="2379" spans="1:26" x14ac:dyDescent="0.2">
      <c r="A2379" s="45">
        <v>423</v>
      </c>
      <c r="B2379" s="45">
        <v>2002</v>
      </c>
      <c r="C2379" s="17">
        <v>0</v>
      </c>
      <c r="D2379" s="14">
        <v>9.1956999999999994E-3</v>
      </c>
      <c r="E2379" s="14">
        <v>0.1739185</v>
      </c>
      <c r="F2379" s="14">
        <v>5.0494799999999999E-2</v>
      </c>
      <c r="G2379" s="14">
        <v>1.035185</v>
      </c>
      <c r="H2379" s="14">
        <v>0.1460235</v>
      </c>
      <c r="R2379" s="11">
        <f t="shared" si="74"/>
        <v>7.7680848434303999E-3</v>
      </c>
      <c r="Z2379" s="11">
        <f t="shared" si="75"/>
        <v>9.9494777330867024E-3</v>
      </c>
    </row>
    <row r="2380" spans="1:26" x14ac:dyDescent="0.2">
      <c r="A2380" s="45">
        <v>423</v>
      </c>
      <c r="B2380" s="45">
        <v>2003</v>
      </c>
      <c r="C2380" s="17">
        <v>0</v>
      </c>
      <c r="D2380" s="14">
        <v>7.8475900000000001E-2</v>
      </c>
      <c r="E2380" s="14">
        <v>0.24684449999999999</v>
      </c>
      <c r="F2380" s="14">
        <v>3.5034099999999999E-2</v>
      </c>
      <c r="G2380" s="14">
        <v>1.656603</v>
      </c>
      <c r="H2380" s="14">
        <v>7.4721300000000004E-2</v>
      </c>
      <c r="R2380" s="11">
        <f t="shared" si="74"/>
        <v>2.9512048809155504E-3</v>
      </c>
      <c r="Z2380" s="11">
        <f t="shared" si="75"/>
        <v>3.6962005518360896E-3</v>
      </c>
    </row>
    <row r="2381" spans="1:26" x14ac:dyDescent="0.2">
      <c r="A2381" s="45">
        <v>423</v>
      </c>
      <c r="B2381" s="45">
        <v>2004</v>
      </c>
      <c r="C2381" s="17">
        <v>0</v>
      </c>
      <c r="D2381" s="14">
        <v>0.1996444</v>
      </c>
      <c r="E2381" s="14">
        <v>0.21980620000000001</v>
      </c>
      <c r="F2381" s="14">
        <v>3.5597499999999997E-2</v>
      </c>
      <c r="G2381" s="14">
        <v>1.3848819999999999</v>
      </c>
      <c r="H2381" s="14">
        <v>0.15872220000000001</v>
      </c>
      <c r="R2381" s="11">
        <f t="shared" si="74"/>
        <v>4.7033509908708214E-3</v>
      </c>
      <c r="Z2381" s="11">
        <f t="shared" si="75"/>
        <v>5.9204337935719383E-3</v>
      </c>
    </row>
    <row r="2382" spans="1:26" x14ac:dyDescent="0.2">
      <c r="A2382" s="45">
        <v>424</v>
      </c>
      <c r="B2382" s="45">
        <v>1997</v>
      </c>
      <c r="C2382" s="17">
        <v>0</v>
      </c>
      <c r="D2382" s="14">
        <v>9.1997800000000005E-2</v>
      </c>
      <c r="E2382" s="14">
        <v>0.2070237</v>
      </c>
      <c r="F2382" s="14">
        <v>7.4213100000000004E-2</v>
      </c>
      <c r="G2382" s="14">
        <v>1.392536</v>
      </c>
      <c r="H2382" s="14">
        <v>0.23648810000000001</v>
      </c>
      <c r="R2382" s="11">
        <f t="shared" si="74"/>
        <v>3.4799011051808867E-3</v>
      </c>
      <c r="Z2382" s="11">
        <f t="shared" si="75"/>
        <v>4.5193347684397136E-3</v>
      </c>
    </row>
    <row r="2383" spans="1:26" x14ac:dyDescent="0.2">
      <c r="A2383" s="45">
        <v>424</v>
      </c>
      <c r="B2383" s="45">
        <v>1998</v>
      </c>
      <c r="C2383" s="17">
        <v>0</v>
      </c>
      <c r="D2383" s="14">
        <v>0.1050463</v>
      </c>
      <c r="E2383" s="14">
        <v>0.20447219999999999</v>
      </c>
      <c r="F2383" s="14">
        <v>4.2243000000000003E-2</v>
      </c>
      <c r="G2383" s="14">
        <v>0.99671609999999999</v>
      </c>
      <c r="H2383" s="14">
        <v>0.19676479999999999</v>
      </c>
      <c r="R2383" s="11">
        <f t="shared" si="74"/>
        <v>8.4337147351077734E-3</v>
      </c>
      <c r="Z2383" s="11">
        <f t="shared" si="75"/>
        <v>1.0748092033341639E-2</v>
      </c>
    </row>
    <row r="2384" spans="1:26" x14ac:dyDescent="0.2">
      <c r="A2384" s="45">
        <v>424</v>
      </c>
      <c r="B2384" s="45">
        <v>1999</v>
      </c>
      <c r="C2384" s="17">
        <v>0</v>
      </c>
      <c r="D2384" s="14">
        <v>0.1089171</v>
      </c>
      <c r="E2384" s="14">
        <v>0.19367110000000001</v>
      </c>
      <c r="F2384" s="14">
        <v>2.62264E-2</v>
      </c>
      <c r="G2384" s="14">
        <v>0.56059170000000003</v>
      </c>
      <c r="H2384" s="14">
        <v>0.17201830000000001</v>
      </c>
      <c r="R2384" s="11">
        <f t="shared" si="74"/>
        <v>1.929888549922875E-2</v>
      </c>
      <c r="Z2384" s="11">
        <f t="shared" si="75"/>
        <v>2.4428150104021551E-2</v>
      </c>
    </row>
    <row r="2385" spans="1:26" x14ac:dyDescent="0.2">
      <c r="A2385" s="45">
        <v>424</v>
      </c>
      <c r="B2385" s="45">
        <v>2000</v>
      </c>
      <c r="C2385" s="17">
        <v>0</v>
      </c>
      <c r="D2385" s="14">
        <v>0.12106459999999999</v>
      </c>
      <c r="E2385" s="14">
        <v>0.16134660000000001</v>
      </c>
      <c r="F2385" s="14">
        <v>3.9446799999999997E-2</v>
      </c>
      <c r="G2385" s="14">
        <v>0.29383599999999999</v>
      </c>
      <c r="H2385" s="14">
        <v>0.2000237</v>
      </c>
      <c r="R2385" s="11">
        <f t="shared" si="74"/>
        <v>2.7602177798480391E-2</v>
      </c>
      <c r="Z2385" s="11">
        <f t="shared" si="75"/>
        <v>3.5388637386853196E-2</v>
      </c>
    </row>
    <row r="2386" spans="1:26" x14ac:dyDescent="0.2">
      <c r="A2386" s="45">
        <v>424</v>
      </c>
      <c r="B2386" s="45">
        <v>2001</v>
      </c>
      <c r="C2386" s="17">
        <v>0</v>
      </c>
      <c r="D2386" s="14">
        <v>0.1753815</v>
      </c>
      <c r="E2386" s="14">
        <v>4.5049400000000003E-2</v>
      </c>
      <c r="F2386" s="14">
        <v>8.5155999999999999E-3</v>
      </c>
      <c r="G2386" s="14">
        <v>0.19727890000000001</v>
      </c>
      <c r="H2386" s="14">
        <v>0.20826130000000001</v>
      </c>
      <c r="R2386" s="11">
        <f t="shared" si="74"/>
        <v>4.7812336318576558E-2</v>
      </c>
      <c r="Z2386" s="11">
        <f t="shared" si="75"/>
        <v>5.9403740041396612E-2</v>
      </c>
    </row>
    <row r="2387" spans="1:26" x14ac:dyDescent="0.2">
      <c r="A2387" s="45">
        <v>424</v>
      </c>
      <c r="B2387" s="45">
        <v>2002</v>
      </c>
      <c r="C2387" s="17">
        <v>1</v>
      </c>
      <c r="D2387" s="14">
        <v>-9.6430000000000005E-3</v>
      </c>
      <c r="E2387" s="14">
        <v>-0.1249161</v>
      </c>
      <c r="F2387" s="14">
        <v>1.7905799999999999E-2</v>
      </c>
      <c r="G2387" s="14">
        <v>8.8655899999999996E-2</v>
      </c>
      <c r="H2387" s="14">
        <v>0.23970649999999999</v>
      </c>
      <c r="R2387" s="11">
        <f t="shared" si="74"/>
        <v>6.6213905913583365E-2</v>
      </c>
      <c r="Z2387" s="11">
        <f t="shared" si="75"/>
        <v>8.2203947844118455E-2</v>
      </c>
    </row>
    <row r="2388" spans="1:26" x14ac:dyDescent="0.2">
      <c r="A2388" s="45">
        <v>425</v>
      </c>
      <c r="B2388" s="45">
        <v>1995</v>
      </c>
      <c r="C2388" s="17">
        <v>0</v>
      </c>
      <c r="D2388" s="14">
        <v>3.1926599999999999E-2</v>
      </c>
      <c r="E2388" s="14">
        <v>0.23320560000000001</v>
      </c>
      <c r="F2388" s="14">
        <v>4.1860500000000002E-2</v>
      </c>
      <c r="G2388" s="14">
        <v>0.71958029999999995</v>
      </c>
      <c r="H2388" s="14">
        <v>0.15647820000000001</v>
      </c>
      <c r="R2388" s="11">
        <f t="shared" si="74"/>
        <v>1.2565865084632755E-2</v>
      </c>
      <c r="Z2388" s="11">
        <f t="shared" si="75"/>
        <v>1.6102870006657399E-2</v>
      </c>
    </row>
    <row r="2389" spans="1:26" x14ac:dyDescent="0.2">
      <c r="A2389" s="45">
        <v>425</v>
      </c>
      <c r="B2389" s="45">
        <v>1996</v>
      </c>
      <c r="C2389" s="17">
        <v>0</v>
      </c>
      <c r="D2389" s="14">
        <v>1.7759E-2</v>
      </c>
      <c r="E2389" s="14">
        <v>0.25226789999999999</v>
      </c>
      <c r="F2389" s="14">
        <v>6.6669099999999995E-2</v>
      </c>
      <c r="G2389" s="14">
        <v>0.93443299999999996</v>
      </c>
      <c r="H2389" s="14">
        <v>0.1940325</v>
      </c>
      <c r="R2389" s="11">
        <f t="shared" si="74"/>
        <v>7.1556173776111728E-3</v>
      </c>
      <c r="Z2389" s="11">
        <f t="shared" si="75"/>
        <v>9.3330487542013247E-3</v>
      </c>
    </row>
    <row r="2390" spans="1:26" x14ac:dyDescent="0.2">
      <c r="A2390" s="45">
        <v>425</v>
      </c>
      <c r="B2390" s="45">
        <v>1997</v>
      </c>
      <c r="C2390" s="17">
        <v>0</v>
      </c>
      <c r="D2390" s="14">
        <v>7.1542599999999998E-2</v>
      </c>
      <c r="E2390" s="14">
        <v>0.31451449999999997</v>
      </c>
      <c r="F2390" s="14">
        <v>5.765E-2</v>
      </c>
      <c r="G2390" s="14">
        <v>1.6110139999999999</v>
      </c>
      <c r="H2390" s="14">
        <v>0.2000567</v>
      </c>
      <c r="R2390" s="11">
        <f t="shared" si="74"/>
        <v>2.4015527513994743E-3</v>
      </c>
      <c r="Z2390" s="11">
        <f t="shared" si="75"/>
        <v>3.0744982463629558E-3</v>
      </c>
    </row>
    <row r="2391" spans="1:26" x14ac:dyDescent="0.2">
      <c r="A2391" s="45">
        <v>425</v>
      </c>
      <c r="B2391" s="45">
        <v>1998</v>
      </c>
      <c r="C2391" s="17">
        <v>0</v>
      </c>
      <c r="D2391" s="14">
        <v>-0.10008690000000001</v>
      </c>
      <c r="E2391" s="14">
        <v>0.27573330000000001</v>
      </c>
      <c r="F2391" s="14">
        <v>-2.1656399999999999E-2</v>
      </c>
      <c r="G2391" s="14">
        <v>0.75931669999999996</v>
      </c>
      <c r="H2391" s="14">
        <v>0.1730537</v>
      </c>
      <c r="R2391" s="11">
        <f t="shared" ref="R2391:R2454" si="76">1/(1+EXP(-(K$2+$M$2*E2391+$N$2*F2391+$O$2*G2391)))</f>
        <v>1.8321112594117839E-2</v>
      </c>
      <c r="Z2391" s="11">
        <f t="shared" si="75"/>
        <v>2.228966571828871E-2</v>
      </c>
    </row>
    <row r="2392" spans="1:26" x14ac:dyDescent="0.2">
      <c r="A2392" s="45">
        <v>425</v>
      </c>
      <c r="B2392" s="45">
        <v>1999</v>
      </c>
      <c r="C2392" s="17">
        <v>0</v>
      </c>
      <c r="D2392" s="14">
        <v>-2.6068999999999998E-2</v>
      </c>
      <c r="E2392" s="14">
        <v>0.3269667</v>
      </c>
      <c r="F2392" s="14">
        <v>8.6579699999999996E-2</v>
      </c>
      <c r="G2392" s="14">
        <v>1.469776</v>
      </c>
      <c r="H2392" s="14">
        <v>0.25748969999999999</v>
      </c>
      <c r="R2392" s="11">
        <f t="shared" si="76"/>
        <v>2.3437059222629797E-3</v>
      </c>
      <c r="Z2392" s="11">
        <f t="shared" si="75"/>
        <v>3.0831249354134464E-3</v>
      </c>
    </row>
    <row r="2393" spans="1:26" x14ac:dyDescent="0.2">
      <c r="A2393" s="45">
        <v>425</v>
      </c>
      <c r="B2393" s="45">
        <v>2000</v>
      </c>
      <c r="C2393" s="17">
        <v>0</v>
      </c>
      <c r="D2393" s="14">
        <v>1.05702E-2</v>
      </c>
      <c r="E2393" s="14">
        <v>0.39347589999999999</v>
      </c>
      <c r="F2393" s="14">
        <v>0.1206047</v>
      </c>
      <c r="G2393" s="14">
        <v>3.395241</v>
      </c>
      <c r="H2393" s="14">
        <v>0.3977484</v>
      </c>
      <c r="R2393" s="11">
        <f t="shared" si="76"/>
        <v>7.5525925971609725E-5</v>
      </c>
      <c r="Z2393" s="11">
        <f t="shared" si="75"/>
        <v>9.8216443808937621E-5</v>
      </c>
    </row>
    <row r="2394" spans="1:26" x14ac:dyDescent="0.2">
      <c r="A2394" s="45">
        <v>426</v>
      </c>
      <c r="B2394" s="45">
        <v>1995</v>
      </c>
      <c r="C2394" s="17">
        <v>0</v>
      </c>
      <c r="D2394" s="14">
        <v>6.1827999999999996E-3</v>
      </c>
      <c r="E2394" s="14">
        <v>0.460005</v>
      </c>
      <c r="F2394" s="14">
        <v>3.1271599999999997E-2</v>
      </c>
      <c r="G2394" s="14">
        <v>1.8393919999999999</v>
      </c>
      <c r="H2394" s="14">
        <v>0.4452952</v>
      </c>
      <c r="R2394" s="11">
        <f t="shared" si="76"/>
        <v>1.6692320381796167E-3</v>
      </c>
      <c r="Z2394" s="11">
        <f t="shared" si="75"/>
        <v>2.0916992032356547E-3</v>
      </c>
    </row>
    <row r="2395" spans="1:26" x14ac:dyDescent="0.2">
      <c r="A2395" s="45">
        <v>426</v>
      </c>
      <c r="B2395" s="45">
        <v>1996</v>
      </c>
      <c r="C2395" s="17">
        <v>0</v>
      </c>
      <c r="D2395" s="14">
        <v>-3.1811999999999999E-3</v>
      </c>
      <c r="E2395" s="14">
        <v>0.4344249</v>
      </c>
      <c r="F2395" s="14">
        <v>5.8260100000000002E-2</v>
      </c>
      <c r="G2395" s="14">
        <v>1.7932809999999999</v>
      </c>
      <c r="H2395" s="14">
        <v>0.4627773</v>
      </c>
      <c r="R2395" s="11">
        <f t="shared" si="76"/>
        <v>1.5027908831143767E-3</v>
      </c>
      <c r="Z2395" s="11">
        <f t="shared" si="75"/>
        <v>1.9255236022803284E-3</v>
      </c>
    </row>
    <row r="2396" spans="1:26" x14ac:dyDescent="0.2">
      <c r="A2396" s="45">
        <v>426</v>
      </c>
      <c r="B2396" s="45">
        <v>1997</v>
      </c>
      <c r="C2396" s="17">
        <v>0</v>
      </c>
      <c r="D2396" s="14">
        <v>-4.1900899999999998E-2</v>
      </c>
      <c r="E2396" s="14">
        <v>0.49444949999999999</v>
      </c>
      <c r="F2396" s="14">
        <v>4.5368800000000001E-2</v>
      </c>
      <c r="G2396" s="14">
        <v>2.3838029999999999</v>
      </c>
      <c r="H2396" s="14">
        <v>0.36059999999999998</v>
      </c>
      <c r="R2396" s="11">
        <f t="shared" si="76"/>
        <v>5.9631884544666925E-4</v>
      </c>
      <c r="Z2396" s="11">
        <f t="shared" si="75"/>
        <v>7.4800338423039057E-4</v>
      </c>
    </row>
    <row r="2397" spans="1:26" x14ac:dyDescent="0.2">
      <c r="A2397" s="45">
        <v>426</v>
      </c>
      <c r="B2397" s="45">
        <v>1998</v>
      </c>
      <c r="C2397" s="17">
        <v>0</v>
      </c>
      <c r="D2397" s="14">
        <v>-6.6572400000000004E-2</v>
      </c>
      <c r="E2397" s="14">
        <v>0.47506910000000002</v>
      </c>
      <c r="F2397" s="14">
        <v>2.5363799999999999E-2</v>
      </c>
      <c r="G2397" s="14">
        <v>2.80661</v>
      </c>
      <c r="H2397" s="14">
        <v>0.28977330000000001</v>
      </c>
      <c r="R2397" s="11">
        <f t="shared" si="76"/>
        <v>3.670223724664456E-4</v>
      </c>
      <c r="Z2397" s="11">
        <f t="shared" si="75"/>
        <v>4.4842974691015761E-4</v>
      </c>
    </row>
    <row r="2398" spans="1:26" x14ac:dyDescent="0.2">
      <c r="A2398" s="45">
        <v>427</v>
      </c>
      <c r="B2398" s="45">
        <v>1995</v>
      </c>
      <c r="C2398" s="17">
        <v>0</v>
      </c>
      <c r="D2398" s="14">
        <v>-1.12432E-2</v>
      </c>
      <c r="E2398" s="14">
        <v>0.15128720000000001</v>
      </c>
      <c r="F2398" s="14">
        <v>2.4241800000000001E-2</v>
      </c>
      <c r="G2398" s="14">
        <v>0.83858180000000004</v>
      </c>
      <c r="H2398" s="14">
        <v>0.13698830000000001</v>
      </c>
      <c r="R2398" s="11">
        <f t="shared" si="76"/>
        <v>1.3470092224171263E-2</v>
      </c>
      <c r="Z2398" s="11">
        <f t="shared" si="75"/>
        <v>1.6923390880783106E-2</v>
      </c>
    </row>
    <row r="2399" spans="1:26" x14ac:dyDescent="0.2">
      <c r="A2399" s="45">
        <v>427</v>
      </c>
      <c r="B2399" s="45">
        <v>1996</v>
      </c>
      <c r="C2399" s="17">
        <v>0</v>
      </c>
      <c r="D2399" s="14">
        <v>1.6539E-3</v>
      </c>
      <c r="E2399" s="14">
        <v>0.14222370000000001</v>
      </c>
      <c r="F2399" s="14">
        <v>5.15971E-2</v>
      </c>
      <c r="G2399" s="14">
        <v>0.71853900000000004</v>
      </c>
      <c r="H2399" s="14">
        <v>0.14240729999999999</v>
      </c>
      <c r="R2399" s="11">
        <f t="shared" si="76"/>
        <v>1.3280874267946753E-2</v>
      </c>
      <c r="Z2399" s="11">
        <f t="shared" si="75"/>
        <v>1.7097578304973785E-2</v>
      </c>
    </row>
    <row r="2400" spans="1:26" x14ac:dyDescent="0.2">
      <c r="A2400" s="45">
        <v>427</v>
      </c>
      <c r="B2400" s="45">
        <v>1997</v>
      </c>
      <c r="C2400" s="17">
        <v>0</v>
      </c>
      <c r="D2400" s="14">
        <v>-4.4325999999999997E-2</v>
      </c>
      <c r="E2400" s="14">
        <v>0.1531805</v>
      </c>
      <c r="F2400" s="14">
        <v>5.1671099999999998E-2</v>
      </c>
      <c r="G2400" s="14">
        <v>1.028664</v>
      </c>
      <c r="H2400" s="14">
        <v>0.12456689999999999</v>
      </c>
      <c r="R2400" s="11">
        <f t="shared" si="76"/>
        <v>8.0117885492935366E-3</v>
      </c>
      <c r="Z2400" s="11">
        <f t="shared" si="75"/>
        <v>1.0264941803131271E-2</v>
      </c>
    </row>
    <row r="2401" spans="1:26" x14ac:dyDescent="0.2">
      <c r="A2401" s="45">
        <v>427</v>
      </c>
      <c r="B2401" s="45">
        <v>1998</v>
      </c>
      <c r="C2401" s="17">
        <v>0</v>
      </c>
      <c r="D2401" s="14">
        <v>-5.3468999999999999E-3</v>
      </c>
      <c r="E2401" s="14">
        <v>0.170241</v>
      </c>
      <c r="F2401" s="14">
        <v>6.8061099999999999E-2</v>
      </c>
      <c r="G2401" s="14">
        <v>1.77851</v>
      </c>
      <c r="H2401" s="14">
        <v>0.16771430000000001</v>
      </c>
      <c r="R2401" s="11">
        <f t="shared" si="76"/>
        <v>2.0875834810838317E-3</v>
      </c>
      <c r="Z2401" s="11">
        <f t="shared" si="75"/>
        <v>2.672520833767567E-3</v>
      </c>
    </row>
    <row r="2402" spans="1:26" x14ac:dyDescent="0.2">
      <c r="A2402" s="45">
        <v>427</v>
      </c>
      <c r="B2402" s="45">
        <v>1999</v>
      </c>
      <c r="C2402" s="17">
        <v>0</v>
      </c>
      <c r="D2402" s="14">
        <v>0.13475429999999999</v>
      </c>
      <c r="E2402" s="14">
        <v>0.2028527</v>
      </c>
      <c r="F2402" s="14">
        <v>3.5528700000000003E-2</v>
      </c>
      <c r="G2402" s="14">
        <v>2.0312049999999999</v>
      </c>
      <c r="H2402" s="14">
        <v>8.6182599999999998E-2</v>
      </c>
      <c r="R2402" s="11">
        <f t="shared" si="76"/>
        <v>1.7271721864667311E-3</v>
      </c>
      <c r="Z2402" s="11">
        <f t="shared" si="75"/>
        <v>2.1437482261514765E-3</v>
      </c>
    </row>
    <row r="2403" spans="1:26" x14ac:dyDescent="0.2">
      <c r="A2403" s="45">
        <v>427</v>
      </c>
      <c r="B2403" s="45">
        <v>2000</v>
      </c>
      <c r="C2403" s="17">
        <v>0</v>
      </c>
      <c r="D2403" s="14">
        <v>-7.1161000000000002E-3</v>
      </c>
      <c r="E2403" s="14">
        <v>0.26048739999999998</v>
      </c>
      <c r="F2403" s="14">
        <v>3.9342500000000002E-2</v>
      </c>
      <c r="G2403" s="14">
        <v>1.353102</v>
      </c>
      <c r="H2403" s="14">
        <v>0.14065659999999999</v>
      </c>
      <c r="R2403" s="11">
        <f t="shared" si="76"/>
        <v>4.5266826312084993E-3</v>
      </c>
      <c r="Z2403" s="11">
        <f t="shared" si="75"/>
        <v>5.7276440843233361E-3</v>
      </c>
    </row>
    <row r="2404" spans="1:26" x14ac:dyDescent="0.2">
      <c r="A2404" s="45">
        <v>428</v>
      </c>
      <c r="B2404" s="45">
        <v>1995</v>
      </c>
      <c r="C2404" s="17">
        <v>0</v>
      </c>
      <c r="D2404" s="14">
        <v>0.4239406</v>
      </c>
      <c r="E2404" s="14">
        <v>0.18414</v>
      </c>
      <c r="F2404" s="14">
        <v>5.2638699999999997E-2</v>
      </c>
      <c r="G2404" s="14">
        <v>0.35920279999999999</v>
      </c>
      <c r="H2404" s="14">
        <v>0.25307590000000002</v>
      </c>
      <c r="R2404" s="11">
        <f t="shared" si="76"/>
        <v>2.1780833652724225E-2</v>
      </c>
      <c r="Z2404" s="11">
        <f t="shared" si="75"/>
        <v>2.8249801994509473E-2</v>
      </c>
    </row>
    <row r="2405" spans="1:26" x14ac:dyDescent="0.2">
      <c r="A2405" s="45">
        <v>428</v>
      </c>
      <c r="B2405" s="45">
        <v>1996</v>
      </c>
      <c r="C2405" s="17">
        <v>0</v>
      </c>
      <c r="D2405" s="14">
        <v>0.46394150000000001</v>
      </c>
      <c r="E2405" s="14">
        <v>0.20428950000000001</v>
      </c>
      <c r="F2405" s="14">
        <v>5.3380400000000001E-2</v>
      </c>
      <c r="G2405" s="14">
        <v>0.4861589</v>
      </c>
      <c r="H2405" s="14">
        <v>0.26036130000000002</v>
      </c>
      <c r="R2405" s="11">
        <f t="shared" si="76"/>
        <v>1.725495208083553E-2</v>
      </c>
      <c r="Z2405" s="11">
        <f t="shared" si="75"/>
        <v>2.2377740023209466E-2</v>
      </c>
    </row>
    <row r="2406" spans="1:26" x14ac:dyDescent="0.2">
      <c r="A2406" s="45">
        <v>428</v>
      </c>
      <c r="B2406" s="45">
        <v>1997</v>
      </c>
      <c r="C2406" s="17">
        <v>0</v>
      </c>
      <c r="D2406" s="14">
        <v>0.397314</v>
      </c>
      <c r="E2406" s="14">
        <v>0.21640039999999999</v>
      </c>
      <c r="F2406" s="14">
        <v>5.93196E-2</v>
      </c>
      <c r="G2406" s="14">
        <v>0.78091270000000002</v>
      </c>
      <c r="H2406" s="14">
        <v>0.27414300000000003</v>
      </c>
      <c r="R2406" s="11">
        <f t="shared" si="76"/>
        <v>1.0180121822170094E-2</v>
      </c>
      <c r="Z2406" s="11">
        <f t="shared" si="75"/>
        <v>1.3215001770944973E-2</v>
      </c>
    </row>
    <row r="2407" spans="1:26" x14ac:dyDescent="0.2">
      <c r="A2407" s="45">
        <v>428</v>
      </c>
      <c r="B2407" s="45">
        <v>1998</v>
      </c>
      <c r="C2407" s="17">
        <v>0</v>
      </c>
      <c r="D2407" s="14">
        <v>0.42331649999999998</v>
      </c>
      <c r="E2407" s="14">
        <v>0.2084888</v>
      </c>
      <c r="F2407" s="14">
        <v>4.8545900000000003E-2</v>
      </c>
      <c r="G2407" s="14">
        <v>0.7589323</v>
      </c>
      <c r="H2407" s="14">
        <v>0.28880790000000001</v>
      </c>
      <c r="R2407" s="11">
        <f t="shared" si="76"/>
        <v>1.1608112349602785E-2</v>
      </c>
      <c r="Z2407" s="11">
        <f t="shared" si="75"/>
        <v>1.4934901167721649E-2</v>
      </c>
    </row>
    <row r="2408" spans="1:26" x14ac:dyDescent="0.2">
      <c r="A2408" s="45">
        <v>428</v>
      </c>
      <c r="B2408" s="45">
        <v>1999</v>
      </c>
      <c r="C2408" s="17">
        <v>0</v>
      </c>
      <c r="D2408" s="14">
        <v>0.32097330000000002</v>
      </c>
      <c r="E2408" s="14">
        <v>0.19187480000000001</v>
      </c>
      <c r="F2408" s="14">
        <v>4.5155899999999999E-2</v>
      </c>
      <c r="G2408" s="14">
        <v>0.49367440000000001</v>
      </c>
      <c r="H2408" s="14">
        <v>0.22660910000000001</v>
      </c>
      <c r="R2408" s="11">
        <f t="shared" si="76"/>
        <v>1.8516777474836241E-2</v>
      </c>
      <c r="Z2408" s="11">
        <f t="shared" si="75"/>
        <v>2.3833838862779646E-2</v>
      </c>
    </row>
    <row r="2409" spans="1:26" x14ac:dyDescent="0.2">
      <c r="A2409" s="45">
        <v>428</v>
      </c>
      <c r="B2409" s="45">
        <v>2000</v>
      </c>
      <c r="C2409" s="17">
        <v>0</v>
      </c>
      <c r="D2409" s="14">
        <v>0.3276365</v>
      </c>
      <c r="E2409" s="14">
        <v>0.2250086</v>
      </c>
      <c r="F2409" s="14">
        <v>6.6665600000000005E-2</v>
      </c>
      <c r="G2409" s="14">
        <v>0.51908969999999999</v>
      </c>
      <c r="H2409" s="14">
        <v>0.2433003</v>
      </c>
      <c r="R2409" s="11">
        <f t="shared" si="76"/>
        <v>1.4327773966590974E-2</v>
      </c>
      <c r="Z2409" s="11">
        <f t="shared" si="75"/>
        <v>1.8797495454895442E-2</v>
      </c>
    </row>
    <row r="2410" spans="1:26" x14ac:dyDescent="0.2">
      <c r="A2410" s="45">
        <v>428</v>
      </c>
      <c r="B2410" s="45">
        <v>2001</v>
      </c>
      <c r="C2410" s="17">
        <v>0</v>
      </c>
      <c r="D2410" s="14">
        <v>0.33193679999999998</v>
      </c>
      <c r="E2410" s="14">
        <v>0.22135089999999999</v>
      </c>
      <c r="F2410" s="14">
        <v>4.6996999999999997E-2</v>
      </c>
      <c r="G2410" s="14">
        <v>0.52615679999999998</v>
      </c>
      <c r="H2410" s="14">
        <v>0.25306099999999998</v>
      </c>
      <c r="R2410" s="11">
        <f t="shared" si="76"/>
        <v>1.6630650153896052E-2</v>
      </c>
      <c r="Z2410" s="11">
        <f t="shared" si="75"/>
        <v>2.1455778725059743E-2</v>
      </c>
    </row>
    <row r="2411" spans="1:26" x14ac:dyDescent="0.2">
      <c r="A2411" s="45">
        <v>428</v>
      </c>
      <c r="B2411" s="45">
        <v>2002</v>
      </c>
      <c r="C2411" s="17">
        <v>0</v>
      </c>
      <c r="D2411" s="14">
        <v>0.3424449</v>
      </c>
      <c r="E2411" s="14">
        <v>0.24396219999999999</v>
      </c>
      <c r="F2411" s="14">
        <v>3.99715E-2</v>
      </c>
      <c r="G2411" s="14">
        <v>0.76640750000000002</v>
      </c>
      <c r="H2411" s="14">
        <v>0.25231819999999999</v>
      </c>
      <c r="R2411" s="11">
        <f t="shared" si="76"/>
        <v>1.1666722263496734E-2</v>
      </c>
      <c r="Z2411" s="11">
        <f t="shared" si="75"/>
        <v>1.4921938252273217E-2</v>
      </c>
    </row>
    <row r="2412" spans="1:26" x14ac:dyDescent="0.2">
      <c r="A2412" s="45">
        <v>428</v>
      </c>
      <c r="B2412" s="45">
        <v>2003</v>
      </c>
      <c r="C2412" s="17">
        <v>0</v>
      </c>
      <c r="D2412" s="14">
        <v>0.36522779999999999</v>
      </c>
      <c r="E2412" s="14">
        <v>0.27114670000000002</v>
      </c>
      <c r="F2412" s="14">
        <v>6.0047400000000001E-2</v>
      </c>
      <c r="G2412" s="14">
        <v>1.192553</v>
      </c>
      <c r="H2412" s="14">
        <v>0.22124170000000001</v>
      </c>
      <c r="R2412" s="11">
        <f t="shared" si="76"/>
        <v>4.876216262786677E-3</v>
      </c>
      <c r="Z2412" s="11">
        <f t="shared" si="75"/>
        <v>6.2986408255203642E-3</v>
      </c>
    </row>
    <row r="2413" spans="1:26" x14ac:dyDescent="0.2">
      <c r="A2413" s="45">
        <v>428</v>
      </c>
      <c r="B2413" s="45">
        <v>2004</v>
      </c>
      <c r="C2413" s="17">
        <v>0</v>
      </c>
      <c r="D2413" s="14">
        <v>0.3173067</v>
      </c>
      <c r="E2413" s="14">
        <v>0.28263070000000001</v>
      </c>
      <c r="F2413" s="14">
        <v>4.3548900000000001E-2</v>
      </c>
      <c r="G2413" s="14">
        <v>1.442232</v>
      </c>
      <c r="H2413" s="14">
        <v>0.24856690000000001</v>
      </c>
      <c r="R2413" s="11">
        <f t="shared" si="76"/>
        <v>3.6801674440252834E-3</v>
      </c>
      <c r="Z2413" s="11">
        <f t="shared" si="75"/>
        <v>4.6680086288523933E-3</v>
      </c>
    </row>
    <row r="2414" spans="1:26" x14ac:dyDescent="0.2">
      <c r="A2414" s="45">
        <v>429</v>
      </c>
      <c r="B2414" s="45">
        <v>1995</v>
      </c>
      <c r="C2414" s="17">
        <v>0</v>
      </c>
      <c r="D2414" s="14">
        <v>0.3097992</v>
      </c>
      <c r="E2414" s="14">
        <v>0.52483849999999999</v>
      </c>
      <c r="F2414" s="14">
        <v>6.2930600000000003E-2</v>
      </c>
      <c r="G2414" s="14">
        <v>1.3841829999999999</v>
      </c>
      <c r="H2414" s="14">
        <v>0.36066749999999997</v>
      </c>
      <c r="R2414" s="11">
        <f t="shared" si="76"/>
        <v>2.4339229893396404E-3</v>
      </c>
      <c r="Z2414" s="11">
        <f t="shared" si="75"/>
        <v>3.1676889085353352E-3</v>
      </c>
    </row>
    <row r="2415" spans="1:26" x14ac:dyDescent="0.2">
      <c r="A2415" s="45">
        <v>429</v>
      </c>
      <c r="B2415" s="45">
        <v>1996</v>
      </c>
      <c r="C2415" s="17">
        <v>0</v>
      </c>
      <c r="D2415" s="14">
        <v>0.1844751</v>
      </c>
      <c r="E2415" s="14">
        <v>0.57540599999999997</v>
      </c>
      <c r="F2415" s="14">
        <v>5.1169800000000001E-2</v>
      </c>
      <c r="G2415" s="14">
        <v>1.962925</v>
      </c>
      <c r="H2415" s="14">
        <v>0.30570269999999999</v>
      </c>
      <c r="R2415" s="11">
        <f t="shared" si="76"/>
        <v>9.8927861398164733E-4</v>
      </c>
      <c r="Z2415" s="11">
        <f t="shared" si="75"/>
        <v>1.2617882308027112E-3</v>
      </c>
    </row>
    <row r="2416" spans="1:26" x14ac:dyDescent="0.2">
      <c r="A2416" s="45">
        <v>429</v>
      </c>
      <c r="B2416" s="45">
        <v>1997</v>
      </c>
      <c r="C2416" s="17">
        <v>0</v>
      </c>
      <c r="D2416" s="14">
        <v>0.2410313</v>
      </c>
      <c r="E2416" s="14">
        <v>0.62339869999999997</v>
      </c>
      <c r="F2416" s="14">
        <v>6.6888199999999995E-2</v>
      </c>
      <c r="G2416" s="14">
        <v>3.8910550000000002</v>
      </c>
      <c r="H2416" s="14">
        <v>0.33899190000000001</v>
      </c>
      <c r="R2416" s="11">
        <f t="shared" si="76"/>
        <v>3.7703633631190785E-5</v>
      </c>
      <c r="Z2416" s="11">
        <f t="shared" si="75"/>
        <v>4.6777337110683264E-5</v>
      </c>
    </row>
    <row r="2417" spans="1:26" x14ac:dyDescent="0.2">
      <c r="A2417" s="45">
        <v>429</v>
      </c>
      <c r="B2417" s="45">
        <v>1998</v>
      </c>
      <c r="C2417" s="17">
        <v>0</v>
      </c>
      <c r="D2417" s="14">
        <v>6.3658900000000004E-2</v>
      </c>
      <c r="E2417" s="14">
        <v>0.2497249</v>
      </c>
      <c r="F2417" s="14">
        <v>4.6088299999999999E-2</v>
      </c>
      <c r="G2417" s="14">
        <v>0.65593380000000001</v>
      </c>
      <c r="H2417" s="14">
        <v>0.2614262</v>
      </c>
      <c r="R2417" s="11">
        <f t="shared" si="76"/>
        <v>1.3118365515851039E-2</v>
      </c>
      <c r="Z2417" s="11">
        <f t="shared" si="75"/>
        <v>1.6898265205298229E-2</v>
      </c>
    </row>
    <row r="2418" spans="1:26" x14ac:dyDescent="0.2">
      <c r="A2418" s="45">
        <v>429</v>
      </c>
      <c r="B2418" s="45">
        <v>1999</v>
      </c>
      <c r="C2418" s="17">
        <v>0</v>
      </c>
      <c r="D2418" s="14">
        <v>6.2890399999999999E-2</v>
      </c>
      <c r="E2418" s="14">
        <v>0.35269929999999999</v>
      </c>
      <c r="F2418" s="14">
        <v>6.8974599999999997E-2</v>
      </c>
      <c r="G2418" s="14">
        <v>0.75909380000000004</v>
      </c>
      <c r="H2418" s="14">
        <v>0.29221520000000001</v>
      </c>
      <c r="R2418" s="11">
        <f t="shared" si="76"/>
        <v>8.0202916173631646E-3</v>
      </c>
      <c r="Z2418" s="11">
        <f t="shared" si="75"/>
        <v>1.0553638526238137E-2</v>
      </c>
    </row>
    <row r="2419" spans="1:26" x14ac:dyDescent="0.2">
      <c r="A2419" s="45">
        <v>430</v>
      </c>
      <c r="B2419" s="45">
        <v>1995</v>
      </c>
      <c r="C2419" s="17">
        <v>0</v>
      </c>
      <c r="D2419" s="14">
        <v>0.14246339999999999</v>
      </c>
      <c r="E2419" s="14">
        <v>0.35381669999999998</v>
      </c>
      <c r="F2419" s="14">
        <v>6.59106E-2</v>
      </c>
      <c r="G2419" s="14">
        <v>2.9072200000000001</v>
      </c>
      <c r="H2419" s="14">
        <v>0.34019100000000002</v>
      </c>
      <c r="R2419" s="11">
        <f t="shared" si="76"/>
        <v>2.6965838482089421E-4</v>
      </c>
      <c r="Z2419" s="11">
        <f t="shared" si="75"/>
        <v>3.3844523192122798E-4</v>
      </c>
    </row>
    <row r="2420" spans="1:26" x14ac:dyDescent="0.2">
      <c r="A2420" s="45">
        <v>430</v>
      </c>
      <c r="B2420" s="45">
        <v>1996</v>
      </c>
      <c r="C2420" s="17">
        <v>0</v>
      </c>
      <c r="D2420" s="14">
        <v>0.17593130000000001</v>
      </c>
      <c r="E2420" s="14">
        <v>0.39148850000000002</v>
      </c>
      <c r="F2420" s="14">
        <v>5.41523E-2</v>
      </c>
      <c r="G2420" s="14">
        <v>2.9993810000000001</v>
      </c>
      <c r="H2420" s="14">
        <v>0.3486264</v>
      </c>
      <c r="R2420" s="11">
        <f t="shared" si="76"/>
        <v>2.4215934325856291E-4</v>
      </c>
      <c r="Z2420" s="11">
        <f t="shared" si="75"/>
        <v>3.0079710063777334E-4</v>
      </c>
    </row>
    <row r="2421" spans="1:26" x14ac:dyDescent="0.2">
      <c r="A2421" s="45">
        <v>430</v>
      </c>
      <c r="B2421" s="45">
        <v>1997</v>
      </c>
      <c r="C2421" s="17">
        <v>0</v>
      </c>
      <c r="D2421" s="14">
        <v>0.18214530000000001</v>
      </c>
      <c r="E2421" s="14">
        <v>0.37337399999999998</v>
      </c>
      <c r="F2421" s="14">
        <v>5.2726599999999998E-2</v>
      </c>
      <c r="G2421" s="14">
        <v>2.4609779999999999</v>
      </c>
      <c r="H2421" s="14">
        <v>0.32549260000000002</v>
      </c>
      <c r="R2421" s="11">
        <f t="shared" si="76"/>
        <v>5.9287531139897603E-4</v>
      </c>
      <c r="Z2421" s="11">
        <f t="shared" si="75"/>
        <v>7.4381959036868292E-4</v>
      </c>
    </row>
    <row r="2422" spans="1:26" x14ac:dyDescent="0.2">
      <c r="A2422" s="45">
        <v>430</v>
      </c>
      <c r="B2422" s="45">
        <v>1998</v>
      </c>
      <c r="C2422" s="17">
        <v>0</v>
      </c>
      <c r="D2422" s="14">
        <v>0.1044746</v>
      </c>
      <c r="E2422" s="14">
        <v>0.32124730000000001</v>
      </c>
      <c r="F2422" s="14">
        <v>4.0792099999999998E-2</v>
      </c>
      <c r="G2422" s="14">
        <v>2.2516560000000001</v>
      </c>
      <c r="H2422" s="14">
        <v>0.31540309999999999</v>
      </c>
      <c r="R2422" s="11">
        <f t="shared" si="76"/>
        <v>9.8183889816910014E-4</v>
      </c>
      <c r="Z2422" s="11">
        <f t="shared" si="75"/>
        <v>1.223157920862762E-3</v>
      </c>
    </row>
    <row r="2423" spans="1:26" x14ac:dyDescent="0.2">
      <c r="A2423" s="45">
        <v>430</v>
      </c>
      <c r="B2423" s="45">
        <v>1999</v>
      </c>
      <c r="C2423" s="17">
        <v>0</v>
      </c>
      <c r="D2423" s="14">
        <v>0.1414832</v>
      </c>
      <c r="E2423" s="14">
        <v>0.34277449999999998</v>
      </c>
      <c r="F2423" s="14">
        <v>3.2851400000000003E-2</v>
      </c>
      <c r="G2423" s="14">
        <v>4.303382</v>
      </c>
      <c r="H2423" s="14">
        <v>0.26487050000000001</v>
      </c>
      <c r="R2423" s="11">
        <f t="shared" si="76"/>
        <v>3.8589083951915575E-5</v>
      </c>
      <c r="Z2423" s="11">
        <f t="shared" si="75"/>
        <v>4.5696198541005519E-5</v>
      </c>
    </row>
    <row r="2424" spans="1:26" x14ac:dyDescent="0.2">
      <c r="A2424" s="45">
        <v>430</v>
      </c>
      <c r="B2424" s="45">
        <v>2000</v>
      </c>
      <c r="C2424" s="17">
        <v>0</v>
      </c>
      <c r="D2424" s="14">
        <v>0.1194326</v>
      </c>
      <c r="E2424" s="14">
        <v>0.29157050000000001</v>
      </c>
      <c r="F2424" s="14">
        <v>3.29821E-2</v>
      </c>
      <c r="G2424" s="14">
        <v>1.890204</v>
      </c>
      <c r="H2424" s="14">
        <v>0.27719510000000003</v>
      </c>
      <c r="R2424" s="11">
        <f t="shared" si="76"/>
        <v>1.9393332237118679E-3</v>
      </c>
      <c r="Z2424" s="11">
        <f t="shared" si="75"/>
        <v>2.4167217548705048E-3</v>
      </c>
    </row>
    <row r="2425" spans="1:26" x14ac:dyDescent="0.2">
      <c r="A2425" s="45">
        <v>430</v>
      </c>
      <c r="B2425" s="45">
        <v>2001</v>
      </c>
      <c r="C2425" s="17">
        <v>0</v>
      </c>
      <c r="D2425" s="14">
        <v>0.24878710000000001</v>
      </c>
      <c r="E2425" s="14">
        <v>0.18669559999999999</v>
      </c>
      <c r="F2425" s="14">
        <v>2.8076199999999999E-2</v>
      </c>
      <c r="G2425" s="14">
        <v>1.7283390000000001</v>
      </c>
      <c r="H2425" s="14">
        <v>0.2547354</v>
      </c>
      <c r="R2425" s="11">
        <f t="shared" si="76"/>
        <v>3.0371623138580762E-3</v>
      </c>
      <c r="Z2425" s="11">
        <f t="shared" si="75"/>
        <v>3.7685275611330274E-3</v>
      </c>
    </row>
    <row r="2426" spans="1:26" x14ac:dyDescent="0.2">
      <c r="A2426" s="45">
        <v>430</v>
      </c>
      <c r="B2426" s="45">
        <v>2002</v>
      </c>
      <c r="C2426" s="17">
        <v>0</v>
      </c>
      <c r="D2426" s="14">
        <v>0.2624146</v>
      </c>
      <c r="E2426" s="14">
        <v>0.1059664</v>
      </c>
      <c r="F2426" s="14">
        <v>3.9822799999999998E-2</v>
      </c>
      <c r="G2426" s="14">
        <v>1.0336270000000001</v>
      </c>
      <c r="H2426" s="14">
        <v>0.29062139999999997</v>
      </c>
      <c r="R2426" s="11">
        <f t="shared" si="76"/>
        <v>9.3472612400584548E-3</v>
      </c>
      <c r="Z2426" s="11">
        <f t="shared" si="75"/>
        <v>1.1836899530542514E-2</v>
      </c>
    </row>
    <row r="2427" spans="1:26" x14ac:dyDescent="0.2">
      <c r="A2427" s="45">
        <v>430</v>
      </c>
      <c r="B2427" s="45">
        <v>2003</v>
      </c>
      <c r="C2427" s="17">
        <v>0</v>
      </c>
      <c r="D2427" s="14">
        <v>0.2914467</v>
      </c>
      <c r="E2427" s="14">
        <v>0.14056250000000001</v>
      </c>
      <c r="F2427" s="14">
        <v>4.23592E-2</v>
      </c>
      <c r="G2427" s="14">
        <v>1.7498320000000001</v>
      </c>
      <c r="H2427" s="14">
        <v>0.2766477</v>
      </c>
      <c r="R2427" s="11">
        <f t="shared" si="76"/>
        <v>2.8003319027490158E-3</v>
      </c>
      <c r="Z2427" s="11">
        <f t="shared" si="75"/>
        <v>3.5084535458198268E-3</v>
      </c>
    </row>
    <row r="2428" spans="1:26" x14ac:dyDescent="0.2">
      <c r="A2428" s="45">
        <v>431</v>
      </c>
      <c r="B2428" s="45">
        <v>1999</v>
      </c>
      <c r="C2428" s="17">
        <v>0</v>
      </c>
      <c r="D2428" s="14">
        <v>7.8319899999999998E-2</v>
      </c>
      <c r="E2428" s="14">
        <v>0.27727829999999998</v>
      </c>
      <c r="F2428" s="14">
        <v>6.4557299999999998E-2</v>
      </c>
      <c r="G2428" s="14">
        <v>1.892301</v>
      </c>
      <c r="H2428" s="14">
        <v>0.29902610000000002</v>
      </c>
      <c r="R2428" s="11">
        <f t="shared" si="76"/>
        <v>1.5336003443899293E-3</v>
      </c>
      <c r="Z2428" s="11">
        <f t="shared" si="75"/>
        <v>1.9602715245921692E-3</v>
      </c>
    </row>
    <row r="2429" spans="1:26" x14ac:dyDescent="0.2">
      <c r="A2429" s="45">
        <v>431</v>
      </c>
      <c r="B2429" s="45">
        <v>2000</v>
      </c>
      <c r="C2429" s="17">
        <v>0</v>
      </c>
      <c r="D2429" s="14">
        <v>4.4345500000000003E-2</v>
      </c>
      <c r="E2429" s="14">
        <v>0.28296070000000001</v>
      </c>
      <c r="F2429" s="14">
        <v>6.8904000000000007E-2</v>
      </c>
      <c r="G2429" s="14">
        <v>1.4798960000000001</v>
      </c>
      <c r="H2429" s="14">
        <v>0.43481170000000002</v>
      </c>
      <c r="R2429" s="11">
        <f t="shared" si="76"/>
        <v>2.8306112305916584E-3</v>
      </c>
      <c r="Z2429" s="11">
        <f t="shared" si="75"/>
        <v>3.6633898718090208E-3</v>
      </c>
    </row>
    <row r="2430" spans="1:26" x14ac:dyDescent="0.2">
      <c r="A2430" s="45">
        <v>431</v>
      </c>
      <c r="B2430" s="45">
        <v>2002</v>
      </c>
      <c r="C2430" s="17">
        <v>0</v>
      </c>
      <c r="D2430" s="14">
        <v>6.5760299999999994E-2</v>
      </c>
      <c r="E2430" s="14">
        <v>0.31522830000000002</v>
      </c>
      <c r="F2430" s="14">
        <v>5.2878000000000001E-2</v>
      </c>
      <c r="G2430" s="14">
        <v>1.7357750000000001</v>
      </c>
      <c r="H2430" s="14">
        <v>0.31736209999999998</v>
      </c>
      <c r="R2430" s="11">
        <f t="shared" si="76"/>
        <v>2.0437560714732855E-3</v>
      </c>
      <c r="Z2430" s="11">
        <f t="shared" si="75"/>
        <v>2.5994471983836784E-3</v>
      </c>
    </row>
    <row r="2431" spans="1:26" x14ac:dyDescent="0.2">
      <c r="A2431" s="45">
        <v>431</v>
      </c>
      <c r="B2431" s="45">
        <v>2003</v>
      </c>
      <c r="C2431" s="17">
        <v>0</v>
      </c>
      <c r="D2431" s="14">
        <v>8.7081099999999995E-2</v>
      </c>
      <c r="E2431" s="14">
        <v>0.3263336</v>
      </c>
      <c r="F2431" s="14">
        <v>5.4392299999999998E-2</v>
      </c>
      <c r="G2431" s="14">
        <v>2.1928070000000002</v>
      </c>
      <c r="H2431" s="14">
        <v>0.31994610000000001</v>
      </c>
      <c r="R2431" s="11">
        <f t="shared" si="76"/>
        <v>9.6010823549794145E-4</v>
      </c>
      <c r="Z2431" s="11">
        <f t="shared" si="75"/>
        <v>1.2112625592008502E-3</v>
      </c>
    </row>
    <row r="2432" spans="1:26" x14ac:dyDescent="0.2">
      <c r="A2432" s="45">
        <v>431</v>
      </c>
      <c r="B2432" s="45">
        <v>2004</v>
      </c>
      <c r="C2432" s="17">
        <v>0</v>
      </c>
      <c r="D2432" s="14">
        <v>0.10212499999999999</v>
      </c>
      <c r="E2432" s="14">
        <v>0.42508839999999998</v>
      </c>
      <c r="F2432" s="14">
        <v>7.5827699999999998E-2</v>
      </c>
      <c r="G2432" s="14">
        <v>2.6744189999999999</v>
      </c>
      <c r="H2432" s="14">
        <v>0.44159120000000002</v>
      </c>
      <c r="R2432" s="11">
        <f t="shared" si="76"/>
        <v>3.2542514379823066E-4</v>
      </c>
      <c r="Z2432" s="11">
        <f t="shared" si="75"/>
        <v>4.1489135206427858E-4</v>
      </c>
    </row>
    <row r="2433" spans="1:26" x14ac:dyDescent="0.2">
      <c r="A2433" s="45">
        <v>432</v>
      </c>
      <c r="B2433" s="45">
        <v>1996</v>
      </c>
      <c r="C2433" s="17">
        <v>0</v>
      </c>
      <c r="D2433" s="14">
        <v>0.2870859</v>
      </c>
      <c r="E2433" s="14">
        <v>2.5883900000000001E-2</v>
      </c>
      <c r="F2433" s="14">
        <v>5.8351399999999998E-2</v>
      </c>
      <c r="G2433" s="14">
        <v>0.89905630000000003</v>
      </c>
      <c r="H2433" s="14">
        <v>0.41666570000000003</v>
      </c>
      <c r="R2433" s="11">
        <f t="shared" si="76"/>
        <v>1.1199766979446584E-2</v>
      </c>
      <c r="Z2433" s="11">
        <f t="shared" si="75"/>
        <v>1.4392678961398044E-2</v>
      </c>
    </row>
    <row r="2434" spans="1:26" x14ac:dyDescent="0.2">
      <c r="A2434" s="45">
        <v>432</v>
      </c>
      <c r="B2434" s="45">
        <v>1997</v>
      </c>
      <c r="C2434" s="17">
        <v>0</v>
      </c>
      <c r="D2434" s="14">
        <v>0.28825970000000001</v>
      </c>
      <c r="E2434" s="14">
        <v>7.0641999999999996E-3</v>
      </c>
      <c r="F2434" s="14">
        <v>4.23264E-2</v>
      </c>
      <c r="G2434" s="14">
        <v>0.75677369999999999</v>
      </c>
      <c r="H2434" s="14">
        <v>0.41747990000000001</v>
      </c>
      <c r="R2434" s="11">
        <f t="shared" si="76"/>
        <v>1.6329632256886079E-2</v>
      </c>
      <c r="Z2434" s="11">
        <f t="shared" ref="Z2434:Z2497" si="77">1/(1+EXP(-(U$2+$V$2*E2434+$W$2*F2434+$X$2*G2434)))</f>
        <v>2.0736690381966658E-2</v>
      </c>
    </row>
    <row r="2435" spans="1:26" x14ac:dyDescent="0.2">
      <c r="A2435" s="45">
        <v>432</v>
      </c>
      <c r="B2435" s="45">
        <v>1998</v>
      </c>
      <c r="C2435" s="17">
        <v>0</v>
      </c>
      <c r="D2435" s="14">
        <v>0.2134305</v>
      </c>
      <c r="E2435" s="14">
        <v>6.1679100000000001E-2</v>
      </c>
      <c r="F2435" s="14">
        <v>5.7336199999999997E-2</v>
      </c>
      <c r="G2435" s="14">
        <v>1.2332920000000001</v>
      </c>
      <c r="H2435" s="14">
        <v>0.44877929999999999</v>
      </c>
      <c r="R2435" s="11">
        <f t="shared" si="76"/>
        <v>6.3233561602269945E-3</v>
      </c>
      <c r="Z2435" s="11">
        <f t="shared" si="77"/>
        <v>8.0814772825752463E-3</v>
      </c>
    </row>
    <row r="2436" spans="1:26" x14ac:dyDescent="0.2">
      <c r="A2436" s="45">
        <v>432</v>
      </c>
      <c r="B2436" s="45">
        <v>1999</v>
      </c>
      <c r="C2436" s="17">
        <v>0</v>
      </c>
      <c r="D2436" s="14">
        <v>0.20782200000000001</v>
      </c>
      <c r="E2436" s="14">
        <v>0.1504933</v>
      </c>
      <c r="F2436" s="14">
        <v>5.6423899999999999E-2</v>
      </c>
      <c r="G2436" s="14">
        <v>1.134598</v>
      </c>
      <c r="H2436" s="14">
        <v>0.38995180000000002</v>
      </c>
      <c r="R2436" s="11">
        <f t="shared" si="76"/>
        <v>6.549967409058559E-3</v>
      </c>
      <c r="Z2436" s="11">
        <f t="shared" si="77"/>
        <v>8.4077469347345803E-3</v>
      </c>
    </row>
    <row r="2437" spans="1:26" x14ac:dyDescent="0.2">
      <c r="A2437" s="45">
        <v>432</v>
      </c>
      <c r="B2437" s="45">
        <v>2000</v>
      </c>
      <c r="C2437" s="17">
        <v>0</v>
      </c>
      <c r="D2437" s="14">
        <v>0.11664919999999999</v>
      </c>
      <c r="E2437" s="14">
        <v>0.15064179999999999</v>
      </c>
      <c r="F2437" s="14">
        <v>5.7108699999999998E-2</v>
      </c>
      <c r="G2437" s="14">
        <v>1.4358919999999999</v>
      </c>
      <c r="H2437" s="14">
        <v>0.37750699999999998</v>
      </c>
      <c r="R2437" s="11">
        <f t="shared" si="76"/>
        <v>4.0396164006523466E-3</v>
      </c>
      <c r="Z2437" s="11">
        <f t="shared" si="77"/>
        <v>5.1578668312029768E-3</v>
      </c>
    </row>
    <row r="2438" spans="1:26" x14ac:dyDescent="0.2">
      <c r="A2438" s="45">
        <v>432</v>
      </c>
      <c r="B2438" s="45">
        <v>2001</v>
      </c>
      <c r="C2438" s="17">
        <v>0</v>
      </c>
      <c r="D2438" s="14">
        <v>0.1263271</v>
      </c>
      <c r="E2438" s="14">
        <v>0.19279099999999999</v>
      </c>
      <c r="F2438" s="14">
        <v>4.8882299999999997E-2</v>
      </c>
      <c r="G2438" s="14">
        <v>1.303909</v>
      </c>
      <c r="H2438" s="14">
        <v>0.36293350000000002</v>
      </c>
      <c r="R2438" s="11">
        <f t="shared" si="76"/>
        <v>5.0029464656860204E-3</v>
      </c>
      <c r="Z2438" s="11">
        <f t="shared" si="77"/>
        <v>6.3709966308232134E-3</v>
      </c>
    </row>
    <row r="2439" spans="1:26" x14ac:dyDescent="0.2">
      <c r="A2439" s="45">
        <v>432</v>
      </c>
      <c r="B2439" s="45">
        <v>2002</v>
      </c>
      <c r="C2439" s="17">
        <v>0</v>
      </c>
      <c r="D2439" s="14">
        <v>0.19738439999999999</v>
      </c>
      <c r="E2439" s="14">
        <v>4.9005300000000002E-2</v>
      </c>
      <c r="F2439" s="14">
        <v>5.7634100000000001E-2</v>
      </c>
      <c r="G2439" s="14">
        <v>0.72246069999999996</v>
      </c>
      <c r="H2439" s="14">
        <v>0.36236170000000001</v>
      </c>
      <c r="R2439" s="11">
        <f t="shared" si="76"/>
        <v>1.4385296650384639E-2</v>
      </c>
      <c r="Z2439" s="11">
        <f t="shared" si="77"/>
        <v>1.8543752827201831E-2</v>
      </c>
    </row>
    <row r="2440" spans="1:26" x14ac:dyDescent="0.2">
      <c r="A2440" s="45">
        <v>432</v>
      </c>
      <c r="B2440" s="45">
        <v>2003</v>
      </c>
      <c r="C2440" s="17">
        <v>0</v>
      </c>
      <c r="D2440" s="14">
        <v>0.1931332</v>
      </c>
      <c r="E2440" s="14">
        <v>0.154672</v>
      </c>
      <c r="F2440" s="14">
        <v>5.5725900000000002E-2</v>
      </c>
      <c r="G2440" s="14">
        <v>1.050036</v>
      </c>
      <c r="H2440" s="14">
        <v>0.32725650000000001</v>
      </c>
      <c r="R2440" s="11">
        <f t="shared" si="76"/>
        <v>7.4841260792191579E-3</v>
      </c>
      <c r="Z2440" s="11">
        <f t="shared" si="77"/>
        <v>9.6179439903359976E-3</v>
      </c>
    </row>
    <row r="2441" spans="1:26" x14ac:dyDescent="0.2">
      <c r="A2441" s="45">
        <v>432</v>
      </c>
      <c r="B2441" s="45">
        <v>2004</v>
      </c>
      <c r="C2441" s="17">
        <v>0</v>
      </c>
      <c r="D2441" s="14">
        <v>0.19178719999999999</v>
      </c>
      <c r="E2441" s="14">
        <v>0.22114700000000001</v>
      </c>
      <c r="F2441" s="14">
        <v>5.2720400000000001E-2</v>
      </c>
      <c r="G2441" s="14">
        <v>1.8921539999999999</v>
      </c>
      <c r="H2441" s="14">
        <v>0.34167969999999998</v>
      </c>
      <c r="R2441" s="11">
        <f t="shared" si="76"/>
        <v>1.8291593239005623E-3</v>
      </c>
      <c r="Z2441" s="11">
        <f t="shared" si="77"/>
        <v>2.3109127445831153E-3</v>
      </c>
    </row>
    <row r="2442" spans="1:26" x14ac:dyDescent="0.2">
      <c r="A2442" s="45">
        <v>433</v>
      </c>
      <c r="B2442" s="45">
        <v>1995</v>
      </c>
      <c r="C2442" s="17">
        <v>0</v>
      </c>
      <c r="D2442" s="14">
        <v>0.23292280000000001</v>
      </c>
      <c r="E2442" s="14">
        <v>-0.4407566</v>
      </c>
      <c r="F2442" s="14">
        <v>6.8524799999999997E-2</v>
      </c>
      <c r="G2442" s="14">
        <v>0.46617690000000001</v>
      </c>
      <c r="H2442" s="14">
        <v>0.2069114</v>
      </c>
      <c r="R2442" s="11">
        <f t="shared" si="76"/>
        <v>3.9405841056343927E-2</v>
      </c>
      <c r="Z2442" s="11">
        <f t="shared" si="77"/>
        <v>5.0321076067447276E-2</v>
      </c>
    </row>
    <row r="2443" spans="1:26" x14ac:dyDescent="0.2">
      <c r="A2443" s="45">
        <v>433</v>
      </c>
      <c r="B2443" s="45">
        <v>1996</v>
      </c>
      <c r="C2443" s="17">
        <v>0</v>
      </c>
      <c r="D2443" s="14">
        <v>0.19653470000000001</v>
      </c>
      <c r="E2443" s="14">
        <v>-0.46116000000000001</v>
      </c>
      <c r="F2443" s="14">
        <v>4.2300999999999998E-2</v>
      </c>
      <c r="G2443" s="14">
        <v>0.42693639999999999</v>
      </c>
      <c r="H2443" s="14">
        <v>0.23349809999999999</v>
      </c>
      <c r="R2443" s="11">
        <f t="shared" si="76"/>
        <v>5.2566793672753589E-2</v>
      </c>
      <c r="Z2443" s="11">
        <f t="shared" si="77"/>
        <v>6.5554915799975105E-2</v>
      </c>
    </row>
    <row r="2444" spans="1:26" x14ac:dyDescent="0.2">
      <c r="A2444" s="45">
        <v>433</v>
      </c>
      <c r="B2444" s="45">
        <v>1997</v>
      </c>
      <c r="C2444" s="17">
        <v>0</v>
      </c>
      <c r="D2444" s="14">
        <v>0.1990083</v>
      </c>
      <c r="E2444" s="14">
        <v>-0.53642480000000003</v>
      </c>
      <c r="F2444" s="14">
        <v>5.5804600000000003E-2</v>
      </c>
      <c r="G2444" s="14">
        <v>0.56179259999999998</v>
      </c>
      <c r="H2444" s="14">
        <v>0.22422980000000001</v>
      </c>
      <c r="R2444" s="11">
        <f t="shared" si="76"/>
        <v>4.2895017661791345E-2</v>
      </c>
      <c r="Z2444" s="11">
        <f t="shared" si="77"/>
        <v>5.3909532872079065E-2</v>
      </c>
    </row>
    <row r="2445" spans="1:26" x14ac:dyDescent="0.2">
      <c r="A2445" s="45">
        <v>433</v>
      </c>
      <c r="B2445" s="45">
        <v>1998</v>
      </c>
      <c r="C2445" s="17">
        <v>0</v>
      </c>
      <c r="D2445" s="14">
        <v>0.22453409999999999</v>
      </c>
      <c r="E2445" s="14">
        <v>-0.20416770000000001</v>
      </c>
      <c r="F2445" s="14">
        <v>7.76646E-2</v>
      </c>
      <c r="G2445" s="14">
        <v>0.77164600000000005</v>
      </c>
      <c r="H2445" s="14">
        <v>0.2028768</v>
      </c>
      <c r="R2445" s="11">
        <f t="shared" si="76"/>
        <v>1.6341889125627135E-2</v>
      </c>
      <c r="Z2445" s="11">
        <f t="shared" si="77"/>
        <v>2.119153318544565E-2</v>
      </c>
    </row>
    <row r="2446" spans="1:26" x14ac:dyDescent="0.2">
      <c r="A2446" s="45">
        <v>433</v>
      </c>
      <c r="B2446" s="45">
        <v>1999</v>
      </c>
      <c r="C2446" s="17">
        <v>0</v>
      </c>
      <c r="D2446" s="14">
        <v>0.25600509999999999</v>
      </c>
      <c r="E2446" s="14">
        <v>-0.1054583</v>
      </c>
      <c r="F2446" s="14">
        <v>5.1489500000000001E-2</v>
      </c>
      <c r="G2446" s="14">
        <v>1.026872</v>
      </c>
      <c r="H2446" s="14">
        <v>0.25963399999999998</v>
      </c>
      <c r="R2446" s="11">
        <f t="shared" si="76"/>
        <v>1.1676605092448212E-2</v>
      </c>
      <c r="Z2446" s="11">
        <f t="shared" si="77"/>
        <v>1.481334038797184E-2</v>
      </c>
    </row>
    <row r="2447" spans="1:26" x14ac:dyDescent="0.2">
      <c r="A2447" s="45">
        <v>433</v>
      </c>
      <c r="B2447" s="45">
        <v>2000</v>
      </c>
      <c r="C2447" s="17">
        <v>0</v>
      </c>
      <c r="D2447" s="14">
        <v>0.26285510000000001</v>
      </c>
      <c r="E2447" s="14">
        <v>-1.26289E-2</v>
      </c>
      <c r="F2447" s="14">
        <v>5.5804100000000002E-2</v>
      </c>
      <c r="G2447" s="14">
        <v>1.6029169999999999</v>
      </c>
      <c r="H2447" s="14">
        <v>0.20873449999999999</v>
      </c>
      <c r="R2447" s="11">
        <f t="shared" si="76"/>
        <v>3.9665139194809546E-3</v>
      </c>
      <c r="Z2447" s="11">
        <f t="shared" si="77"/>
        <v>5.0127746849977731E-3</v>
      </c>
    </row>
    <row r="2448" spans="1:26" x14ac:dyDescent="0.2">
      <c r="A2448" s="45">
        <v>433</v>
      </c>
      <c r="B2448" s="45">
        <v>2001</v>
      </c>
      <c r="C2448" s="17">
        <v>0</v>
      </c>
      <c r="D2448" s="14">
        <v>0.26775850000000001</v>
      </c>
      <c r="E2448" s="14">
        <v>3.53324E-2</v>
      </c>
      <c r="F2448" s="14">
        <v>6.2009500000000002E-2</v>
      </c>
      <c r="G2448" s="14">
        <v>1.0122059999999999</v>
      </c>
      <c r="H2448" s="14">
        <v>0.19015070000000001</v>
      </c>
      <c r="R2448" s="11">
        <f t="shared" si="76"/>
        <v>8.9784080750776162E-3</v>
      </c>
      <c r="Z2448" s="11">
        <f t="shared" si="77"/>
        <v>1.155491687353327E-2</v>
      </c>
    </row>
    <row r="2449" spans="1:26" x14ac:dyDescent="0.2">
      <c r="A2449" s="45">
        <v>434</v>
      </c>
      <c r="B2449" s="45">
        <v>2002</v>
      </c>
      <c r="C2449" s="17">
        <v>0</v>
      </c>
      <c r="D2449" s="14">
        <v>-3.4337399999999997E-2</v>
      </c>
      <c r="E2449" s="14">
        <v>3.69465E-2</v>
      </c>
      <c r="F2449" s="14">
        <v>2.9261300000000001E-2</v>
      </c>
      <c r="G2449" s="14">
        <v>0.47925509999999999</v>
      </c>
      <c r="H2449" s="14">
        <v>0.1210552</v>
      </c>
      <c r="R2449" s="11">
        <f t="shared" si="76"/>
        <v>2.6726790108340556E-2</v>
      </c>
      <c r="Z2449" s="11">
        <f t="shared" si="77"/>
        <v>3.3726639820659064E-2</v>
      </c>
    </row>
    <row r="2450" spans="1:26" x14ac:dyDescent="0.2">
      <c r="A2450" s="45">
        <v>434</v>
      </c>
      <c r="B2450" s="45">
        <v>2003</v>
      </c>
      <c r="C2450" s="17">
        <v>0</v>
      </c>
      <c r="D2450" s="14">
        <v>-6.94911E-2</v>
      </c>
      <c r="E2450" s="14">
        <v>-1.55405E-2</v>
      </c>
      <c r="F2450" s="14">
        <v>-2.3590699999999999E-2</v>
      </c>
      <c r="G2450" s="14">
        <v>0.31432450000000001</v>
      </c>
      <c r="H2450" s="14">
        <v>0.12821360000000001</v>
      </c>
      <c r="R2450" s="11">
        <f t="shared" si="76"/>
        <v>5.5562422599673505E-2</v>
      </c>
      <c r="Z2450" s="11">
        <f t="shared" si="77"/>
        <v>6.6936265071158033E-2</v>
      </c>
    </row>
    <row r="2451" spans="1:26" x14ac:dyDescent="0.2">
      <c r="A2451" s="45">
        <v>435</v>
      </c>
      <c r="B2451" s="45">
        <v>1995</v>
      </c>
      <c r="C2451" s="17">
        <v>0</v>
      </c>
      <c r="D2451" s="14">
        <v>-4.1207800000000003E-2</v>
      </c>
      <c r="E2451" s="14">
        <v>-0.18419759999999999</v>
      </c>
      <c r="F2451" s="14">
        <v>3.01255E-2</v>
      </c>
      <c r="G2451" s="14">
        <v>0.58802679999999996</v>
      </c>
      <c r="H2451" s="14">
        <v>0.28605750000000002</v>
      </c>
      <c r="R2451" s="11">
        <f t="shared" si="76"/>
        <v>3.065867769426741E-2</v>
      </c>
      <c r="Z2451" s="11">
        <f t="shared" si="77"/>
        <v>3.8304580244621911E-2</v>
      </c>
    </row>
    <row r="2452" spans="1:26" x14ac:dyDescent="0.2">
      <c r="A2452" s="45">
        <v>435</v>
      </c>
      <c r="B2452" s="45">
        <v>1996</v>
      </c>
      <c r="C2452" s="17">
        <v>0</v>
      </c>
      <c r="D2452" s="14">
        <v>-5.99803E-2</v>
      </c>
      <c r="E2452" s="14">
        <v>-8.3421300000000004E-2</v>
      </c>
      <c r="F2452" s="14">
        <v>3.0775E-2</v>
      </c>
      <c r="G2452" s="14">
        <v>0.51639360000000001</v>
      </c>
      <c r="H2452" s="14">
        <v>0.307172</v>
      </c>
      <c r="R2452" s="11">
        <f t="shared" si="76"/>
        <v>2.9561562747964627E-2</v>
      </c>
      <c r="Z2452" s="11">
        <f t="shared" si="77"/>
        <v>3.7142763876204361E-2</v>
      </c>
    </row>
    <row r="2453" spans="1:26" x14ac:dyDescent="0.2">
      <c r="A2453" s="45">
        <v>435</v>
      </c>
      <c r="B2453" s="45">
        <v>1997</v>
      </c>
      <c r="C2453" s="17">
        <v>0</v>
      </c>
      <c r="D2453" s="14">
        <v>-4.6001399999999998E-2</v>
      </c>
      <c r="E2453" s="14">
        <v>-0.1104031</v>
      </c>
      <c r="F2453" s="14">
        <v>5.4908699999999998E-2</v>
      </c>
      <c r="G2453" s="14">
        <v>0.57739079999999998</v>
      </c>
      <c r="H2453" s="14">
        <v>0.2876611</v>
      </c>
      <c r="R2453" s="11">
        <f t="shared" si="76"/>
        <v>2.3151034195442854E-2</v>
      </c>
      <c r="Z2453" s="11">
        <f t="shared" si="77"/>
        <v>2.9637148430999877E-2</v>
      </c>
    </row>
    <row r="2454" spans="1:26" x14ac:dyDescent="0.2">
      <c r="A2454" s="45">
        <v>435</v>
      </c>
      <c r="B2454" s="45">
        <v>1998</v>
      </c>
      <c r="C2454" s="17">
        <v>0</v>
      </c>
      <c r="D2454" s="14">
        <v>-0.1222748</v>
      </c>
      <c r="E2454" s="14">
        <v>-3.8411300000000002E-2</v>
      </c>
      <c r="F2454" s="14">
        <v>1.9500400000000001E-2</v>
      </c>
      <c r="G2454" s="14">
        <v>0.23538049999999999</v>
      </c>
      <c r="H2454" s="14">
        <v>0.24658089999999999</v>
      </c>
      <c r="R2454" s="11">
        <f t="shared" si="76"/>
        <v>4.6587675868173563E-2</v>
      </c>
      <c r="Z2454" s="11">
        <f t="shared" si="77"/>
        <v>5.8190258197488492E-2</v>
      </c>
    </row>
    <row r="2455" spans="1:26" x14ac:dyDescent="0.2">
      <c r="A2455" s="45">
        <v>435</v>
      </c>
      <c r="B2455" s="45">
        <v>1999</v>
      </c>
      <c r="C2455" s="17">
        <v>0</v>
      </c>
      <c r="D2455" s="14">
        <v>-0.1061909</v>
      </c>
      <c r="E2455" s="14">
        <v>-8.3788000000000005E-3</v>
      </c>
      <c r="F2455" s="14">
        <v>3.32941E-2</v>
      </c>
      <c r="G2455" s="14">
        <v>0.21257129999999999</v>
      </c>
      <c r="H2455" s="14">
        <v>0.26632699999999998</v>
      </c>
      <c r="R2455" s="11">
        <f t="shared" ref="R2455:R2518" si="78">1/(1+EXP(-(K$2+$M$2*E2455+$N$2*F2455+$O$2*G2455)))</f>
        <v>4.1631816989586984E-2</v>
      </c>
      <c r="Z2455" s="11">
        <f t="shared" si="77"/>
        <v>5.2704869010588483E-2</v>
      </c>
    </row>
    <row r="2456" spans="1:26" x14ac:dyDescent="0.2">
      <c r="A2456" s="45">
        <v>435</v>
      </c>
      <c r="B2456" s="45">
        <v>2000</v>
      </c>
      <c r="C2456" s="17">
        <v>0</v>
      </c>
      <c r="D2456" s="14">
        <v>-0.1059597</v>
      </c>
      <c r="E2456" s="14">
        <v>1.52154E-2</v>
      </c>
      <c r="F2456" s="14">
        <v>2.7847899999999998E-2</v>
      </c>
      <c r="G2456" s="14">
        <v>0.2827789</v>
      </c>
      <c r="H2456" s="14">
        <v>0.2888733</v>
      </c>
      <c r="R2456" s="11">
        <f t="shared" si="78"/>
        <v>3.7724475243372191E-2</v>
      </c>
      <c r="Z2456" s="11">
        <f t="shared" si="77"/>
        <v>4.7573872376450443E-2</v>
      </c>
    </row>
    <row r="2457" spans="1:26" x14ac:dyDescent="0.2">
      <c r="A2457" s="45">
        <v>435</v>
      </c>
      <c r="B2457" s="45">
        <v>2001</v>
      </c>
      <c r="C2457" s="17">
        <v>0</v>
      </c>
      <c r="D2457" s="14">
        <v>8.1911999999999992E-3</v>
      </c>
      <c r="E2457" s="14">
        <v>-2.3649E-2</v>
      </c>
      <c r="F2457" s="14">
        <v>5.2160000000000002E-3</v>
      </c>
      <c r="G2457" s="14">
        <v>0.1251882</v>
      </c>
      <c r="H2457" s="14">
        <v>0.1655914</v>
      </c>
      <c r="R2457" s="11">
        <f t="shared" si="78"/>
        <v>6.0069001406555772E-2</v>
      </c>
      <c r="Z2457" s="11">
        <f t="shared" si="77"/>
        <v>7.4160943876787511E-2</v>
      </c>
    </row>
    <row r="2458" spans="1:26" x14ac:dyDescent="0.2">
      <c r="A2458" s="45">
        <v>435</v>
      </c>
      <c r="B2458" s="45">
        <v>2002</v>
      </c>
      <c r="C2458" s="17">
        <v>0</v>
      </c>
      <c r="D2458" s="14">
        <v>-2.6938799999999999E-2</v>
      </c>
      <c r="E2458" s="14">
        <v>-0.16094320000000001</v>
      </c>
      <c r="F2458" s="14">
        <v>2.8590999999999998E-2</v>
      </c>
      <c r="G2458" s="14">
        <v>7.9917000000000002E-2</v>
      </c>
      <c r="H2458" s="14">
        <v>0.21362919999999999</v>
      </c>
      <c r="R2458" s="11">
        <f t="shared" si="78"/>
        <v>6.5038981387664868E-2</v>
      </c>
      <c r="Z2458" s="11">
        <f t="shared" si="77"/>
        <v>8.1344586827806598E-2</v>
      </c>
    </row>
    <row r="2459" spans="1:26" x14ac:dyDescent="0.2">
      <c r="A2459" s="45">
        <v>435</v>
      </c>
      <c r="B2459" s="45">
        <v>2003</v>
      </c>
      <c r="C2459" s="17">
        <v>0</v>
      </c>
      <c r="D2459" s="14">
        <v>1.75598E-2</v>
      </c>
      <c r="E2459" s="14">
        <v>-0.13261419999999999</v>
      </c>
      <c r="F2459" s="14">
        <v>3.1966599999999998E-2</v>
      </c>
      <c r="G2459" s="14">
        <v>9.8017300000000002E-2</v>
      </c>
      <c r="H2459" s="14">
        <v>0.20454149999999999</v>
      </c>
      <c r="R2459" s="11">
        <f t="shared" si="78"/>
        <v>5.9381486862745067E-2</v>
      </c>
      <c r="Z2459" s="11">
        <f t="shared" si="77"/>
        <v>7.4611809332500112E-2</v>
      </c>
    </row>
    <row r="2460" spans="1:26" x14ac:dyDescent="0.2">
      <c r="A2460" s="45">
        <v>435</v>
      </c>
      <c r="B2460" s="45">
        <v>2004</v>
      </c>
      <c r="C2460" s="17">
        <v>0</v>
      </c>
      <c r="D2460" s="14">
        <v>-3.9556800000000003E-2</v>
      </c>
      <c r="E2460" s="14">
        <v>-0.23446049999999999</v>
      </c>
      <c r="F2460" s="14">
        <v>2.2753000000000001E-3</v>
      </c>
      <c r="G2460" s="14">
        <v>8.0405299999999999E-2</v>
      </c>
      <c r="H2460" s="14">
        <v>0.22785710000000001</v>
      </c>
      <c r="R2460" s="11">
        <f t="shared" si="78"/>
        <v>8.7153272809670779E-2</v>
      </c>
      <c r="Z2460" s="11">
        <f t="shared" si="77"/>
        <v>0.10605371011783292</v>
      </c>
    </row>
    <row r="2461" spans="1:26" x14ac:dyDescent="0.2">
      <c r="A2461" s="45">
        <v>436</v>
      </c>
      <c r="B2461" s="45">
        <v>1998</v>
      </c>
      <c r="C2461" s="17">
        <v>0</v>
      </c>
      <c r="D2461" s="14">
        <v>0.1199622</v>
      </c>
      <c r="E2461" s="14">
        <v>0.60159949999999995</v>
      </c>
      <c r="F2461" s="14">
        <v>6.0892599999999998E-2</v>
      </c>
      <c r="G2461" s="14">
        <v>1.9468730000000001</v>
      </c>
      <c r="H2461" s="14">
        <v>0.27811190000000002</v>
      </c>
      <c r="R2461" s="11">
        <f t="shared" si="78"/>
        <v>9.0395776144523254E-4</v>
      </c>
      <c r="Z2461" s="11">
        <f t="shared" si="77"/>
        <v>1.1636603244956378E-3</v>
      </c>
    </row>
    <row r="2462" spans="1:26" x14ac:dyDescent="0.2">
      <c r="A2462" s="45">
        <v>437</v>
      </c>
      <c r="B2462" s="45">
        <v>1998</v>
      </c>
      <c r="C2462" s="17">
        <v>0</v>
      </c>
      <c r="D2462" s="14">
        <v>0.1968857</v>
      </c>
      <c r="E2462" s="14">
        <v>0.18610170000000001</v>
      </c>
      <c r="F2462" s="14">
        <v>2.2102799999999999E-2</v>
      </c>
      <c r="G2462" s="14">
        <v>0.26054100000000002</v>
      </c>
      <c r="H2462" s="14">
        <v>1.1903319999999999</v>
      </c>
      <c r="R2462" s="11">
        <f t="shared" si="78"/>
        <v>3.2106289045644346E-2</v>
      </c>
      <c r="Z2462" s="11">
        <f t="shared" si="77"/>
        <v>4.0614428805937283E-2</v>
      </c>
    </row>
    <row r="2463" spans="1:26" x14ac:dyDescent="0.2">
      <c r="A2463" s="45">
        <v>437</v>
      </c>
      <c r="B2463" s="45">
        <v>1999</v>
      </c>
      <c r="C2463" s="17">
        <v>0</v>
      </c>
      <c r="D2463" s="14">
        <v>0.19966390000000001</v>
      </c>
      <c r="E2463" s="14">
        <v>0.18943989999999999</v>
      </c>
      <c r="F2463" s="14">
        <v>5.1431600000000001E-2</v>
      </c>
      <c r="G2463" s="14">
        <v>0.1350384</v>
      </c>
      <c r="H2463" s="14">
        <v>1.1482429999999999</v>
      </c>
      <c r="R2463" s="11">
        <f t="shared" si="78"/>
        <v>3.0902541360496649E-2</v>
      </c>
      <c r="Z2463" s="11">
        <f t="shared" si="77"/>
        <v>4.0128711064864923E-2</v>
      </c>
    </row>
    <row r="2464" spans="1:26" x14ac:dyDescent="0.2">
      <c r="A2464" s="45">
        <v>437</v>
      </c>
      <c r="B2464" s="45">
        <v>2000</v>
      </c>
      <c r="C2464" s="17">
        <v>0</v>
      </c>
      <c r="D2464" s="14">
        <v>0.1437889</v>
      </c>
      <c r="E2464" s="14">
        <v>0.1923531</v>
      </c>
      <c r="F2464" s="14">
        <v>3.31715E-2</v>
      </c>
      <c r="G2464" s="14">
        <v>0.2191553</v>
      </c>
      <c r="H2464" s="14">
        <v>1.127111</v>
      </c>
      <c r="R2464" s="11">
        <f t="shared" si="78"/>
        <v>3.1136372723413918E-2</v>
      </c>
      <c r="Z2464" s="11">
        <f t="shared" si="77"/>
        <v>3.978574121429914E-2</v>
      </c>
    </row>
    <row r="2465" spans="1:26" x14ac:dyDescent="0.2">
      <c r="A2465" s="45">
        <v>437</v>
      </c>
      <c r="B2465" s="45">
        <v>2001</v>
      </c>
      <c r="C2465" s="17">
        <v>0</v>
      </c>
      <c r="D2465" s="14">
        <v>0.13519510000000001</v>
      </c>
      <c r="E2465" s="14">
        <v>0.1921022</v>
      </c>
      <c r="F2465" s="14">
        <v>5.3583199999999997E-2</v>
      </c>
      <c r="G2465" s="14">
        <v>0.50703600000000004</v>
      </c>
      <c r="H2465" s="14">
        <v>1.0006569999999999</v>
      </c>
      <c r="R2465" s="11">
        <f t="shared" si="78"/>
        <v>1.6966176309743057E-2</v>
      </c>
      <c r="Z2465" s="11">
        <f t="shared" si="77"/>
        <v>2.1989848536570496E-2</v>
      </c>
    </row>
    <row r="2466" spans="1:26" x14ac:dyDescent="0.2">
      <c r="A2466" s="45">
        <v>437</v>
      </c>
      <c r="B2466" s="45">
        <v>2002</v>
      </c>
      <c r="C2466" s="17">
        <v>0</v>
      </c>
      <c r="D2466" s="14">
        <v>0.18969939999999999</v>
      </c>
      <c r="E2466" s="14">
        <v>0.22726270000000001</v>
      </c>
      <c r="F2466" s="14">
        <v>5.2744199999999998E-2</v>
      </c>
      <c r="G2466" s="14">
        <v>0.1614805</v>
      </c>
      <c r="H2466" s="14">
        <v>0.96261839999999999</v>
      </c>
      <c r="R2466" s="11">
        <f t="shared" si="78"/>
        <v>2.7836945375671506E-2</v>
      </c>
      <c r="Z2466" s="11">
        <f t="shared" si="77"/>
        <v>3.6244508581785143E-2</v>
      </c>
    </row>
    <row r="2467" spans="1:26" x14ac:dyDescent="0.2">
      <c r="A2467" s="45">
        <v>437</v>
      </c>
      <c r="B2467" s="45">
        <v>2003</v>
      </c>
      <c r="C2467" s="17">
        <v>0</v>
      </c>
      <c r="D2467" s="14">
        <v>0.17616889999999999</v>
      </c>
      <c r="E2467" s="14">
        <v>0.27060299999999998</v>
      </c>
      <c r="F2467" s="14">
        <v>6.3284400000000005E-2</v>
      </c>
      <c r="G2467" s="14">
        <v>0.46345059999999999</v>
      </c>
      <c r="H2467" s="14">
        <v>1.1696169999999999</v>
      </c>
      <c r="R2467" s="11">
        <f t="shared" si="78"/>
        <v>1.5042682994791161E-2</v>
      </c>
      <c r="Z2467" s="11">
        <f t="shared" si="77"/>
        <v>1.9731283402899657E-2</v>
      </c>
    </row>
    <row r="2468" spans="1:26" x14ac:dyDescent="0.2">
      <c r="A2468" s="45">
        <v>437</v>
      </c>
      <c r="B2468" s="45">
        <v>2004</v>
      </c>
      <c r="C2468" s="17">
        <v>0</v>
      </c>
      <c r="D2468" s="14">
        <v>0.1797532</v>
      </c>
      <c r="E2468" s="14">
        <v>0.30370049999999998</v>
      </c>
      <c r="F2468" s="14">
        <v>6.12037E-2</v>
      </c>
      <c r="G2468" s="14">
        <v>0.89498900000000003</v>
      </c>
      <c r="H2468" s="14">
        <v>1.171133</v>
      </c>
      <c r="R2468" s="11">
        <f t="shared" si="78"/>
        <v>7.3850545694258895E-3</v>
      </c>
      <c r="Z2468" s="11">
        <f t="shared" si="77"/>
        <v>9.6140094825013182E-3</v>
      </c>
    </row>
    <row r="2469" spans="1:26" x14ac:dyDescent="0.2">
      <c r="A2469" s="45">
        <v>438</v>
      </c>
      <c r="B2469" s="45">
        <v>1997</v>
      </c>
      <c r="C2469" s="17">
        <v>0</v>
      </c>
      <c r="D2469" s="14">
        <v>1.7175699999999999E-2</v>
      </c>
      <c r="E2469" s="14">
        <v>3.01365E-2</v>
      </c>
      <c r="F2469" s="14">
        <v>5.92086E-2</v>
      </c>
      <c r="G2469" s="14">
        <v>3.334908</v>
      </c>
      <c r="H2469" s="14">
        <v>0.27819070000000001</v>
      </c>
      <c r="R2469" s="11">
        <f t="shared" si="78"/>
        <v>2.3041486414031041E-4</v>
      </c>
      <c r="Z2469" s="11">
        <f t="shared" si="77"/>
        <v>2.8177216495293506E-4</v>
      </c>
    </row>
    <row r="2470" spans="1:26" x14ac:dyDescent="0.2">
      <c r="A2470" s="45">
        <v>438</v>
      </c>
      <c r="B2470" s="45">
        <v>1998</v>
      </c>
      <c r="C2470" s="17">
        <v>0</v>
      </c>
      <c r="D2470" s="14">
        <v>9.0985700000000003E-2</v>
      </c>
      <c r="E2470" s="14">
        <v>0.13702439999999999</v>
      </c>
      <c r="F2470" s="14">
        <v>6.9197700000000001E-2</v>
      </c>
      <c r="G2470" s="14">
        <v>4.509398</v>
      </c>
      <c r="H2470" s="14">
        <v>0.27067439999999998</v>
      </c>
      <c r="R2470" s="11">
        <f t="shared" si="78"/>
        <v>2.802516272439682E-5</v>
      </c>
      <c r="Z2470" s="11">
        <f t="shared" si="77"/>
        <v>3.3796380358913697E-5</v>
      </c>
    </row>
    <row r="2471" spans="1:26" x14ac:dyDescent="0.2">
      <c r="A2471" s="45">
        <v>438</v>
      </c>
      <c r="B2471" s="45">
        <v>1999</v>
      </c>
      <c r="C2471" s="17">
        <v>0</v>
      </c>
      <c r="D2471" s="14">
        <v>1.3526699999999999E-2</v>
      </c>
      <c r="E2471" s="14">
        <v>4.4601200000000001E-2</v>
      </c>
      <c r="F2471" s="14">
        <v>4.7596800000000002E-2</v>
      </c>
      <c r="G2471" s="14">
        <v>1.976831</v>
      </c>
      <c r="H2471" s="14">
        <v>0.15922539999999999</v>
      </c>
      <c r="R2471" s="11">
        <f t="shared" si="78"/>
        <v>2.1517418840995258E-3</v>
      </c>
      <c r="Z2471" s="11">
        <f t="shared" si="77"/>
        <v>2.6855769250392261E-3</v>
      </c>
    </row>
    <row r="2472" spans="1:26" x14ac:dyDescent="0.2">
      <c r="A2472" s="45">
        <v>438</v>
      </c>
      <c r="B2472" s="45">
        <v>2000</v>
      </c>
      <c r="C2472" s="17">
        <v>0</v>
      </c>
      <c r="D2472" s="14">
        <v>0.1489038</v>
      </c>
      <c r="E2472" s="14">
        <v>0.1311232</v>
      </c>
      <c r="F2472" s="14">
        <v>7.9457799999999995E-2</v>
      </c>
      <c r="G2472" s="14">
        <v>3.8469609999999999</v>
      </c>
      <c r="H2472" s="14">
        <v>0.22877210000000001</v>
      </c>
      <c r="R2472" s="11">
        <f t="shared" si="78"/>
        <v>7.4830162937523771E-5</v>
      </c>
      <c r="Z2472" s="11">
        <f t="shared" si="77"/>
        <v>9.231954898161209E-5</v>
      </c>
    </row>
    <row r="2473" spans="1:26" x14ac:dyDescent="0.2">
      <c r="A2473" s="45">
        <v>438</v>
      </c>
      <c r="B2473" s="45">
        <v>2001</v>
      </c>
      <c r="C2473" s="17">
        <v>0</v>
      </c>
      <c r="D2473" s="14">
        <v>-8.2908499999999996E-2</v>
      </c>
      <c r="E2473" s="14">
        <v>9.5057100000000005E-2</v>
      </c>
      <c r="F2473" s="14">
        <v>5.5205900000000002E-2</v>
      </c>
      <c r="G2473" s="14">
        <v>2.7818710000000002</v>
      </c>
      <c r="H2473" s="14">
        <v>0.1672544</v>
      </c>
      <c r="R2473" s="11">
        <f t="shared" si="78"/>
        <v>5.2244922389319481E-4</v>
      </c>
      <c r="Z2473" s="11">
        <f t="shared" si="77"/>
        <v>6.4599758095827979E-4</v>
      </c>
    </row>
    <row r="2474" spans="1:26" x14ac:dyDescent="0.2">
      <c r="A2474" s="45">
        <v>438</v>
      </c>
      <c r="B2474" s="45">
        <v>2002</v>
      </c>
      <c r="C2474" s="17">
        <v>0</v>
      </c>
      <c r="D2474" s="14">
        <v>4.48017E-2</v>
      </c>
      <c r="E2474" s="14">
        <v>0.14654020000000001</v>
      </c>
      <c r="F2474" s="14">
        <v>5.8567800000000003E-2</v>
      </c>
      <c r="G2474" s="14">
        <v>1.475007</v>
      </c>
      <c r="H2474" s="14">
        <v>0.19274649999999999</v>
      </c>
      <c r="R2474" s="11">
        <f t="shared" si="78"/>
        <v>3.7749020515522608E-3</v>
      </c>
      <c r="Z2474" s="11">
        <f t="shared" si="77"/>
        <v>4.8211597038254018E-3</v>
      </c>
    </row>
    <row r="2475" spans="1:26" x14ac:dyDescent="0.2">
      <c r="A2475" s="45">
        <v>438</v>
      </c>
      <c r="B2475" s="45">
        <v>2003</v>
      </c>
      <c r="C2475" s="17">
        <v>0</v>
      </c>
      <c r="D2475" s="14">
        <v>8.1034800000000004E-2</v>
      </c>
      <c r="E2475" s="14">
        <v>0.13428319999999999</v>
      </c>
      <c r="F2475" s="14">
        <v>3.62945E-2</v>
      </c>
      <c r="G2475" s="14">
        <v>1.61009</v>
      </c>
      <c r="H2475" s="14">
        <v>0.1681841</v>
      </c>
      <c r="R2475" s="11">
        <f t="shared" si="78"/>
        <v>3.7030855995901358E-3</v>
      </c>
      <c r="Z2475" s="11">
        <f t="shared" si="77"/>
        <v>4.628697679745955E-3</v>
      </c>
    </row>
    <row r="2476" spans="1:26" x14ac:dyDescent="0.2">
      <c r="A2476" s="45">
        <v>439</v>
      </c>
      <c r="B2476" s="45">
        <v>1995</v>
      </c>
      <c r="C2476" s="17">
        <v>0</v>
      </c>
      <c r="D2476" s="14">
        <v>0.2035643</v>
      </c>
      <c r="E2476" s="14">
        <v>-0.73698680000000005</v>
      </c>
      <c r="F2476" s="14">
        <v>4.2724900000000003E-2</v>
      </c>
      <c r="G2476" s="14">
        <v>1.670291</v>
      </c>
      <c r="H2476" s="14">
        <v>0.39922259999999998</v>
      </c>
      <c r="R2476" s="11">
        <f t="shared" si="78"/>
        <v>1.1257409989211558E-2</v>
      </c>
      <c r="Z2476" s="11">
        <f t="shared" si="77"/>
        <v>1.369023801566179E-2</v>
      </c>
    </row>
    <row r="2477" spans="1:26" x14ac:dyDescent="0.2">
      <c r="A2477" s="45">
        <v>439</v>
      </c>
      <c r="B2477" s="45">
        <v>1996</v>
      </c>
      <c r="C2477" s="17">
        <v>0</v>
      </c>
      <c r="D2477" s="14">
        <v>0.29255569999999997</v>
      </c>
      <c r="E2477" s="14">
        <v>-0.50111870000000003</v>
      </c>
      <c r="F2477" s="14">
        <v>8.2877999999999993E-2</v>
      </c>
      <c r="G2477" s="14">
        <v>2.9141319999999999</v>
      </c>
      <c r="H2477" s="14">
        <v>0.40388869999999999</v>
      </c>
      <c r="R2477" s="11">
        <f t="shared" si="78"/>
        <v>8.0671797095622372E-4</v>
      </c>
      <c r="Z2477" s="11">
        <f t="shared" si="77"/>
        <v>9.9676100494540724E-4</v>
      </c>
    </row>
    <row r="2478" spans="1:26" x14ac:dyDescent="0.2">
      <c r="A2478" s="45">
        <v>440</v>
      </c>
      <c r="B2478" s="45">
        <v>1995</v>
      </c>
      <c r="C2478" s="17">
        <v>0</v>
      </c>
      <c r="D2478" s="14">
        <v>-7.0245600000000005E-2</v>
      </c>
      <c r="E2478" s="14">
        <v>0.22732540000000001</v>
      </c>
      <c r="F2478" s="14">
        <v>1.7645500000000001E-2</v>
      </c>
      <c r="G2478" s="14">
        <v>0.89087490000000003</v>
      </c>
      <c r="H2478" s="14">
        <v>0.10643370000000001</v>
      </c>
      <c r="R2478" s="11">
        <f t="shared" si="78"/>
        <v>1.1717875597626217E-2</v>
      </c>
      <c r="Z2478" s="11">
        <f t="shared" si="77"/>
        <v>1.4671424952401041E-2</v>
      </c>
    </row>
    <row r="2479" spans="1:26" x14ac:dyDescent="0.2">
      <c r="A2479" s="45">
        <v>440</v>
      </c>
      <c r="B2479" s="45">
        <v>1996</v>
      </c>
      <c r="C2479" s="17">
        <v>0</v>
      </c>
      <c r="D2479" s="14">
        <v>-3.6564899999999997E-2</v>
      </c>
      <c r="E2479" s="14">
        <v>0.23653920000000001</v>
      </c>
      <c r="F2479" s="14">
        <v>4.4510800000000003E-2</v>
      </c>
      <c r="G2479" s="14">
        <v>1.1084240000000001</v>
      </c>
      <c r="H2479" s="14">
        <v>0.1000108</v>
      </c>
      <c r="R2479" s="11">
        <f t="shared" si="78"/>
        <v>6.6278040552404981E-3</v>
      </c>
      <c r="Z2479" s="11">
        <f t="shared" si="77"/>
        <v>8.4550023479921296E-3</v>
      </c>
    </row>
    <row r="2480" spans="1:26" x14ac:dyDescent="0.2">
      <c r="A2480" s="45">
        <v>440</v>
      </c>
      <c r="B2480" s="45">
        <v>1997</v>
      </c>
      <c r="C2480" s="17">
        <v>0</v>
      </c>
      <c r="D2480" s="14">
        <v>-6.2907199999999996E-2</v>
      </c>
      <c r="E2480" s="14">
        <v>0.2432619</v>
      </c>
      <c r="F2480" s="14">
        <v>4.4996099999999997E-2</v>
      </c>
      <c r="G2480" s="14">
        <v>1.262124</v>
      </c>
      <c r="H2480" s="14">
        <v>0.1029219</v>
      </c>
      <c r="R2480" s="11">
        <f t="shared" si="78"/>
        <v>5.1253180708993908E-3</v>
      </c>
      <c r="Z2480" s="11">
        <f t="shared" si="77"/>
        <v>6.5231405139110892E-3</v>
      </c>
    </row>
    <row r="2481" spans="1:26" x14ac:dyDescent="0.2">
      <c r="A2481" s="45">
        <v>440</v>
      </c>
      <c r="B2481" s="45">
        <v>1998</v>
      </c>
      <c r="C2481" s="17">
        <v>0</v>
      </c>
      <c r="D2481" s="14">
        <v>-0.1460388</v>
      </c>
      <c r="E2481" s="14">
        <v>0.18441260000000001</v>
      </c>
      <c r="F2481" s="14">
        <v>2.59887E-2</v>
      </c>
      <c r="G2481" s="14">
        <v>1.0521240000000001</v>
      </c>
      <c r="H2481" s="14">
        <v>9.1901499999999997E-2</v>
      </c>
      <c r="R2481" s="11">
        <f t="shared" si="78"/>
        <v>9.0476625871998648E-3</v>
      </c>
      <c r="Z2481" s="11">
        <f t="shared" si="77"/>
        <v>1.1356274379895635E-2</v>
      </c>
    </row>
    <row r="2482" spans="1:26" x14ac:dyDescent="0.2">
      <c r="A2482" s="45">
        <v>440</v>
      </c>
      <c r="B2482" s="45">
        <v>1999</v>
      </c>
      <c r="C2482" s="17">
        <v>0</v>
      </c>
      <c r="D2482" s="14">
        <v>-0.1093939</v>
      </c>
      <c r="E2482" s="14">
        <v>0.18125430000000001</v>
      </c>
      <c r="F2482" s="14">
        <v>4.6288599999999999E-2</v>
      </c>
      <c r="G2482" s="14">
        <v>0.99535830000000003</v>
      </c>
      <c r="H2482" s="14">
        <v>9.4625200000000007E-2</v>
      </c>
      <c r="R2482" s="11">
        <f t="shared" si="78"/>
        <v>8.4635552695586907E-3</v>
      </c>
      <c r="Z2482" s="11">
        <f t="shared" si="77"/>
        <v>1.0813276685413195E-2</v>
      </c>
    </row>
    <row r="2483" spans="1:26" x14ac:dyDescent="0.2">
      <c r="A2483" s="45">
        <v>440</v>
      </c>
      <c r="B2483" s="45">
        <v>2000</v>
      </c>
      <c r="C2483" s="17">
        <v>0</v>
      </c>
      <c r="D2483" s="14">
        <v>-0.11787019999999999</v>
      </c>
      <c r="E2483" s="14">
        <v>0.17369789999999999</v>
      </c>
      <c r="F2483" s="14">
        <v>3.4512500000000002E-2</v>
      </c>
      <c r="G2483" s="14">
        <v>1.0044470000000001</v>
      </c>
      <c r="H2483" s="14">
        <v>0.1034689</v>
      </c>
      <c r="R2483" s="11">
        <f t="shared" si="78"/>
        <v>9.2596596587516435E-3</v>
      </c>
      <c r="Z2483" s="11">
        <f t="shared" si="77"/>
        <v>1.1710159360207936E-2</v>
      </c>
    </row>
    <row r="2484" spans="1:26" x14ac:dyDescent="0.2">
      <c r="A2484" s="45">
        <v>440</v>
      </c>
      <c r="B2484" s="45">
        <v>2001</v>
      </c>
      <c r="C2484" s="17">
        <v>0</v>
      </c>
      <c r="D2484" s="14">
        <v>-0.1302693</v>
      </c>
      <c r="E2484" s="14">
        <v>0.1559555</v>
      </c>
      <c r="F2484" s="14">
        <v>-6.3645000000000004E-3</v>
      </c>
      <c r="G2484" s="14">
        <v>0.79855220000000005</v>
      </c>
      <c r="H2484" s="14">
        <v>0.1073711</v>
      </c>
      <c r="R2484" s="11">
        <f t="shared" si="78"/>
        <v>1.812989026287028E-2</v>
      </c>
      <c r="Z2484" s="11">
        <f t="shared" si="77"/>
        <v>2.222173651142571E-2</v>
      </c>
    </row>
    <row r="2485" spans="1:26" x14ac:dyDescent="0.2">
      <c r="A2485" s="45">
        <v>440</v>
      </c>
      <c r="B2485" s="45">
        <v>2002</v>
      </c>
      <c r="C2485" s="17">
        <v>0</v>
      </c>
      <c r="D2485" s="14">
        <v>-9.8034200000000002E-2</v>
      </c>
      <c r="E2485" s="14">
        <v>0.1591535</v>
      </c>
      <c r="F2485" s="14">
        <v>3.92097E-2</v>
      </c>
      <c r="G2485" s="14">
        <v>0.70708329999999997</v>
      </c>
      <c r="H2485" s="14">
        <v>0.1090097</v>
      </c>
      <c r="R2485" s="11">
        <f t="shared" si="78"/>
        <v>1.4552494414634428E-2</v>
      </c>
      <c r="Z2485" s="11">
        <f t="shared" si="77"/>
        <v>1.8557172635675176E-2</v>
      </c>
    </row>
    <row r="2486" spans="1:26" x14ac:dyDescent="0.2">
      <c r="A2486" s="45">
        <v>440</v>
      </c>
      <c r="B2486" s="45">
        <v>2003</v>
      </c>
      <c r="C2486" s="17">
        <v>0</v>
      </c>
      <c r="D2486" s="14">
        <v>-6.7945000000000002E-3</v>
      </c>
      <c r="E2486" s="14">
        <v>0.17633080000000001</v>
      </c>
      <c r="F2486" s="14">
        <v>2.66185E-2</v>
      </c>
      <c r="G2486" s="14">
        <v>0.75211479999999997</v>
      </c>
      <c r="H2486" s="14">
        <v>0.101439</v>
      </c>
      <c r="R2486" s="11">
        <f t="shared" si="78"/>
        <v>1.4609676158329711E-2</v>
      </c>
      <c r="Z2486" s="11">
        <f t="shared" si="77"/>
        <v>1.843473988945463E-2</v>
      </c>
    </row>
    <row r="2487" spans="1:26" x14ac:dyDescent="0.2">
      <c r="A2487" s="45">
        <v>440</v>
      </c>
      <c r="B2487" s="45">
        <v>2004</v>
      </c>
      <c r="C2487" s="17">
        <v>0</v>
      </c>
      <c r="D2487" s="14">
        <v>-2.0249999999999999E-4</v>
      </c>
      <c r="E2487" s="14">
        <v>0.20327339999999999</v>
      </c>
      <c r="F2487" s="14">
        <v>3.4744799999999999E-2</v>
      </c>
      <c r="G2487" s="14">
        <v>0.97212589999999999</v>
      </c>
      <c r="H2487" s="14">
        <v>0.1086661</v>
      </c>
      <c r="R2487" s="11">
        <f t="shared" si="78"/>
        <v>9.3208209333682426E-3</v>
      </c>
      <c r="Z2487" s="11">
        <f t="shared" si="77"/>
        <v>1.180965202828653E-2</v>
      </c>
    </row>
    <row r="2488" spans="1:26" x14ac:dyDescent="0.2">
      <c r="A2488" s="45">
        <v>441</v>
      </c>
      <c r="B2488" s="45">
        <v>1995</v>
      </c>
      <c r="C2488" s="17">
        <v>0</v>
      </c>
      <c r="D2488" s="14">
        <v>6.6785899999999995E-2</v>
      </c>
      <c r="E2488" s="14">
        <v>0.1661376</v>
      </c>
      <c r="F2488" s="14">
        <v>7.5450000000000003E-2</v>
      </c>
      <c r="G2488" s="14">
        <v>0.84355239999999998</v>
      </c>
      <c r="H2488" s="14">
        <v>0.28357209999999999</v>
      </c>
      <c r="R2488" s="11">
        <f t="shared" si="78"/>
        <v>8.7245362125060177E-3</v>
      </c>
      <c r="Z2488" s="11">
        <f t="shared" si="77"/>
        <v>1.1444372324709833E-2</v>
      </c>
    </row>
    <row r="2489" spans="1:26" x14ac:dyDescent="0.2">
      <c r="A2489" s="45">
        <v>441</v>
      </c>
      <c r="B2489" s="45">
        <v>1996</v>
      </c>
      <c r="C2489" s="17">
        <v>0</v>
      </c>
      <c r="D2489" s="14">
        <v>7.2496900000000003E-2</v>
      </c>
      <c r="E2489" s="14">
        <v>0.11611340000000001</v>
      </c>
      <c r="F2489" s="14">
        <v>6.5792100000000006E-2</v>
      </c>
      <c r="G2489" s="14">
        <v>1.014022</v>
      </c>
      <c r="H2489" s="14">
        <v>0.22246099999999999</v>
      </c>
      <c r="R2489" s="11">
        <f t="shared" si="78"/>
        <v>7.7327940311725891E-3</v>
      </c>
      <c r="Z2489" s="11">
        <f t="shared" si="77"/>
        <v>1.0013064921527462E-2</v>
      </c>
    </row>
    <row r="2490" spans="1:26" x14ac:dyDescent="0.2">
      <c r="A2490" s="45">
        <v>441</v>
      </c>
      <c r="B2490" s="45">
        <v>1997</v>
      </c>
      <c r="C2490" s="17">
        <v>0</v>
      </c>
      <c r="D2490" s="14">
        <v>0.1326658</v>
      </c>
      <c r="E2490" s="14">
        <v>0.11796189999999999</v>
      </c>
      <c r="F2490" s="14">
        <v>5.8742099999999998E-2</v>
      </c>
      <c r="G2490" s="14">
        <v>1.199973</v>
      </c>
      <c r="H2490" s="14">
        <v>0.23503969999999999</v>
      </c>
      <c r="R2490" s="11">
        <f t="shared" si="78"/>
        <v>6.0770095401765957E-3</v>
      </c>
      <c r="Z2490" s="11">
        <f t="shared" si="77"/>
        <v>7.7966320685659424E-3</v>
      </c>
    </row>
    <row r="2491" spans="1:26" x14ac:dyDescent="0.2">
      <c r="A2491" s="45">
        <v>441</v>
      </c>
      <c r="B2491" s="45">
        <v>1998</v>
      </c>
      <c r="C2491" s="17">
        <v>0</v>
      </c>
      <c r="D2491" s="14">
        <v>0.1680546</v>
      </c>
      <c r="E2491" s="14">
        <v>0.1211015</v>
      </c>
      <c r="F2491" s="14">
        <v>4.8938799999999998E-2</v>
      </c>
      <c r="G2491" s="14">
        <v>0.78870059999999997</v>
      </c>
      <c r="H2491" s="14">
        <v>0.24653939999999999</v>
      </c>
      <c r="R2491" s="11">
        <f t="shared" si="78"/>
        <v>1.251920040952898E-2</v>
      </c>
      <c r="Z2491" s="11">
        <f t="shared" si="77"/>
        <v>1.6050190565823418E-2</v>
      </c>
    </row>
    <row r="2492" spans="1:26" x14ac:dyDescent="0.2">
      <c r="A2492" s="45">
        <v>441</v>
      </c>
      <c r="B2492" s="45">
        <v>1999</v>
      </c>
      <c r="C2492" s="17">
        <v>0</v>
      </c>
      <c r="D2492" s="14">
        <v>0.16046199999999999</v>
      </c>
      <c r="E2492" s="14">
        <v>0.1614806</v>
      </c>
      <c r="F2492" s="14">
        <v>5.7603099999999997E-2</v>
      </c>
      <c r="G2492" s="14">
        <v>0.91488769999999997</v>
      </c>
      <c r="H2492" s="14">
        <v>0.25237860000000001</v>
      </c>
      <c r="R2492" s="11">
        <f t="shared" si="78"/>
        <v>9.0401085131912324E-3</v>
      </c>
      <c r="Z2492" s="11">
        <f t="shared" si="77"/>
        <v>1.1666990790448929E-2</v>
      </c>
    </row>
    <row r="2493" spans="1:26" x14ac:dyDescent="0.2">
      <c r="A2493" s="45">
        <v>441</v>
      </c>
      <c r="B2493" s="45">
        <v>2000</v>
      </c>
      <c r="C2493" s="17">
        <v>0</v>
      </c>
      <c r="D2493" s="14">
        <v>0.1232731</v>
      </c>
      <c r="E2493" s="14">
        <v>0.19565080000000001</v>
      </c>
      <c r="F2493" s="14">
        <v>6.7057500000000006E-2</v>
      </c>
      <c r="G2493" s="14">
        <v>1.892401</v>
      </c>
      <c r="H2493" s="14">
        <v>0.27501959999999998</v>
      </c>
      <c r="R2493" s="11">
        <f t="shared" si="78"/>
        <v>1.6921312227769958E-3</v>
      </c>
      <c r="Z2493" s="11">
        <f t="shared" si="77"/>
        <v>2.1611931299666686E-3</v>
      </c>
    </row>
    <row r="2494" spans="1:26" x14ac:dyDescent="0.2">
      <c r="A2494" s="45">
        <v>441</v>
      </c>
      <c r="B2494" s="45">
        <v>2001</v>
      </c>
      <c r="C2494" s="17">
        <v>0</v>
      </c>
      <c r="D2494" s="14">
        <v>7.9629099999999994E-2</v>
      </c>
      <c r="E2494" s="14">
        <v>0.25395459999999997</v>
      </c>
      <c r="F2494" s="14">
        <v>6.8719199999999994E-2</v>
      </c>
      <c r="G2494" s="14">
        <v>2.9880260000000001</v>
      </c>
      <c r="H2494" s="14">
        <v>0.29996349999999999</v>
      </c>
      <c r="R2494" s="11">
        <f t="shared" si="78"/>
        <v>2.6803590967102407E-4</v>
      </c>
      <c r="Z2494" s="11">
        <f t="shared" si="77"/>
        <v>3.3543512421042133E-4</v>
      </c>
    </row>
    <row r="2495" spans="1:26" x14ac:dyDescent="0.2">
      <c r="A2495" s="45">
        <v>441</v>
      </c>
      <c r="B2495" s="45">
        <v>2003</v>
      </c>
      <c r="C2495" s="17">
        <v>0</v>
      </c>
      <c r="D2495" s="14">
        <v>0.17477999999999999</v>
      </c>
      <c r="E2495" s="14">
        <v>0.16040370000000001</v>
      </c>
      <c r="F2495" s="14">
        <v>3.7668199999999999E-2</v>
      </c>
      <c r="G2495" s="14">
        <v>0.97039220000000004</v>
      </c>
      <c r="H2495" s="14">
        <v>0.2317196</v>
      </c>
      <c r="R2495" s="11">
        <f t="shared" si="78"/>
        <v>9.7139749855677179E-3</v>
      </c>
      <c r="Z2495" s="11">
        <f t="shared" si="77"/>
        <v>1.2318217379649546E-2</v>
      </c>
    </row>
    <row r="2496" spans="1:26" x14ac:dyDescent="0.2">
      <c r="A2496" s="45">
        <v>441</v>
      </c>
      <c r="B2496" s="45">
        <v>2004</v>
      </c>
      <c r="C2496" s="17">
        <v>0</v>
      </c>
      <c r="D2496" s="14">
        <v>0.20884030000000001</v>
      </c>
      <c r="E2496" s="14">
        <v>-6.2304400000000003E-2</v>
      </c>
      <c r="F2496" s="14">
        <v>2.3867099999999999E-2</v>
      </c>
      <c r="G2496" s="14">
        <v>0.64584339999999996</v>
      </c>
      <c r="H2496" s="14">
        <v>0.26892179999999999</v>
      </c>
      <c r="R2496" s="11">
        <f t="shared" si="78"/>
        <v>2.4770698974643894E-2</v>
      </c>
      <c r="Z2496" s="11">
        <f t="shared" si="77"/>
        <v>3.0928401903445812E-2</v>
      </c>
    </row>
    <row r="2497" spans="1:26" x14ac:dyDescent="0.2">
      <c r="A2497" s="45">
        <v>442</v>
      </c>
      <c r="B2497" s="45">
        <v>1995</v>
      </c>
      <c r="C2497" s="17">
        <v>0</v>
      </c>
      <c r="D2497" s="14">
        <v>0.24896450000000001</v>
      </c>
      <c r="E2497" s="14">
        <v>0.24731020000000001</v>
      </c>
      <c r="F2497" s="14">
        <v>3.6323800000000003E-2</v>
      </c>
      <c r="G2497" s="14">
        <v>2.085636</v>
      </c>
      <c r="H2497" s="14">
        <v>0.25765919999999998</v>
      </c>
      <c r="R2497" s="11">
        <f t="shared" si="78"/>
        <v>1.4754963986532488E-3</v>
      </c>
      <c r="Z2497" s="11">
        <f t="shared" si="77"/>
        <v>1.833269048350211E-3</v>
      </c>
    </row>
    <row r="2498" spans="1:26" x14ac:dyDescent="0.2">
      <c r="A2498" s="45">
        <v>442</v>
      </c>
      <c r="B2498" s="45">
        <v>1996</v>
      </c>
      <c r="C2498" s="17">
        <v>0</v>
      </c>
      <c r="D2498" s="14">
        <v>0.29520730000000001</v>
      </c>
      <c r="E2498" s="14">
        <v>0.25668410000000003</v>
      </c>
      <c r="F2498" s="14">
        <v>4.8525600000000002E-2</v>
      </c>
      <c r="G2498" s="14">
        <v>3.5317949999999998</v>
      </c>
      <c r="H2498" s="14">
        <v>0.26482159999999999</v>
      </c>
      <c r="R2498" s="11">
        <f t="shared" si="78"/>
        <v>1.3192994008760968E-4</v>
      </c>
      <c r="Z2498" s="11">
        <f t="shared" ref="Z2498:Z2561" si="79">1/(1+EXP(-(U$2+$V$2*E2498+$W$2*F2498+$X$2*G2498)))</f>
        <v>1.6048233487064371E-4</v>
      </c>
    </row>
    <row r="2499" spans="1:26" x14ac:dyDescent="0.2">
      <c r="A2499" s="45">
        <v>442</v>
      </c>
      <c r="B2499" s="45">
        <v>1997</v>
      </c>
      <c r="C2499" s="17">
        <v>0</v>
      </c>
      <c r="D2499" s="14">
        <v>0.205345</v>
      </c>
      <c r="E2499" s="14">
        <v>0.2179989</v>
      </c>
      <c r="F2499" s="14">
        <v>5.2024999999999997E-3</v>
      </c>
      <c r="G2499" s="14">
        <v>2.1828630000000002</v>
      </c>
      <c r="H2499" s="14">
        <v>0.20223099999999999</v>
      </c>
      <c r="R2499" s="11">
        <f t="shared" si="78"/>
        <v>1.6911325929006259E-3</v>
      </c>
      <c r="Z2499" s="11">
        <f t="shared" si="79"/>
        <v>2.0418492623553801E-3</v>
      </c>
    </row>
    <row r="2500" spans="1:26" x14ac:dyDescent="0.2">
      <c r="A2500" s="45">
        <v>442</v>
      </c>
      <c r="B2500" s="45">
        <v>1998</v>
      </c>
      <c r="C2500" s="17">
        <v>0</v>
      </c>
      <c r="D2500" s="14">
        <v>0.194382</v>
      </c>
      <c r="E2500" s="14">
        <v>-0.17734549999999999</v>
      </c>
      <c r="F2500" s="14">
        <v>-1.27619E-2</v>
      </c>
      <c r="G2500" s="14">
        <v>2.8819910000000002</v>
      </c>
      <c r="H2500" s="14">
        <v>0.25753589999999998</v>
      </c>
      <c r="R2500" s="11">
        <f t="shared" si="78"/>
        <v>1.1392407653886497E-3</v>
      </c>
      <c r="Z2500" s="11">
        <f t="shared" si="79"/>
        <v>1.3169531631994911E-3</v>
      </c>
    </row>
    <row r="2501" spans="1:26" x14ac:dyDescent="0.2">
      <c r="A2501" s="45">
        <v>443</v>
      </c>
      <c r="B2501" s="45">
        <v>1997</v>
      </c>
      <c r="C2501" s="17">
        <v>0</v>
      </c>
      <c r="D2501" s="14">
        <v>0.1562017</v>
      </c>
      <c r="E2501" s="14">
        <v>0.15506320000000001</v>
      </c>
      <c r="F2501" s="14">
        <v>7.3236200000000001E-2</v>
      </c>
      <c r="G2501" s="14">
        <v>0.95646390000000003</v>
      </c>
      <c r="H2501" s="14">
        <v>0.2373239</v>
      </c>
      <c r="R2501" s="11">
        <f t="shared" si="78"/>
        <v>7.547389371864637E-3</v>
      </c>
      <c r="Z2501" s="11">
        <f t="shared" si="79"/>
        <v>9.8581285100991876E-3</v>
      </c>
    </row>
    <row r="2502" spans="1:26" x14ac:dyDescent="0.2">
      <c r="A2502" s="45">
        <v>443</v>
      </c>
      <c r="B2502" s="45">
        <v>1998</v>
      </c>
      <c r="C2502" s="17">
        <v>0</v>
      </c>
      <c r="D2502" s="14">
        <v>0.20804139999999999</v>
      </c>
      <c r="E2502" s="14">
        <v>0.25812449999999998</v>
      </c>
      <c r="F2502" s="14">
        <v>7.3835399999999995E-2</v>
      </c>
      <c r="G2502" s="14">
        <v>1.9852920000000001</v>
      </c>
      <c r="H2502" s="14">
        <v>0.33066719999999999</v>
      </c>
      <c r="R2502" s="11">
        <f t="shared" si="78"/>
        <v>1.2628023545709582E-3</v>
      </c>
      <c r="Z2502" s="11">
        <f t="shared" si="79"/>
        <v>1.6221731002001958E-3</v>
      </c>
    </row>
    <row r="2503" spans="1:26" x14ac:dyDescent="0.2">
      <c r="A2503" s="45">
        <v>443</v>
      </c>
      <c r="B2503" s="45">
        <v>1999</v>
      </c>
      <c r="C2503" s="17">
        <v>0</v>
      </c>
      <c r="D2503" s="14">
        <v>0.2440447</v>
      </c>
      <c r="E2503" s="14">
        <v>0.25359310000000002</v>
      </c>
      <c r="F2503" s="14">
        <v>7.90627E-2</v>
      </c>
      <c r="G2503" s="14">
        <v>1.6486890000000001</v>
      </c>
      <c r="H2503" s="14">
        <v>0.34891220000000001</v>
      </c>
      <c r="R2503" s="11">
        <f t="shared" si="78"/>
        <v>2.0827640125678859E-3</v>
      </c>
      <c r="Z2503" s="11">
        <f t="shared" si="79"/>
        <v>2.7058239236533964E-3</v>
      </c>
    </row>
    <row r="2504" spans="1:26" x14ac:dyDescent="0.2">
      <c r="A2504" s="45">
        <v>443</v>
      </c>
      <c r="B2504" s="45">
        <v>2000</v>
      </c>
      <c r="C2504" s="17">
        <v>0</v>
      </c>
      <c r="D2504" s="14">
        <v>0.19524749999999999</v>
      </c>
      <c r="E2504" s="14">
        <v>0.27354689999999998</v>
      </c>
      <c r="F2504" s="14">
        <v>8.0674599999999999E-2</v>
      </c>
      <c r="G2504" s="14">
        <v>1.371947</v>
      </c>
      <c r="H2504" s="14">
        <v>0.31662810000000002</v>
      </c>
      <c r="R2504" s="11">
        <f t="shared" si="78"/>
        <v>3.1011789003561759E-3</v>
      </c>
      <c r="Z2504" s="11">
        <f t="shared" si="79"/>
        <v>4.0602898381370449E-3</v>
      </c>
    </row>
    <row r="2505" spans="1:26" x14ac:dyDescent="0.2">
      <c r="A2505" s="45">
        <v>443</v>
      </c>
      <c r="B2505" s="45">
        <v>2001</v>
      </c>
      <c r="C2505" s="17">
        <v>0</v>
      </c>
      <c r="D2505" s="14">
        <v>0.21355959999999999</v>
      </c>
      <c r="E2505" s="14">
        <v>0.27874690000000002</v>
      </c>
      <c r="F2505" s="14">
        <v>5.9536100000000002E-2</v>
      </c>
      <c r="G2505" s="14">
        <v>2.1526869999999998</v>
      </c>
      <c r="H2505" s="14">
        <v>0.33721079999999998</v>
      </c>
      <c r="R2505" s="11">
        <f t="shared" si="78"/>
        <v>1.052512043757768E-3</v>
      </c>
      <c r="Z2505" s="11">
        <f t="shared" si="79"/>
        <v>1.3324138145542046E-3</v>
      </c>
    </row>
    <row r="2506" spans="1:26" x14ac:dyDescent="0.2">
      <c r="A2506" s="45">
        <v>443</v>
      </c>
      <c r="B2506" s="45">
        <v>2002</v>
      </c>
      <c r="C2506" s="17">
        <v>0</v>
      </c>
      <c r="D2506" s="14">
        <v>0.28179769999999998</v>
      </c>
      <c r="E2506" s="14">
        <v>0.42737910000000001</v>
      </c>
      <c r="F2506" s="14">
        <v>8.2391800000000001E-2</v>
      </c>
      <c r="G2506" s="14">
        <v>2.7550349999999999</v>
      </c>
      <c r="H2506" s="14">
        <v>0.36969570000000002</v>
      </c>
      <c r="R2506" s="11">
        <f t="shared" si="78"/>
        <v>2.7066467599695009E-4</v>
      </c>
      <c r="Z2506" s="11">
        <f t="shared" si="79"/>
        <v>3.4635440216503955E-4</v>
      </c>
    </row>
    <row r="2507" spans="1:26" x14ac:dyDescent="0.2">
      <c r="A2507" s="45">
        <v>443</v>
      </c>
      <c r="B2507" s="45">
        <v>2003</v>
      </c>
      <c r="C2507" s="17">
        <v>0</v>
      </c>
      <c r="D2507" s="14">
        <v>0.29500300000000002</v>
      </c>
      <c r="E2507" s="14">
        <v>0.34281099999999998</v>
      </c>
      <c r="F2507" s="14">
        <v>5.7611599999999999E-2</v>
      </c>
      <c r="G2507" s="14">
        <v>2.267963</v>
      </c>
      <c r="H2507" s="14">
        <v>0.31851770000000001</v>
      </c>
      <c r="R2507" s="11">
        <f t="shared" si="78"/>
        <v>8.1055377907970265E-4</v>
      </c>
      <c r="Z2507" s="11">
        <f t="shared" si="79"/>
        <v>1.0242095072280205E-3</v>
      </c>
    </row>
    <row r="2508" spans="1:26" x14ac:dyDescent="0.2">
      <c r="A2508" s="45">
        <v>443</v>
      </c>
      <c r="B2508" s="45">
        <v>2004</v>
      </c>
      <c r="C2508" s="17">
        <v>0</v>
      </c>
      <c r="D2508" s="14">
        <v>0.32729239999999998</v>
      </c>
      <c r="E2508" s="14">
        <v>0.44206050000000002</v>
      </c>
      <c r="F2508" s="14">
        <v>6.20244E-2</v>
      </c>
      <c r="G2508" s="14">
        <v>2.466809</v>
      </c>
      <c r="H2508" s="14">
        <v>0.3810074</v>
      </c>
      <c r="R2508" s="11">
        <f t="shared" si="78"/>
        <v>4.9351143744716592E-4</v>
      </c>
      <c r="Z2508" s="11">
        <f t="shared" si="79"/>
        <v>6.2529712445943747E-4</v>
      </c>
    </row>
    <row r="2509" spans="1:26" x14ac:dyDescent="0.2">
      <c r="A2509" s="45">
        <v>444</v>
      </c>
      <c r="B2509" s="45">
        <v>1999</v>
      </c>
      <c r="C2509" s="17">
        <v>0</v>
      </c>
      <c r="D2509" s="14">
        <v>-0.14430109999999999</v>
      </c>
      <c r="E2509" s="14">
        <v>5.84825E-2</v>
      </c>
      <c r="F2509" s="14">
        <v>2.39188E-2</v>
      </c>
      <c r="G2509" s="14">
        <v>0.3852293</v>
      </c>
      <c r="H2509" s="14">
        <v>9.9105399999999996E-2</v>
      </c>
      <c r="R2509" s="11">
        <f t="shared" si="78"/>
        <v>3.1257537895248884E-2</v>
      </c>
      <c r="Z2509" s="11">
        <f t="shared" si="79"/>
        <v>3.9336585474462761E-2</v>
      </c>
    </row>
    <row r="2510" spans="1:26" x14ac:dyDescent="0.2">
      <c r="A2510" s="45">
        <v>444</v>
      </c>
      <c r="B2510" s="45">
        <v>2000</v>
      </c>
      <c r="C2510" s="17">
        <v>0</v>
      </c>
      <c r="D2510" s="14">
        <v>-8.1420000000000006E-2</v>
      </c>
      <c r="E2510" s="14">
        <v>2.7994499999999999E-2</v>
      </c>
      <c r="F2510" s="14">
        <v>2.54909E-2</v>
      </c>
      <c r="G2510" s="14">
        <v>0.33394299999999999</v>
      </c>
      <c r="H2510" s="14">
        <v>0.13163530000000001</v>
      </c>
      <c r="R2510" s="11">
        <f t="shared" si="78"/>
        <v>3.4882862104043177E-2</v>
      </c>
      <c r="Z2510" s="11">
        <f t="shared" si="79"/>
        <v>4.3914127569098432E-2</v>
      </c>
    </row>
    <row r="2511" spans="1:26" x14ac:dyDescent="0.2">
      <c r="A2511" s="45">
        <v>444</v>
      </c>
      <c r="B2511" s="45">
        <v>2001</v>
      </c>
      <c r="C2511" s="17">
        <v>0</v>
      </c>
      <c r="D2511" s="14">
        <v>-1.3583899999999999E-2</v>
      </c>
      <c r="E2511" s="14">
        <v>3.48288E-2</v>
      </c>
      <c r="F2511" s="14">
        <v>3.9668299999999997E-2</v>
      </c>
      <c r="G2511" s="14">
        <v>0.25995600000000002</v>
      </c>
      <c r="H2511" s="14">
        <v>0.12168039999999999</v>
      </c>
      <c r="R2511" s="11">
        <f t="shared" si="78"/>
        <v>3.4700254348094636E-2</v>
      </c>
      <c r="Z2511" s="11">
        <f t="shared" si="79"/>
        <v>4.4253225495074197E-2</v>
      </c>
    </row>
    <row r="2512" spans="1:26" x14ac:dyDescent="0.2">
      <c r="A2512" s="45">
        <v>444</v>
      </c>
      <c r="B2512" s="45">
        <v>2002</v>
      </c>
      <c r="C2512" s="17">
        <v>0</v>
      </c>
      <c r="D2512" s="14">
        <v>-7.9489999999999997E-4</v>
      </c>
      <c r="E2512" s="14">
        <v>-1.13784E-2</v>
      </c>
      <c r="F2512" s="14">
        <v>3.2073299999999999E-2</v>
      </c>
      <c r="G2512" s="14">
        <v>0.15022269999999999</v>
      </c>
      <c r="H2512" s="14">
        <v>0.11880739999999999</v>
      </c>
      <c r="R2512" s="11">
        <f t="shared" si="78"/>
        <v>4.6402770597607911E-2</v>
      </c>
      <c r="Z2512" s="11">
        <f t="shared" si="79"/>
        <v>5.8681985058357332E-2</v>
      </c>
    </row>
    <row r="2513" spans="1:26" x14ac:dyDescent="0.2">
      <c r="A2513" s="45">
        <v>444</v>
      </c>
      <c r="B2513" s="45">
        <v>2003</v>
      </c>
      <c r="C2513" s="17">
        <v>0</v>
      </c>
      <c r="D2513" s="14">
        <v>2.5405199999999999E-2</v>
      </c>
      <c r="E2513" s="14">
        <v>-3.6577999999999999E-2</v>
      </c>
      <c r="F2513" s="14">
        <v>1.8848299999999998E-2</v>
      </c>
      <c r="G2513" s="14">
        <v>0.1914283</v>
      </c>
      <c r="H2513" s="14">
        <v>0.12490809999999999</v>
      </c>
      <c r="R2513" s="11">
        <f t="shared" si="78"/>
        <v>4.9920262759384805E-2</v>
      </c>
      <c r="Z2513" s="11">
        <f t="shared" si="79"/>
        <v>6.2327580347616582E-2</v>
      </c>
    </row>
    <row r="2514" spans="1:26" x14ac:dyDescent="0.2">
      <c r="A2514" s="45">
        <v>444</v>
      </c>
      <c r="B2514" s="45">
        <v>2004</v>
      </c>
      <c r="C2514" s="17">
        <v>0</v>
      </c>
      <c r="D2514" s="14">
        <v>6.0865000000000002E-2</v>
      </c>
      <c r="E2514" s="14">
        <v>-2.48998E-2</v>
      </c>
      <c r="F2514" s="14">
        <v>3.7248799999999999E-2</v>
      </c>
      <c r="G2514" s="14">
        <v>0.24883749999999999</v>
      </c>
      <c r="H2514" s="14">
        <v>0.1304274</v>
      </c>
      <c r="R2514" s="11">
        <f t="shared" si="78"/>
        <v>3.9099058635528636E-2</v>
      </c>
      <c r="Z2514" s="11">
        <f t="shared" si="79"/>
        <v>4.9621708008271766E-2</v>
      </c>
    </row>
    <row r="2515" spans="1:26" x14ac:dyDescent="0.2">
      <c r="A2515" s="45">
        <v>445</v>
      </c>
      <c r="B2515" s="45">
        <v>2000</v>
      </c>
      <c r="C2515" s="17">
        <v>0</v>
      </c>
      <c r="D2515" s="14">
        <v>-7.7479999999999997E-3</v>
      </c>
      <c r="E2515" s="14">
        <v>0.15682280000000001</v>
      </c>
      <c r="F2515" s="14">
        <v>4.9995100000000001E-2</v>
      </c>
      <c r="G2515" s="14">
        <v>0.51710020000000001</v>
      </c>
      <c r="H2515" s="14">
        <v>0.184721</v>
      </c>
      <c r="R2515" s="11">
        <f t="shared" si="78"/>
        <v>1.8066545205269856E-2</v>
      </c>
      <c r="Z2515" s="11">
        <f t="shared" si="79"/>
        <v>2.3308539203157678E-2</v>
      </c>
    </row>
    <row r="2516" spans="1:26" x14ac:dyDescent="0.2">
      <c r="A2516" s="45">
        <v>445</v>
      </c>
      <c r="B2516" s="45">
        <v>2001</v>
      </c>
      <c r="C2516" s="17">
        <v>0</v>
      </c>
      <c r="D2516" s="14">
        <v>7.5389800000000007E-2</v>
      </c>
      <c r="E2516" s="14">
        <v>0.15933130000000001</v>
      </c>
      <c r="F2516" s="14">
        <v>6.4717899999999995E-2</v>
      </c>
      <c r="G2516" s="14">
        <v>0.43472670000000002</v>
      </c>
      <c r="H2516" s="14">
        <v>0.16649410000000001</v>
      </c>
      <c r="R2516" s="11">
        <f t="shared" si="78"/>
        <v>1.8242188744169142E-2</v>
      </c>
      <c r="Z2516" s="11">
        <f t="shared" si="79"/>
        <v>2.3857060152823111E-2</v>
      </c>
    </row>
    <row r="2517" spans="1:26" x14ac:dyDescent="0.2">
      <c r="A2517" s="45">
        <v>445</v>
      </c>
      <c r="B2517" s="45">
        <v>2002</v>
      </c>
      <c r="C2517" s="17">
        <v>0</v>
      </c>
      <c r="D2517" s="14">
        <v>1.35005E-2</v>
      </c>
      <c r="E2517" s="14">
        <v>0.12918869999999999</v>
      </c>
      <c r="F2517" s="14">
        <v>5.1629300000000003E-2</v>
      </c>
      <c r="G2517" s="14">
        <v>0.4385135</v>
      </c>
      <c r="H2517" s="14">
        <v>0.12804560000000001</v>
      </c>
      <c r="R2517" s="11">
        <f t="shared" si="78"/>
        <v>2.0977219561681082E-2</v>
      </c>
      <c r="Z2517" s="11">
        <f t="shared" si="79"/>
        <v>2.7096395964710959E-2</v>
      </c>
    </row>
    <row r="2518" spans="1:26" x14ac:dyDescent="0.2">
      <c r="A2518" s="45">
        <v>445</v>
      </c>
      <c r="B2518" s="45">
        <v>2003</v>
      </c>
      <c r="C2518" s="17">
        <v>0</v>
      </c>
      <c r="D2518" s="14">
        <v>3.6633800000000001E-2</v>
      </c>
      <c r="E2518" s="14">
        <v>0.12942409999999999</v>
      </c>
      <c r="F2518" s="14">
        <v>3.72129E-2</v>
      </c>
      <c r="G2518" s="14">
        <v>0.41999839999999999</v>
      </c>
      <c r="H2518" s="14">
        <v>0.14042650000000001</v>
      </c>
      <c r="R2518" s="11">
        <f t="shared" si="78"/>
        <v>2.4159135735002762E-2</v>
      </c>
      <c r="Z2518" s="11">
        <f t="shared" si="79"/>
        <v>3.0834396431142091E-2</v>
      </c>
    </row>
    <row r="2519" spans="1:26" x14ac:dyDescent="0.2">
      <c r="A2519" s="45">
        <v>445</v>
      </c>
      <c r="B2519" s="45">
        <v>2004</v>
      </c>
      <c r="C2519" s="17">
        <v>0</v>
      </c>
      <c r="D2519" s="14">
        <v>7.3092799999999999E-2</v>
      </c>
      <c r="E2519" s="14">
        <v>0.13807530000000001</v>
      </c>
      <c r="F2519" s="14">
        <v>4.55261E-2</v>
      </c>
      <c r="G2519" s="14">
        <v>0.5136752</v>
      </c>
      <c r="H2519" s="14">
        <v>0.16093679999999999</v>
      </c>
      <c r="R2519" s="11">
        <f t="shared" ref="R2519:R2582" si="80">1/(1+EXP(-(K$2+$M$2*E2519+$N$2*F2519+$O$2*G2519)))</f>
        <v>1.9322062359446682E-2</v>
      </c>
      <c r="Z2519" s="11">
        <f t="shared" si="79"/>
        <v>2.4816514317421799E-2</v>
      </c>
    </row>
    <row r="2520" spans="1:26" x14ac:dyDescent="0.2">
      <c r="A2520" s="45">
        <v>446</v>
      </c>
      <c r="B2520" s="45">
        <v>1995</v>
      </c>
      <c r="C2520" s="17">
        <v>0</v>
      </c>
      <c r="D2520" s="14">
        <v>9.8277E-3</v>
      </c>
      <c r="E2520" s="14">
        <v>0.3807739</v>
      </c>
      <c r="F2520" s="14">
        <v>5.0300900000000003E-2</v>
      </c>
      <c r="G2520" s="14">
        <v>1.6744239999999999</v>
      </c>
      <c r="H2520" s="14">
        <v>0.2168503</v>
      </c>
      <c r="R2520" s="11">
        <f t="shared" si="80"/>
        <v>2.0913712079785969E-3</v>
      </c>
      <c r="Z2520" s="11">
        <f t="shared" si="79"/>
        <v>2.663917352848464E-3</v>
      </c>
    </row>
    <row r="2521" spans="1:26" x14ac:dyDescent="0.2">
      <c r="A2521" s="45">
        <v>446</v>
      </c>
      <c r="B2521" s="45">
        <v>1996</v>
      </c>
      <c r="C2521" s="17">
        <v>0</v>
      </c>
      <c r="D2521" s="14">
        <v>-2.7060899999999999E-2</v>
      </c>
      <c r="E2521" s="14">
        <v>0.38678069999999998</v>
      </c>
      <c r="F2521" s="14">
        <v>7.0615399999999995E-2</v>
      </c>
      <c r="G2521" s="14">
        <v>1.972056</v>
      </c>
      <c r="H2521" s="14">
        <v>0.2340208</v>
      </c>
      <c r="R2521" s="11">
        <f t="shared" si="80"/>
        <v>1.0977686108447351E-3</v>
      </c>
      <c r="Z2521" s="11">
        <f t="shared" si="79"/>
        <v>1.4131467108422276E-3</v>
      </c>
    </row>
    <row r="2522" spans="1:26" x14ac:dyDescent="0.2">
      <c r="A2522" s="45">
        <v>446</v>
      </c>
      <c r="B2522" s="45">
        <v>1997</v>
      </c>
      <c r="C2522" s="17">
        <v>0</v>
      </c>
      <c r="D2522" s="14">
        <v>1.2105299999999999E-2</v>
      </c>
      <c r="E2522" s="14">
        <v>0.43492029999999998</v>
      </c>
      <c r="F2522" s="14">
        <v>7.3487300000000005E-2</v>
      </c>
      <c r="G2522" s="14">
        <v>3.3669959999999999</v>
      </c>
      <c r="H2522" s="14">
        <v>0.23537949999999999</v>
      </c>
      <c r="R2522" s="11">
        <f t="shared" si="80"/>
        <v>1.084281804895729E-4</v>
      </c>
      <c r="Z2522" s="11">
        <f t="shared" si="79"/>
        <v>1.3593833324578356E-4</v>
      </c>
    </row>
    <row r="2523" spans="1:26" x14ac:dyDescent="0.2">
      <c r="A2523" s="45">
        <v>446</v>
      </c>
      <c r="B2523" s="45">
        <v>1998</v>
      </c>
      <c r="C2523" s="17">
        <v>0</v>
      </c>
      <c r="D2523" s="14">
        <v>1.449E-3</v>
      </c>
      <c r="E2523" s="14">
        <v>0.50909340000000003</v>
      </c>
      <c r="F2523" s="14">
        <v>7.1861700000000001E-2</v>
      </c>
      <c r="G2523" s="14">
        <v>3.2867459999999999</v>
      </c>
      <c r="H2523" s="14">
        <v>0.25365690000000002</v>
      </c>
      <c r="R2523" s="11">
        <f t="shared" si="80"/>
        <v>1.1207007752688451E-4</v>
      </c>
      <c r="Z2523" s="11">
        <f t="shared" si="79"/>
        <v>1.4092297144973655E-4</v>
      </c>
    </row>
    <row r="2524" spans="1:26" x14ac:dyDescent="0.2">
      <c r="A2524" s="45">
        <v>446</v>
      </c>
      <c r="B2524" s="45">
        <v>1999</v>
      </c>
      <c r="C2524" s="17">
        <v>0</v>
      </c>
      <c r="D2524" s="14">
        <v>5.9794000000000002E-3</v>
      </c>
      <c r="E2524" s="14">
        <v>0.48351909999999998</v>
      </c>
      <c r="F2524" s="14">
        <v>9.51182E-2</v>
      </c>
      <c r="G2524" s="14">
        <v>4.1291029999999997</v>
      </c>
      <c r="H2524" s="14">
        <v>0.29281040000000003</v>
      </c>
      <c r="R2524" s="11">
        <f t="shared" si="80"/>
        <v>2.5228931490961916E-5</v>
      </c>
      <c r="Z2524" s="11">
        <f t="shared" si="79"/>
        <v>3.1713414878977018E-5</v>
      </c>
    </row>
    <row r="2525" spans="1:26" x14ac:dyDescent="0.2">
      <c r="A2525" s="45">
        <v>446</v>
      </c>
      <c r="B2525" s="45">
        <v>2000</v>
      </c>
      <c r="C2525" s="17">
        <v>0</v>
      </c>
      <c r="D2525" s="14">
        <v>-3.8220200000000003E-2</v>
      </c>
      <c r="E2525" s="14">
        <v>0.43721500000000002</v>
      </c>
      <c r="F2525" s="14">
        <v>8.8757699999999995E-2</v>
      </c>
      <c r="G2525" s="14">
        <v>2.828754</v>
      </c>
      <c r="H2525" s="14">
        <v>0.29474699999999998</v>
      </c>
      <c r="R2525" s="11">
        <f t="shared" si="80"/>
        <v>2.2547852196547511E-4</v>
      </c>
      <c r="Z2525" s="11">
        <f t="shared" si="79"/>
        <v>2.8967225158561187E-4</v>
      </c>
    </row>
    <row r="2526" spans="1:26" x14ac:dyDescent="0.2">
      <c r="A2526" s="45">
        <v>446</v>
      </c>
      <c r="B2526" s="45">
        <v>2001</v>
      </c>
      <c r="C2526" s="17">
        <v>0</v>
      </c>
      <c r="D2526" s="14">
        <v>-6.7250000000000004E-2</v>
      </c>
      <c r="E2526" s="14">
        <v>0.41809000000000002</v>
      </c>
      <c r="F2526" s="14">
        <v>8.0649999999999999E-2</v>
      </c>
      <c r="G2526" s="14">
        <v>2.880709</v>
      </c>
      <c r="H2526" s="14">
        <v>0.26900770000000002</v>
      </c>
      <c r="R2526" s="11">
        <f t="shared" si="80"/>
        <v>2.2771380624945069E-4</v>
      </c>
      <c r="Z2526" s="11">
        <f t="shared" si="79"/>
        <v>2.9008416796754907E-4</v>
      </c>
    </row>
    <row r="2527" spans="1:26" x14ac:dyDescent="0.2">
      <c r="A2527" s="45">
        <v>446</v>
      </c>
      <c r="B2527" s="45">
        <v>2002</v>
      </c>
      <c r="C2527" s="17">
        <v>0</v>
      </c>
      <c r="D2527" s="14">
        <v>-2.5251599999999999E-2</v>
      </c>
      <c r="E2527" s="14">
        <v>0.43782949999999998</v>
      </c>
      <c r="F2527" s="14">
        <v>7.8006800000000001E-2</v>
      </c>
      <c r="G2527" s="14">
        <v>2.9527239999999999</v>
      </c>
      <c r="H2527" s="14">
        <v>0.26601639999999999</v>
      </c>
      <c r="R2527" s="11">
        <f t="shared" si="80"/>
        <v>2.0150105347780029E-4</v>
      </c>
      <c r="Z2527" s="11">
        <f t="shared" si="79"/>
        <v>2.5590548925873689E-4</v>
      </c>
    </row>
    <row r="2528" spans="1:26" x14ac:dyDescent="0.2">
      <c r="A2528" s="45">
        <v>446</v>
      </c>
      <c r="B2528" s="45">
        <v>2003</v>
      </c>
      <c r="C2528" s="17">
        <v>0</v>
      </c>
      <c r="D2528" s="14">
        <v>8.8080000000000005E-4</v>
      </c>
      <c r="E2528" s="14">
        <v>0.47671980000000003</v>
      </c>
      <c r="F2528" s="14">
        <v>8.1869600000000001E-2</v>
      </c>
      <c r="G2528" s="14">
        <v>2.9742259999999998</v>
      </c>
      <c r="H2528" s="14">
        <v>0.263374</v>
      </c>
      <c r="R2528" s="11">
        <f t="shared" si="80"/>
        <v>1.7841390717393207E-4</v>
      </c>
      <c r="Z2528" s="11">
        <f t="shared" si="79"/>
        <v>2.275001553665941E-4</v>
      </c>
    </row>
    <row r="2529" spans="1:26" x14ac:dyDescent="0.2">
      <c r="A2529" s="45">
        <v>446</v>
      </c>
      <c r="B2529" s="45">
        <v>2004</v>
      </c>
      <c r="C2529" s="17">
        <v>0</v>
      </c>
      <c r="D2529" s="14">
        <v>-9.7467399999999996E-2</v>
      </c>
      <c r="E2529" s="14">
        <v>0.44952710000000001</v>
      </c>
      <c r="F2529" s="14">
        <v>7.0667499999999994E-2</v>
      </c>
      <c r="G2529" s="14">
        <v>2.3597299999999999</v>
      </c>
      <c r="H2529" s="14">
        <v>0.25655679999999997</v>
      </c>
      <c r="R2529" s="11">
        <f t="shared" si="80"/>
        <v>5.4031182299706245E-4</v>
      </c>
      <c r="Z2529" s="11">
        <f t="shared" si="79"/>
        <v>6.9125365047405501E-4</v>
      </c>
    </row>
    <row r="2530" spans="1:26" x14ac:dyDescent="0.2">
      <c r="A2530" s="45">
        <v>447</v>
      </c>
      <c r="B2530" s="45">
        <v>1998</v>
      </c>
      <c r="C2530" s="17">
        <v>0</v>
      </c>
      <c r="D2530" s="14">
        <v>0.17090089999999999</v>
      </c>
      <c r="E2530" s="14">
        <v>0.1056407</v>
      </c>
      <c r="F2530" s="14">
        <v>4.76508E-2</v>
      </c>
      <c r="G2530" s="14">
        <v>0.1311928</v>
      </c>
      <c r="H2530" s="14">
        <v>0.3246734</v>
      </c>
      <c r="R2530" s="11">
        <f t="shared" si="80"/>
        <v>3.6009112134274282E-2</v>
      </c>
      <c r="Z2530" s="11">
        <f t="shared" si="79"/>
        <v>4.6425133545523703E-2</v>
      </c>
    </row>
    <row r="2531" spans="1:26" x14ac:dyDescent="0.2">
      <c r="A2531" s="45">
        <v>447</v>
      </c>
      <c r="B2531" s="45">
        <v>1999</v>
      </c>
      <c r="C2531" s="17">
        <v>0</v>
      </c>
      <c r="D2531" s="14">
        <v>0.12284929999999999</v>
      </c>
      <c r="E2531" s="14">
        <v>5.6317300000000001E-2</v>
      </c>
      <c r="F2531" s="14">
        <v>3.7127899999999998E-2</v>
      </c>
      <c r="G2531" s="14">
        <v>9.3242900000000004E-2</v>
      </c>
      <c r="H2531" s="14">
        <v>0.35812880000000002</v>
      </c>
      <c r="R2531" s="11">
        <f t="shared" si="80"/>
        <v>4.4321887060990897E-2</v>
      </c>
      <c r="Z2531" s="11">
        <f t="shared" si="79"/>
        <v>5.6492832367857126E-2</v>
      </c>
    </row>
    <row r="2532" spans="1:26" x14ac:dyDescent="0.2">
      <c r="A2532" s="45">
        <v>447</v>
      </c>
      <c r="B2532" s="45">
        <v>2000</v>
      </c>
      <c r="C2532" s="17">
        <v>1</v>
      </c>
      <c r="D2532" s="14">
        <v>0.1069628</v>
      </c>
      <c r="E2532" s="14">
        <v>3.5254300000000002E-2</v>
      </c>
      <c r="F2532" s="14">
        <v>1.14603E-2</v>
      </c>
      <c r="G2532" s="14">
        <v>5.0194700000000002E-2</v>
      </c>
      <c r="H2532" s="14">
        <v>0.2750668</v>
      </c>
      <c r="R2532" s="11">
        <f t="shared" si="80"/>
        <v>5.9167179396554102E-2</v>
      </c>
      <c r="Z2532" s="11">
        <f t="shared" si="79"/>
        <v>7.3661474758495257E-2</v>
      </c>
    </row>
    <row r="2533" spans="1:26" x14ac:dyDescent="0.2">
      <c r="A2533" s="45">
        <v>448</v>
      </c>
      <c r="B2533" s="45">
        <v>1995</v>
      </c>
      <c r="C2533" s="17">
        <v>0</v>
      </c>
      <c r="D2533" s="14">
        <v>0.1835822</v>
      </c>
      <c r="E2533" s="14">
        <v>0.34885250000000001</v>
      </c>
      <c r="F2533" s="14">
        <v>5.6515599999999999E-2</v>
      </c>
      <c r="G2533" s="14">
        <v>2.5480209999999999</v>
      </c>
      <c r="H2533" s="14">
        <v>0.26593030000000001</v>
      </c>
      <c r="R2533" s="11">
        <f t="shared" si="80"/>
        <v>5.1889069052859821E-4</v>
      </c>
      <c r="Z2533" s="11">
        <f t="shared" si="79"/>
        <v>6.5123776564314376E-4</v>
      </c>
    </row>
    <row r="2534" spans="1:26" x14ac:dyDescent="0.2">
      <c r="A2534" s="45">
        <v>448</v>
      </c>
      <c r="B2534" s="45">
        <v>1996</v>
      </c>
      <c r="C2534" s="17">
        <v>0</v>
      </c>
      <c r="D2534" s="14">
        <v>0.19139349999999999</v>
      </c>
      <c r="E2534" s="14">
        <v>0.399727</v>
      </c>
      <c r="F2534" s="14">
        <v>7.2111400000000006E-2</v>
      </c>
      <c r="G2534" s="14">
        <v>3.3425349999999998</v>
      </c>
      <c r="H2534" s="14">
        <v>0.27180470000000001</v>
      </c>
      <c r="R2534" s="11">
        <f t="shared" si="80"/>
        <v>1.1996920433953102E-4</v>
      </c>
      <c r="Z2534" s="11">
        <f t="shared" si="79"/>
        <v>1.501373127074906E-4</v>
      </c>
    </row>
    <row r="2535" spans="1:26" x14ac:dyDescent="0.2">
      <c r="A2535" s="45">
        <v>448</v>
      </c>
      <c r="B2535" s="45">
        <v>1997</v>
      </c>
      <c r="C2535" s="17">
        <v>0</v>
      </c>
      <c r="D2535" s="14">
        <v>0.20666399999999999</v>
      </c>
      <c r="E2535" s="14">
        <v>0.35842279999999999</v>
      </c>
      <c r="F2535" s="14">
        <v>6.9636199999999995E-2</v>
      </c>
      <c r="G2535" s="14">
        <v>3.0753339999999998</v>
      </c>
      <c r="H2535" s="14">
        <v>0.27306540000000001</v>
      </c>
      <c r="R2535" s="11">
        <f t="shared" si="80"/>
        <v>1.9890404648897398E-4</v>
      </c>
      <c r="Z2535" s="11">
        <f t="shared" si="79"/>
        <v>2.4952440598882117E-4</v>
      </c>
    </row>
    <row r="2536" spans="1:26" x14ac:dyDescent="0.2">
      <c r="A2536" s="45">
        <v>448</v>
      </c>
      <c r="B2536" s="45">
        <v>1998</v>
      </c>
      <c r="C2536" s="17">
        <v>0</v>
      </c>
      <c r="D2536" s="14">
        <v>0.2112387</v>
      </c>
      <c r="E2536" s="14">
        <v>0.3953507</v>
      </c>
      <c r="F2536" s="14">
        <v>8.1041299999999997E-2</v>
      </c>
      <c r="G2536" s="14">
        <v>2.8028960000000001</v>
      </c>
      <c r="H2536" s="14">
        <v>0.41166340000000001</v>
      </c>
      <c r="R2536" s="11">
        <f t="shared" si="80"/>
        <v>2.6559894255523924E-4</v>
      </c>
      <c r="Z2536" s="11">
        <f t="shared" si="79"/>
        <v>3.3876715640749206E-4</v>
      </c>
    </row>
    <row r="2537" spans="1:26" x14ac:dyDescent="0.2">
      <c r="A2537" s="45">
        <v>448</v>
      </c>
      <c r="B2537" s="45">
        <v>1999</v>
      </c>
      <c r="C2537" s="17">
        <v>0</v>
      </c>
      <c r="D2537" s="14">
        <v>0.17836750000000001</v>
      </c>
      <c r="E2537" s="14">
        <v>0.36819429999999997</v>
      </c>
      <c r="F2537" s="14">
        <v>7.0682599999999998E-2</v>
      </c>
      <c r="G2537" s="14">
        <v>2.0582400000000001</v>
      </c>
      <c r="H2537" s="14">
        <v>0.28730080000000002</v>
      </c>
      <c r="R2537" s="11">
        <f t="shared" si="80"/>
        <v>9.8269147395012302E-4</v>
      </c>
      <c r="Z2537" s="11">
        <f t="shared" si="79"/>
        <v>1.261921589854099E-3</v>
      </c>
    </row>
    <row r="2538" spans="1:26" x14ac:dyDescent="0.2">
      <c r="A2538" s="45">
        <v>448</v>
      </c>
      <c r="B2538" s="45">
        <v>2000</v>
      </c>
      <c r="C2538" s="17">
        <v>0</v>
      </c>
      <c r="D2538" s="14">
        <v>0.2181497</v>
      </c>
      <c r="E2538" s="14">
        <v>0.36076540000000001</v>
      </c>
      <c r="F2538" s="14">
        <v>6.8928500000000004E-2</v>
      </c>
      <c r="G2538" s="14">
        <v>1.290403</v>
      </c>
      <c r="H2538" s="14">
        <v>0.26707059999999999</v>
      </c>
      <c r="R2538" s="11">
        <f t="shared" si="80"/>
        <v>3.416287685286565E-3</v>
      </c>
      <c r="Z2538" s="11">
        <f t="shared" si="79"/>
        <v>4.4509045453117639E-3</v>
      </c>
    </row>
    <row r="2539" spans="1:26" x14ac:dyDescent="0.2">
      <c r="A2539" s="45">
        <v>448</v>
      </c>
      <c r="B2539" s="45">
        <v>2001</v>
      </c>
      <c r="C2539" s="17">
        <v>0</v>
      </c>
      <c r="D2539" s="14">
        <v>6.8702799999999994E-2</v>
      </c>
      <c r="E2539" s="14">
        <v>0.34983409999999998</v>
      </c>
      <c r="F2539" s="14">
        <v>5.8675199999999997E-2</v>
      </c>
      <c r="G2539" s="14">
        <v>1.549029</v>
      </c>
      <c r="H2539" s="14">
        <v>0.27934170000000003</v>
      </c>
      <c r="R2539" s="11">
        <f t="shared" si="80"/>
        <v>2.4973803401105617E-3</v>
      </c>
      <c r="Z2539" s="11">
        <f t="shared" si="79"/>
        <v>3.2079966358554233E-3</v>
      </c>
    </row>
    <row r="2540" spans="1:26" x14ac:dyDescent="0.2">
      <c r="A2540" s="45">
        <v>448</v>
      </c>
      <c r="B2540" s="45">
        <v>2002</v>
      </c>
      <c r="C2540" s="17">
        <v>0</v>
      </c>
      <c r="D2540" s="14">
        <v>9.1571799999999995E-2</v>
      </c>
      <c r="E2540" s="14">
        <v>0.2842035</v>
      </c>
      <c r="F2540" s="14">
        <v>5.1302899999999999E-2</v>
      </c>
      <c r="G2540" s="14">
        <v>1.5482830000000001</v>
      </c>
      <c r="H2540" s="14">
        <v>0.29635610000000001</v>
      </c>
      <c r="R2540" s="11">
        <f t="shared" si="80"/>
        <v>2.9165765663226426E-3</v>
      </c>
      <c r="Z2540" s="11">
        <f t="shared" si="79"/>
        <v>3.7152647366611394E-3</v>
      </c>
    </row>
    <row r="2541" spans="1:26" x14ac:dyDescent="0.2">
      <c r="A2541" s="45">
        <v>448</v>
      </c>
      <c r="B2541" s="45">
        <v>2003</v>
      </c>
      <c r="C2541" s="17">
        <v>0</v>
      </c>
      <c r="D2541" s="14">
        <v>0.16693939999999999</v>
      </c>
      <c r="E2541" s="14">
        <v>0.25802799999999998</v>
      </c>
      <c r="F2541" s="14">
        <v>5.4843299999999998E-2</v>
      </c>
      <c r="G2541" s="14">
        <v>1.161529</v>
      </c>
      <c r="H2541" s="14">
        <v>0.27060600000000001</v>
      </c>
      <c r="R2541" s="11">
        <f t="shared" si="80"/>
        <v>5.4408994366207074E-3</v>
      </c>
      <c r="Z2541" s="11">
        <f t="shared" si="79"/>
        <v>6.9988033717493263E-3</v>
      </c>
    </row>
    <row r="2542" spans="1:26" x14ac:dyDescent="0.2">
      <c r="A2542" s="45">
        <v>448</v>
      </c>
      <c r="B2542" s="45">
        <v>2004</v>
      </c>
      <c r="C2542" s="17">
        <v>0</v>
      </c>
      <c r="D2542" s="14">
        <v>0.20351</v>
      </c>
      <c r="E2542" s="14">
        <v>0.2371085</v>
      </c>
      <c r="F2542" s="14">
        <v>5.2448000000000002E-2</v>
      </c>
      <c r="G2542" s="14">
        <v>1.3828020000000001</v>
      </c>
      <c r="H2542" s="14">
        <v>0.3007917</v>
      </c>
      <c r="R2542" s="11">
        <f t="shared" si="80"/>
        <v>4.0241993921770304E-3</v>
      </c>
      <c r="Z2542" s="11">
        <f t="shared" si="79"/>
        <v>5.1398017698987544E-3</v>
      </c>
    </row>
    <row r="2543" spans="1:26" x14ac:dyDescent="0.2">
      <c r="A2543" s="45">
        <v>449</v>
      </c>
      <c r="B2543" s="45">
        <v>1997</v>
      </c>
      <c r="C2543" s="17">
        <v>0</v>
      </c>
      <c r="D2543" s="14">
        <v>0.2260596</v>
      </c>
      <c r="E2543" s="14">
        <v>-4.7496999999999999E-3</v>
      </c>
      <c r="F2543" s="14">
        <v>6.1944899999999997E-2</v>
      </c>
      <c r="G2543" s="14">
        <v>6.3655220000000003</v>
      </c>
      <c r="H2543" s="14">
        <v>0.18141119999999999</v>
      </c>
      <c r="R2543" s="11">
        <f t="shared" si="80"/>
        <v>1.8953025737781251E-6</v>
      </c>
      <c r="Z2543" s="11">
        <f t="shared" si="79"/>
        <v>2.1704966871436193E-6</v>
      </c>
    </row>
    <row r="2544" spans="1:26" x14ac:dyDescent="0.2">
      <c r="A2544" s="45">
        <v>449</v>
      </c>
      <c r="B2544" s="45">
        <v>1998</v>
      </c>
      <c r="C2544" s="17">
        <v>0</v>
      </c>
      <c r="D2544" s="14">
        <v>0.18174299999999999</v>
      </c>
      <c r="E2544" s="14">
        <v>-0.1159582</v>
      </c>
      <c r="F2544" s="14">
        <v>-2.3987999999999999E-2</v>
      </c>
      <c r="G2544" s="14">
        <v>1.805722</v>
      </c>
      <c r="H2544" s="14">
        <v>0.1489104</v>
      </c>
      <c r="R2544" s="11">
        <f t="shared" si="80"/>
        <v>6.3019300912747003E-3</v>
      </c>
      <c r="Z2544" s="11">
        <f t="shared" si="79"/>
        <v>7.4000735970062188E-3</v>
      </c>
    </row>
    <row r="2545" spans="1:26" x14ac:dyDescent="0.2">
      <c r="A2545" s="45">
        <v>449</v>
      </c>
      <c r="B2545" s="45">
        <v>1999</v>
      </c>
      <c r="C2545" s="17">
        <v>0</v>
      </c>
      <c r="D2545" s="14">
        <v>0.13653970000000001</v>
      </c>
      <c r="E2545" s="14">
        <v>-0.29553600000000002</v>
      </c>
      <c r="F2545" s="14">
        <v>7.4897999999999996E-3</v>
      </c>
      <c r="G2545" s="14">
        <v>1.626028</v>
      </c>
      <c r="H2545" s="14">
        <v>0.14995549999999999</v>
      </c>
      <c r="R2545" s="11">
        <f t="shared" si="80"/>
        <v>8.4516912106899229E-3</v>
      </c>
      <c r="Z2545" s="11">
        <f t="shared" si="79"/>
        <v>1.0155250586653546E-2</v>
      </c>
    </row>
    <row r="2546" spans="1:26" x14ac:dyDescent="0.2">
      <c r="A2546" s="45">
        <v>449</v>
      </c>
      <c r="B2546" s="45">
        <v>2000</v>
      </c>
      <c r="C2546" s="17">
        <v>0</v>
      </c>
      <c r="D2546" s="14">
        <v>0.25210719999999998</v>
      </c>
      <c r="E2546" s="14">
        <v>-0.2482703</v>
      </c>
      <c r="F2546" s="14">
        <v>5.7575500000000002E-2</v>
      </c>
      <c r="G2546" s="14">
        <v>2.7161580000000001</v>
      </c>
      <c r="H2546" s="14">
        <v>0.18769079999999999</v>
      </c>
      <c r="R2546" s="11">
        <f t="shared" si="80"/>
        <v>9.3737459710395681E-4</v>
      </c>
      <c r="Z2546" s="11">
        <f t="shared" si="79"/>
        <v>1.1492719175437394E-3</v>
      </c>
    </row>
    <row r="2547" spans="1:26" x14ac:dyDescent="0.2">
      <c r="A2547" s="45">
        <v>449</v>
      </c>
      <c r="B2547" s="45">
        <v>2001</v>
      </c>
      <c r="C2547" s="17">
        <v>0</v>
      </c>
      <c r="D2547" s="14">
        <v>0.22252479999999999</v>
      </c>
      <c r="E2547" s="14">
        <v>-0.1839586</v>
      </c>
      <c r="F2547" s="14">
        <v>5.8230400000000002E-2</v>
      </c>
      <c r="G2547" s="14">
        <v>2.466008</v>
      </c>
      <c r="H2547" s="14">
        <v>0.20955670000000001</v>
      </c>
      <c r="R2547" s="11">
        <f t="shared" si="80"/>
        <v>1.2647676386251152E-3</v>
      </c>
      <c r="Z2547" s="11">
        <f t="shared" si="79"/>
        <v>1.5633832755382524E-3</v>
      </c>
    </row>
    <row r="2548" spans="1:26" x14ac:dyDescent="0.2">
      <c r="A2548" s="45">
        <v>449</v>
      </c>
      <c r="B2548" s="45">
        <v>2002</v>
      </c>
      <c r="C2548" s="17">
        <v>0</v>
      </c>
      <c r="D2548" s="14">
        <v>0.2512702</v>
      </c>
      <c r="E2548" s="14">
        <v>-0.18132580000000001</v>
      </c>
      <c r="F2548" s="14">
        <v>4.1841299999999998E-2</v>
      </c>
      <c r="G2548" s="14">
        <v>1.4056949999999999</v>
      </c>
      <c r="H2548" s="14">
        <v>0.20031189999999999</v>
      </c>
      <c r="R2548" s="11">
        <f t="shared" si="80"/>
        <v>7.7320174722100713E-3</v>
      </c>
      <c r="Z2548" s="11">
        <f t="shared" si="79"/>
        <v>9.6380189620975127E-3</v>
      </c>
    </row>
    <row r="2549" spans="1:26" x14ac:dyDescent="0.2">
      <c r="A2549" s="45">
        <v>449</v>
      </c>
      <c r="B2549" s="45">
        <v>2003</v>
      </c>
      <c r="C2549" s="17">
        <v>0</v>
      </c>
      <c r="D2549" s="14">
        <v>0.2691114</v>
      </c>
      <c r="E2549" s="14">
        <v>-0.1534913</v>
      </c>
      <c r="F2549" s="14">
        <v>3.3379300000000001E-2</v>
      </c>
      <c r="G2549" s="14">
        <v>1.5137370000000001</v>
      </c>
      <c r="H2549" s="14">
        <v>0.205426</v>
      </c>
      <c r="R2549" s="11">
        <f t="shared" si="80"/>
        <v>6.6956277555078906E-3</v>
      </c>
      <c r="Z2549" s="11">
        <f t="shared" si="79"/>
        <v>8.279363284841957E-3</v>
      </c>
    </row>
    <row r="2550" spans="1:26" x14ac:dyDescent="0.2">
      <c r="A2550" s="45">
        <v>449</v>
      </c>
      <c r="B2550" s="45">
        <v>2004</v>
      </c>
      <c r="C2550" s="17">
        <v>0</v>
      </c>
      <c r="D2550" s="14">
        <v>0.27363850000000001</v>
      </c>
      <c r="E2550" s="14">
        <v>-0.15168690000000001</v>
      </c>
      <c r="F2550" s="14">
        <v>2.8397499999999999E-2</v>
      </c>
      <c r="G2550" s="14">
        <v>1.6511849999999999</v>
      </c>
      <c r="H2550" s="14">
        <v>0.2309862</v>
      </c>
      <c r="R2550" s="11">
        <f t="shared" si="80"/>
        <v>5.5887641848425904E-3</v>
      </c>
      <c r="Z2550" s="11">
        <f t="shared" si="79"/>
        <v>6.8642937973874439E-3</v>
      </c>
    </row>
    <row r="2551" spans="1:26" x14ac:dyDescent="0.2">
      <c r="A2551" s="45">
        <v>450</v>
      </c>
      <c r="B2551" s="45">
        <v>1995</v>
      </c>
      <c r="C2551" s="17">
        <v>0</v>
      </c>
      <c r="D2551" s="14">
        <v>5.83621E-2</v>
      </c>
      <c r="E2551" s="14">
        <v>7.9676200000000003E-2</v>
      </c>
      <c r="F2551" s="14">
        <v>3.3581100000000003E-2</v>
      </c>
      <c r="G2551" s="14">
        <v>0.23204630000000001</v>
      </c>
      <c r="H2551" s="14">
        <v>0.12850690000000001</v>
      </c>
      <c r="R2551" s="11">
        <f t="shared" si="80"/>
        <v>3.5649073989552839E-2</v>
      </c>
      <c r="Z2551" s="11">
        <f t="shared" si="79"/>
        <v>4.532799362991459E-2</v>
      </c>
    </row>
    <row r="2552" spans="1:26" x14ac:dyDescent="0.2">
      <c r="A2552" s="45">
        <v>450</v>
      </c>
      <c r="B2552" s="45">
        <v>1996</v>
      </c>
      <c r="C2552" s="17">
        <v>0</v>
      </c>
      <c r="D2552" s="14">
        <v>6.6994100000000001E-2</v>
      </c>
      <c r="E2552" s="14">
        <v>8.88602E-2</v>
      </c>
      <c r="F2552" s="14">
        <v>2.60974E-2</v>
      </c>
      <c r="G2552" s="14">
        <v>0.2638066</v>
      </c>
      <c r="H2552" s="14">
        <v>0.13466310000000001</v>
      </c>
      <c r="R2552" s="11">
        <f t="shared" si="80"/>
        <v>3.5508247686522824E-2</v>
      </c>
      <c r="Z2552" s="11">
        <f t="shared" si="79"/>
        <v>4.4870506716332019E-2</v>
      </c>
    </row>
    <row r="2553" spans="1:26" x14ac:dyDescent="0.2">
      <c r="A2553" s="45">
        <v>450</v>
      </c>
      <c r="B2553" s="45">
        <v>1997</v>
      </c>
      <c r="C2553" s="17">
        <v>0</v>
      </c>
      <c r="D2553" s="14">
        <v>9.8483600000000004E-2</v>
      </c>
      <c r="E2553" s="14">
        <v>0.1221018</v>
      </c>
      <c r="F2553" s="14">
        <v>3.7000600000000002E-2</v>
      </c>
      <c r="G2553" s="14">
        <v>0.26645380000000002</v>
      </c>
      <c r="H2553" s="14">
        <v>0.14382900000000001</v>
      </c>
      <c r="R2553" s="11">
        <f t="shared" si="80"/>
        <v>3.1020229969886907E-2</v>
      </c>
      <c r="Z2553" s="11">
        <f t="shared" si="79"/>
        <v>3.9626824713334362E-2</v>
      </c>
    </row>
    <row r="2554" spans="1:26" x14ac:dyDescent="0.2">
      <c r="A2554" s="45">
        <v>450</v>
      </c>
      <c r="B2554" s="45">
        <v>1998</v>
      </c>
      <c r="C2554" s="17">
        <v>0</v>
      </c>
      <c r="D2554" s="14">
        <v>3.80519E-2</v>
      </c>
      <c r="E2554" s="14">
        <v>7.8237399999999999E-2</v>
      </c>
      <c r="F2554" s="14">
        <v>2.9988000000000001E-2</v>
      </c>
      <c r="G2554" s="14">
        <v>0.33068419999999998</v>
      </c>
      <c r="H2554" s="14">
        <v>0.1024718</v>
      </c>
      <c r="R2554" s="11">
        <f t="shared" si="80"/>
        <v>3.1551095632384625E-2</v>
      </c>
      <c r="Z2554" s="11">
        <f t="shared" si="79"/>
        <v>3.9965023324227134E-2</v>
      </c>
    </row>
    <row r="2555" spans="1:26" x14ac:dyDescent="0.2">
      <c r="A2555" s="45">
        <v>450</v>
      </c>
      <c r="B2555" s="45">
        <v>1999</v>
      </c>
      <c r="C2555" s="17">
        <v>0</v>
      </c>
      <c r="D2555" s="14">
        <v>-4.5166E-3</v>
      </c>
      <c r="E2555" s="14">
        <v>8.7674100000000005E-2</v>
      </c>
      <c r="F2555" s="14">
        <v>4.5173400000000002E-2</v>
      </c>
      <c r="G2555" s="14">
        <v>0.31459409999999999</v>
      </c>
      <c r="H2555" s="14">
        <v>9.9903900000000004E-2</v>
      </c>
      <c r="R2555" s="11">
        <f t="shared" si="80"/>
        <v>2.8370177288618272E-2</v>
      </c>
      <c r="Z2555" s="11">
        <f t="shared" si="79"/>
        <v>3.6425216145920973E-2</v>
      </c>
    </row>
    <row r="2556" spans="1:26" x14ac:dyDescent="0.2">
      <c r="A2556" s="45">
        <v>450</v>
      </c>
      <c r="B2556" s="45">
        <v>2000</v>
      </c>
      <c r="C2556" s="17">
        <v>0</v>
      </c>
      <c r="D2556" s="14">
        <v>-2.7093200000000001E-2</v>
      </c>
      <c r="E2556" s="14">
        <v>8.1805299999999997E-2</v>
      </c>
      <c r="F2556" s="14">
        <v>2.9571E-2</v>
      </c>
      <c r="G2556" s="14">
        <v>0.3101082</v>
      </c>
      <c r="H2556" s="14">
        <v>0.1208423</v>
      </c>
      <c r="R2556" s="11">
        <f t="shared" si="80"/>
        <v>3.2510237404899937E-2</v>
      </c>
      <c r="Z2556" s="11">
        <f t="shared" si="79"/>
        <v>4.1178293905570471E-2</v>
      </c>
    </row>
    <row r="2557" spans="1:26" x14ac:dyDescent="0.2">
      <c r="A2557" s="45">
        <v>451</v>
      </c>
      <c r="B2557" s="45">
        <v>1999</v>
      </c>
      <c r="C2557" s="17">
        <v>0</v>
      </c>
      <c r="D2557" s="14">
        <v>0.2687812</v>
      </c>
      <c r="E2557" s="14">
        <v>0.49969580000000002</v>
      </c>
      <c r="F2557" s="14">
        <v>7.2231699999999996E-2</v>
      </c>
      <c r="G2557" s="14">
        <v>2.7620100000000001</v>
      </c>
      <c r="H2557" s="14">
        <v>0.41739009999999999</v>
      </c>
      <c r="R2557" s="11">
        <f t="shared" si="80"/>
        <v>2.6135926476738826E-4</v>
      </c>
      <c r="Z2557" s="11">
        <f t="shared" si="79"/>
        <v>3.3244662641347981E-4</v>
      </c>
    </row>
    <row r="2558" spans="1:26" x14ac:dyDescent="0.2">
      <c r="A2558" s="45">
        <v>451</v>
      </c>
      <c r="B2558" s="45">
        <v>2000</v>
      </c>
      <c r="C2558" s="17">
        <v>0</v>
      </c>
      <c r="D2558" s="14">
        <v>0.36288589999999998</v>
      </c>
      <c r="E2558" s="14">
        <v>0.55014379999999996</v>
      </c>
      <c r="F2558" s="14">
        <v>8.3461999999999995E-2</v>
      </c>
      <c r="G2558" s="14">
        <v>3.081893</v>
      </c>
      <c r="H2558" s="14">
        <v>0.45403450000000001</v>
      </c>
      <c r="R2558" s="11">
        <f t="shared" si="80"/>
        <v>1.3336316989346191E-4</v>
      </c>
      <c r="Z2558" s="11">
        <f t="shared" si="79"/>
        <v>1.7030380448720134E-4</v>
      </c>
    </row>
    <row r="2559" spans="1:26" x14ac:dyDescent="0.2">
      <c r="A2559" s="45">
        <v>451</v>
      </c>
      <c r="B2559" s="45">
        <v>2001</v>
      </c>
      <c r="C2559" s="17">
        <v>0</v>
      </c>
      <c r="D2559" s="14">
        <v>0.38800220000000002</v>
      </c>
      <c r="E2559" s="14">
        <v>0.54539899999999997</v>
      </c>
      <c r="F2559" s="14">
        <v>8.4487099999999996E-2</v>
      </c>
      <c r="G2559" s="14">
        <v>3.5365769999999999</v>
      </c>
      <c r="H2559" s="14">
        <v>0.45055319999999999</v>
      </c>
      <c r="R2559" s="11">
        <f t="shared" si="80"/>
        <v>6.4538519748507468E-5</v>
      </c>
      <c r="Z2559" s="11">
        <f t="shared" si="79"/>
        <v>8.1651068176981904E-5</v>
      </c>
    </row>
    <row r="2560" spans="1:26" x14ac:dyDescent="0.2">
      <c r="A2560" s="45">
        <v>451</v>
      </c>
      <c r="B2560" s="45">
        <v>2002</v>
      </c>
      <c r="C2560" s="17">
        <v>0</v>
      </c>
      <c r="D2560" s="14">
        <v>0.4247456</v>
      </c>
      <c r="E2560" s="14">
        <v>0.53319439999999996</v>
      </c>
      <c r="F2560" s="14">
        <v>0.1005089</v>
      </c>
      <c r="G2560" s="14">
        <v>3.4527649999999999</v>
      </c>
      <c r="H2560" s="14">
        <v>0.46999590000000002</v>
      </c>
      <c r="R2560" s="11">
        <f t="shared" si="80"/>
        <v>6.6049830620239829E-5</v>
      </c>
      <c r="Z2560" s="11">
        <f t="shared" si="79"/>
        <v>8.4788579749606614E-5</v>
      </c>
    </row>
    <row r="2561" spans="1:26" x14ac:dyDescent="0.2">
      <c r="A2561" s="45">
        <v>451</v>
      </c>
      <c r="B2561" s="45">
        <v>2003</v>
      </c>
      <c r="C2561" s="17">
        <v>0</v>
      </c>
      <c r="D2561" s="14">
        <v>0.47697919999999999</v>
      </c>
      <c r="E2561" s="14">
        <v>0.53616229999999998</v>
      </c>
      <c r="F2561" s="14">
        <v>8.5619600000000004E-2</v>
      </c>
      <c r="G2561" s="14">
        <v>4.2940009999999997</v>
      </c>
      <c r="H2561" s="14">
        <v>0.474966</v>
      </c>
      <c r="R2561" s="11">
        <f t="shared" si="80"/>
        <v>1.9387961277795786E-5</v>
      </c>
      <c r="Z2561" s="11">
        <f t="shared" si="79"/>
        <v>2.4138053299539266E-5</v>
      </c>
    </row>
    <row r="2562" spans="1:26" x14ac:dyDescent="0.2">
      <c r="A2562" s="45">
        <v>452</v>
      </c>
      <c r="B2562" s="45">
        <v>2004</v>
      </c>
      <c r="C2562" s="17">
        <v>0</v>
      </c>
      <c r="D2562" s="14">
        <v>6.6047700000000001E-2</v>
      </c>
      <c r="E2562" s="14">
        <v>0.21462010000000001</v>
      </c>
      <c r="F2562" s="14">
        <v>2.7777699999999999E-2</v>
      </c>
      <c r="G2562" s="14">
        <v>0.63445110000000005</v>
      </c>
      <c r="H2562" s="14">
        <v>0.1479549</v>
      </c>
      <c r="R2562" s="11">
        <f t="shared" si="80"/>
        <v>1.648322458773771E-2</v>
      </c>
      <c r="Z2562" s="11">
        <f t="shared" ref="Z2562:Z2625" si="81">1/(1+EXP(-(U$2+$V$2*E2562+$W$2*F2562+$X$2*G2562)))</f>
        <v>2.0887500875696779E-2</v>
      </c>
    </row>
    <row r="2563" spans="1:26" x14ac:dyDescent="0.2">
      <c r="A2563" s="45">
        <v>453</v>
      </c>
      <c r="B2563" s="45">
        <v>1995</v>
      </c>
      <c r="C2563" s="17">
        <v>0</v>
      </c>
      <c r="D2563" s="14">
        <v>5.1002499999999999E-2</v>
      </c>
      <c r="E2563" s="14">
        <v>0.1417079</v>
      </c>
      <c r="F2563" s="14">
        <v>5.6405900000000002E-2</v>
      </c>
      <c r="G2563" s="14">
        <v>2.6316069999999998</v>
      </c>
      <c r="H2563" s="14">
        <v>0.1701676</v>
      </c>
      <c r="R2563" s="11">
        <f t="shared" si="80"/>
        <v>6.1428909136846191E-4</v>
      </c>
      <c r="Z2563" s="11">
        <f t="shared" si="81"/>
        <v>7.6402388918340677E-4</v>
      </c>
    </row>
    <row r="2564" spans="1:26" x14ac:dyDescent="0.2">
      <c r="A2564" s="45">
        <v>453</v>
      </c>
      <c r="B2564" s="45">
        <v>1996</v>
      </c>
      <c r="C2564" s="17">
        <v>0</v>
      </c>
      <c r="D2564" s="14">
        <v>5.6511899999999997E-2</v>
      </c>
      <c r="E2564" s="14">
        <v>0.12630720000000001</v>
      </c>
      <c r="F2564" s="14">
        <v>5.1754099999999997E-2</v>
      </c>
      <c r="G2564" s="14">
        <v>2.2341389999999999</v>
      </c>
      <c r="H2564" s="14">
        <v>0.1813284</v>
      </c>
      <c r="R2564" s="11">
        <f t="shared" si="80"/>
        <v>1.2276504119244072E-3</v>
      </c>
      <c r="Z2564" s="11">
        <f t="shared" si="81"/>
        <v>1.5334053662492218E-3</v>
      </c>
    </row>
    <row r="2565" spans="1:26" x14ac:dyDescent="0.2">
      <c r="A2565" s="45">
        <v>453</v>
      </c>
      <c r="B2565" s="45">
        <v>1997</v>
      </c>
      <c r="C2565" s="17">
        <v>0</v>
      </c>
      <c r="D2565" s="14">
        <v>5.1717899999999997E-2</v>
      </c>
      <c r="E2565" s="14">
        <v>0.173763</v>
      </c>
      <c r="F2565" s="14">
        <v>4.7139100000000003E-2</v>
      </c>
      <c r="G2565" s="14">
        <v>1.9273439999999999</v>
      </c>
      <c r="H2565" s="14">
        <v>0.18380260000000001</v>
      </c>
      <c r="R2565" s="11">
        <f t="shared" si="80"/>
        <v>1.9371390671493152E-3</v>
      </c>
      <c r="Z2565" s="11">
        <f t="shared" si="81"/>
        <v>2.4302952000304786E-3</v>
      </c>
    </row>
    <row r="2566" spans="1:26" x14ac:dyDescent="0.2">
      <c r="A2566" s="45">
        <v>453</v>
      </c>
      <c r="B2566" s="45">
        <v>1998</v>
      </c>
      <c r="C2566" s="17">
        <v>0</v>
      </c>
      <c r="D2566" s="14">
        <v>6.6991800000000004E-2</v>
      </c>
      <c r="E2566" s="14">
        <v>9.8084000000000005E-2</v>
      </c>
      <c r="F2566" s="14">
        <v>-0.11098379999999999</v>
      </c>
      <c r="G2566" s="14">
        <v>1.3805689999999999</v>
      </c>
      <c r="H2566" s="14">
        <v>0.1499529</v>
      </c>
      <c r="R2566" s="11">
        <f t="shared" si="80"/>
        <v>1.80146106484428E-2</v>
      </c>
      <c r="Z2566" s="11">
        <f t="shared" si="81"/>
        <v>2.0010888236477488E-2</v>
      </c>
    </row>
    <row r="2567" spans="1:26" x14ac:dyDescent="0.2">
      <c r="A2567" s="45">
        <v>453</v>
      </c>
      <c r="B2567" s="45">
        <v>1999</v>
      </c>
      <c r="C2567" s="17">
        <v>0</v>
      </c>
      <c r="D2567" s="14">
        <v>7.3539E-3</v>
      </c>
      <c r="E2567" s="14">
        <v>0.12075379999999999</v>
      </c>
      <c r="F2567" s="14">
        <v>6.9060899999999995E-2</v>
      </c>
      <c r="G2567" s="14">
        <v>1.627786</v>
      </c>
      <c r="H2567" s="14">
        <v>0.20034099999999999</v>
      </c>
      <c r="R2567" s="11">
        <f t="shared" si="80"/>
        <v>2.8275658195819104E-3</v>
      </c>
      <c r="Z2567" s="11">
        <f t="shared" si="81"/>
        <v>3.6279111182560505E-3</v>
      </c>
    </row>
    <row r="2568" spans="1:26" x14ac:dyDescent="0.2">
      <c r="A2568" s="45">
        <v>453</v>
      </c>
      <c r="B2568" s="45">
        <v>2000</v>
      </c>
      <c r="C2568" s="17">
        <v>0</v>
      </c>
      <c r="D2568" s="14">
        <v>-2.5682000000000001E-3</v>
      </c>
      <c r="E2568" s="14">
        <v>0.20209060000000001</v>
      </c>
      <c r="F2568" s="14">
        <v>9.4595399999999996E-2</v>
      </c>
      <c r="G2568" s="14">
        <v>2.5390920000000001</v>
      </c>
      <c r="H2568" s="14">
        <v>0.26456459999999998</v>
      </c>
      <c r="R2568" s="11">
        <f t="shared" si="80"/>
        <v>4.8046440253696253E-4</v>
      </c>
      <c r="Z2568" s="11">
        <f t="shared" si="81"/>
        <v>6.1912582693232046E-4</v>
      </c>
    </row>
    <row r="2569" spans="1:26" x14ac:dyDescent="0.2">
      <c r="A2569" s="45">
        <v>453</v>
      </c>
      <c r="B2569" s="45">
        <v>2001</v>
      </c>
      <c r="C2569" s="17">
        <v>0</v>
      </c>
      <c r="D2569" s="14">
        <v>1.7314300000000001E-2</v>
      </c>
      <c r="E2569" s="14">
        <v>0.2097888</v>
      </c>
      <c r="F2569" s="14">
        <v>2.93945E-2</v>
      </c>
      <c r="G2569" s="14">
        <v>1.3983220000000001</v>
      </c>
      <c r="H2569" s="14">
        <v>0.14989340000000001</v>
      </c>
      <c r="R2569" s="11">
        <f t="shared" si="80"/>
        <v>4.9078477886548106E-3</v>
      </c>
      <c r="Z2569" s="11">
        <f t="shared" si="81"/>
        <v>6.1424776134394576E-3</v>
      </c>
    </row>
    <row r="2570" spans="1:26" x14ac:dyDescent="0.2">
      <c r="A2570" s="45">
        <v>453</v>
      </c>
      <c r="B2570" s="45">
        <v>2002</v>
      </c>
      <c r="C2570" s="17">
        <v>0</v>
      </c>
      <c r="D2570" s="14">
        <v>-1.09537E-2</v>
      </c>
      <c r="E2570" s="14">
        <v>0.1882788</v>
      </c>
      <c r="F2570" s="14">
        <v>4.0099799999999998E-2</v>
      </c>
      <c r="G2570" s="14">
        <v>1.2833920000000001</v>
      </c>
      <c r="H2570" s="14">
        <v>9.8600599999999997E-2</v>
      </c>
      <c r="R2570" s="11">
        <f t="shared" si="80"/>
        <v>5.5787043604650765E-3</v>
      </c>
      <c r="Z2570" s="11">
        <f t="shared" si="81"/>
        <v>7.0545600417665005E-3</v>
      </c>
    </row>
    <row r="2571" spans="1:26" x14ac:dyDescent="0.2">
      <c r="A2571" s="45">
        <v>453</v>
      </c>
      <c r="B2571" s="45">
        <v>2003</v>
      </c>
      <c r="C2571" s="17">
        <v>0</v>
      </c>
      <c r="D2571" s="14">
        <v>-3.1887899999999997E-2</v>
      </c>
      <c r="E2571" s="14">
        <v>0.20197560000000001</v>
      </c>
      <c r="F2571" s="14">
        <v>5.0789800000000003E-2</v>
      </c>
      <c r="G2571" s="14">
        <v>1.4633080000000001</v>
      </c>
      <c r="H2571" s="14">
        <v>0.1069354</v>
      </c>
      <c r="R2571" s="11">
        <f t="shared" si="80"/>
        <v>3.775864626165179E-3</v>
      </c>
      <c r="Z2571" s="11">
        <f t="shared" si="81"/>
        <v>4.8021878815962087E-3</v>
      </c>
    </row>
    <row r="2572" spans="1:26" x14ac:dyDescent="0.2">
      <c r="A2572" s="45">
        <v>453</v>
      </c>
      <c r="B2572" s="45">
        <v>2004</v>
      </c>
      <c r="C2572" s="17">
        <v>0</v>
      </c>
      <c r="D2572" s="14">
        <v>4.7141799999999998E-2</v>
      </c>
      <c r="E2572" s="14">
        <v>0.27009420000000001</v>
      </c>
      <c r="F2572" s="14">
        <v>6.7621200000000006E-2</v>
      </c>
      <c r="G2572" s="14">
        <v>1.8715189999999999</v>
      </c>
      <c r="H2572" s="14">
        <v>0.1266477</v>
      </c>
      <c r="R2572" s="11">
        <f t="shared" si="80"/>
        <v>1.563058095740511E-3</v>
      </c>
      <c r="Z2572" s="11">
        <f t="shared" si="81"/>
        <v>2.0033450355992286E-3</v>
      </c>
    </row>
    <row r="2573" spans="1:26" x14ac:dyDescent="0.2">
      <c r="A2573" s="45">
        <v>454</v>
      </c>
      <c r="B2573" s="45">
        <v>2001</v>
      </c>
      <c r="C2573" s="17">
        <v>0</v>
      </c>
      <c r="D2573" s="14">
        <v>9.6722299999999997E-2</v>
      </c>
      <c r="E2573" s="14">
        <v>0.11591070000000001</v>
      </c>
      <c r="F2573" s="14">
        <v>3.8040299999999999E-2</v>
      </c>
      <c r="G2573" s="14">
        <v>0.46323140000000002</v>
      </c>
      <c r="H2573" s="14">
        <v>0.13871700000000001</v>
      </c>
      <c r="R2573" s="11">
        <f t="shared" si="80"/>
        <v>2.2876509537847468E-2</v>
      </c>
      <c r="Z2573" s="11">
        <f t="shared" si="81"/>
        <v>2.9187092366961785E-2</v>
      </c>
    </row>
    <row r="2574" spans="1:26" x14ac:dyDescent="0.2">
      <c r="A2574" s="45">
        <v>454</v>
      </c>
      <c r="B2574" s="45">
        <v>2002</v>
      </c>
      <c r="C2574" s="17">
        <v>0</v>
      </c>
      <c r="D2574" s="14">
        <v>0.1122153</v>
      </c>
      <c r="E2574" s="14">
        <v>4.8098200000000001E-2</v>
      </c>
      <c r="F2574" s="14">
        <v>2.94951E-2</v>
      </c>
      <c r="G2574" s="14">
        <v>0.42154370000000002</v>
      </c>
      <c r="H2574" s="14">
        <v>0.13258880000000001</v>
      </c>
      <c r="R2574" s="11">
        <f t="shared" si="80"/>
        <v>2.8717384076322787E-2</v>
      </c>
      <c r="Z2574" s="11">
        <f t="shared" si="81"/>
        <v>3.6283627847216761E-2</v>
      </c>
    </row>
    <row r="2575" spans="1:26" x14ac:dyDescent="0.2">
      <c r="A2575" s="45">
        <v>454</v>
      </c>
      <c r="B2575" s="45">
        <v>2003</v>
      </c>
      <c r="C2575" s="17">
        <v>0</v>
      </c>
      <c r="D2575" s="14">
        <v>0.15705820000000001</v>
      </c>
      <c r="E2575" s="14">
        <v>6.5080100000000002E-2</v>
      </c>
      <c r="F2575" s="14">
        <v>6.3731099999999999E-2</v>
      </c>
      <c r="G2575" s="14">
        <v>0.85065950000000001</v>
      </c>
      <c r="H2575" s="14">
        <v>0.1883494</v>
      </c>
      <c r="R2575" s="11">
        <f t="shared" si="80"/>
        <v>1.0948985441882199E-2</v>
      </c>
      <c r="Z2575" s="11">
        <f t="shared" si="81"/>
        <v>1.4166337082650643E-2</v>
      </c>
    </row>
    <row r="2576" spans="1:26" x14ac:dyDescent="0.2">
      <c r="A2576" s="45">
        <v>454</v>
      </c>
      <c r="B2576" s="45">
        <v>2004</v>
      </c>
      <c r="C2576" s="17">
        <v>0</v>
      </c>
      <c r="D2576" s="14">
        <v>0.18718170000000001</v>
      </c>
      <c r="E2576" s="14">
        <v>9.5041600000000004E-2</v>
      </c>
      <c r="F2576" s="14">
        <v>5.86618E-2</v>
      </c>
      <c r="G2576" s="14">
        <v>0.84168670000000001</v>
      </c>
      <c r="H2576" s="14">
        <v>0.23394899999999999</v>
      </c>
      <c r="R2576" s="11">
        <f t="shared" si="80"/>
        <v>1.1071857767622711E-2</v>
      </c>
      <c r="Z2576" s="11">
        <f t="shared" si="81"/>
        <v>1.4283470456766725E-2</v>
      </c>
    </row>
    <row r="2577" spans="1:26" x14ac:dyDescent="0.2">
      <c r="A2577" s="45">
        <v>455</v>
      </c>
      <c r="B2577" s="45">
        <v>1995</v>
      </c>
      <c r="C2577" s="17">
        <v>0</v>
      </c>
      <c r="D2577" s="14">
        <v>0.31429230000000002</v>
      </c>
      <c r="E2577" s="14">
        <v>0.49705159999999998</v>
      </c>
      <c r="F2577" s="14">
        <v>6.1180400000000003E-2</v>
      </c>
      <c r="G2577" s="14">
        <v>2.452048</v>
      </c>
      <c r="H2577" s="14">
        <v>0.50442739999999997</v>
      </c>
      <c r="R2577" s="11">
        <f t="shared" si="80"/>
        <v>4.6960222701519539E-4</v>
      </c>
      <c r="Z2577" s="11">
        <f t="shared" si="81"/>
        <v>5.9591051735968846E-4</v>
      </c>
    </row>
    <row r="2578" spans="1:26" x14ac:dyDescent="0.2">
      <c r="A2578" s="45">
        <v>455</v>
      </c>
      <c r="B2578" s="45">
        <v>1996</v>
      </c>
      <c r="C2578" s="17">
        <v>0</v>
      </c>
      <c r="D2578" s="14">
        <v>0.32671460000000002</v>
      </c>
      <c r="E2578" s="14">
        <v>0.50517990000000002</v>
      </c>
      <c r="F2578" s="14">
        <v>6.92387E-2</v>
      </c>
      <c r="G2578" s="14">
        <v>2.43065</v>
      </c>
      <c r="H2578" s="14">
        <v>0.53675320000000004</v>
      </c>
      <c r="R2578" s="11">
        <f t="shared" si="80"/>
        <v>4.5021605858793911E-4</v>
      </c>
      <c r="Z2578" s="11">
        <f t="shared" si="81"/>
        <v>5.755282419459861E-4</v>
      </c>
    </row>
    <row r="2579" spans="1:26" x14ac:dyDescent="0.2">
      <c r="A2579" s="45">
        <v>455</v>
      </c>
      <c r="B2579" s="45">
        <v>1997</v>
      </c>
      <c r="C2579" s="17">
        <v>0</v>
      </c>
      <c r="D2579" s="14">
        <v>0.25874740000000002</v>
      </c>
      <c r="E2579" s="14">
        <v>0.45941680000000001</v>
      </c>
      <c r="F2579" s="14">
        <v>7.2032399999999996E-2</v>
      </c>
      <c r="G2579" s="14">
        <v>2.8350759999999999</v>
      </c>
      <c r="H2579" s="14">
        <v>0.54536720000000005</v>
      </c>
      <c r="R2579" s="11">
        <f t="shared" si="80"/>
        <v>2.4706054112942058E-4</v>
      </c>
      <c r="Z2579" s="11">
        <f t="shared" si="81"/>
        <v>3.1327101328925067E-4</v>
      </c>
    </row>
    <row r="2580" spans="1:26" x14ac:dyDescent="0.2">
      <c r="A2580" s="45">
        <v>455</v>
      </c>
      <c r="B2580" s="45">
        <v>1998</v>
      </c>
      <c r="C2580" s="17">
        <v>0</v>
      </c>
      <c r="D2580" s="14">
        <v>0.31634699999999999</v>
      </c>
      <c r="E2580" s="14">
        <v>0.38112390000000002</v>
      </c>
      <c r="F2580" s="14">
        <v>6.4574400000000004E-2</v>
      </c>
      <c r="G2580" s="14">
        <v>3.3152020000000002</v>
      </c>
      <c r="H2580" s="14">
        <v>0.49392970000000003</v>
      </c>
      <c r="R2580" s="11">
        <f t="shared" si="80"/>
        <v>1.3674449920806703E-4</v>
      </c>
      <c r="Z2580" s="11">
        <f t="shared" si="81"/>
        <v>1.700703994078358E-4</v>
      </c>
    </row>
    <row r="2581" spans="1:26" x14ac:dyDescent="0.2">
      <c r="A2581" s="45">
        <v>455</v>
      </c>
      <c r="B2581" s="45">
        <v>1999</v>
      </c>
      <c r="C2581" s="17">
        <v>0</v>
      </c>
      <c r="D2581" s="14">
        <v>0.26324350000000002</v>
      </c>
      <c r="E2581" s="14">
        <v>0.33175280000000001</v>
      </c>
      <c r="F2581" s="14">
        <v>7.3122199999999998E-2</v>
      </c>
      <c r="G2581" s="14">
        <v>1.6146149999999999</v>
      </c>
      <c r="H2581" s="14">
        <v>0.5561545</v>
      </c>
      <c r="R2581" s="11">
        <f t="shared" si="80"/>
        <v>2.0583260935553294E-3</v>
      </c>
      <c r="Z2581" s="11">
        <f t="shared" si="81"/>
        <v>2.670257217136437E-3</v>
      </c>
    </row>
    <row r="2582" spans="1:26" x14ac:dyDescent="0.2">
      <c r="A2582" s="45">
        <v>455</v>
      </c>
      <c r="B2582" s="45">
        <v>2000</v>
      </c>
      <c r="C2582" s="17">
        <v>0</v>
      </c>
      <c r="D2582" s="14">
        <v>0.27473760000000003</v>
      </c>
      <c r="E2582" s="14">
        <v>0.28228019999999998</v>
      </c>
      <c r="F2582" s="14">
        <v>5.6971500000000001E-2</v>
      </c>
      <c r="G2582" s="14">
        <v>1.1822710000000001</v>
      </c>
      <c r="H2582" s="14">
        <v>0.50183449999999996</v>
      </c>
      <c r="R2582" s="11">
        <f t="shared" si="80"/>
        <v>4.9980529458665286E-3</v>
      </c>
      <c r="Z2582" s="11">
        <f t="shared" si="81"/>
        <v>6.44352714640954E-3</v>
      </c>
    </row>
    <row r="2583" spans="1:26" x14ac:dyDescent="0.2">
      <c r="A2583" s="45">
        <v>455</v>
      </c>
      <c r="B2583" s="45">
        <v>2001</v>
      </c>
      <c r="C2583" s="17">
        <v>0</v>
      </c>
      <c r="D2583" s="14">
        <v>0.30325360000000001</v>
      </c>
      <c r="E2583" s="14">
        <v>0.279669</v>
      </c>
      <c r="F2583" s="14">
        <v>5.00706E-2</v>
      </c>
      <c r="G2583" s="14">
        <v>1.284181</v>
      </c>
      <c r="H2583" s="14">
        <v>0.45370240000000001</v>
      </c>
      <c r="R2583" s="11">
        <f t="shared" ref="R2583:R2646" si="82">1/(1+EXP(-(K$2+$M$2*E2583+$N$2*F2583+$O$2*G2583)))</f>
        <v>4.5092633919127318E-3</v>
      </c>
      <c r="Z2583" s="11">
        <f t="shared" si="81"/>
        <v>5.7681965346718118E-3</v>
      </c>
    </row>
    <row r="2584" spans="1:26" x14ac:dyDescent="0.2">
      <c r="A2584" s="45">
        <v>455</v>
      </c>
      <c r="B2584" s="45">
        <v>2002</v>
      </c>
      <c r="C2584" s="17">
        <v>0</v>
      </c>
      <c r="D2584" s="14">
        <v>0.3326887</v>
      </c>
      <c r="E2584" s="14">
        <v>0.29877049999999999</v>
      </c>
      <c r="F2584" s="14">
        <v>5.4125699999999999E-2</v>
      </c>
      <c r="G2584" s="14">
        <v>0.92456360000000004</v>
      </c>
      <c r="H2584" s="14">
        <v>0.46927020000000003</v>
      </c>
      <c r="R2584" s="11">
        <f t="shared" si="82"/>
        <v>7.5081570238112166E-3</v>
      </c>
      <c r="Z2584" s="11">
        <f t="shared" si="81"/>
        <v>9.7100174942654008E-3</v>
      </c>
    </row>
    <row r="2585" spans="1:26" x14ac:dyDescent="0.2">
      <c r="A2585" s="45">
        <v>455</v>
      </c>
      <c r="B2585" s="45">
        <v>2003</v>
      </c>
      <c r="C2585" s="17">
        <v>0</v>
      </c>
      <c r="D2585" s="14">
        <v>0.34789360000000003</v>
      </c>
      <c r="E2585" s="14">
        <v>0.30379220000000001</v>
      </c>
      <c r="F2585" s="14">
        <v>6.8793099999999996E-2</v>
      </c>
      <c r="G2585" s="14">
        <v>1.9529000000000001</v>
      </c>
      <c r="H2585" s="14">
        <v>0.47491850000000002</v>
      </c>
      <c r="R2585" s="11">
        <f t="shared" si="82"/>
        <v>1.2954423798241959E-3</v>
      </c>
      <c r="Z2585" s="11">
        <f t="shared" si="81"/>
        <v>1.6610082881693233E-3</v>
      </c>
    </row>
    <row r="2586" spans="1:26" x14ac:dyDescent="0.2">
      <c r="A2586" s="45">
        <v>455</v>
      </c>
      <c r="B2586" s="45">
        <v>2004</v>
      </c>
      <c r="C2586" s="17">
        <v>0</v>
      </c>
      <c r="D2586" s="14">
        <v>0.31263210000000002</v>
      </c>
      <c r="E2586" s="14">
        <v>0.29270119999999999</v>
      </c>
      <c r="F2586" s="14">
        <v>8.2152699999999995E-2</v>
      </c>
      <c r="G2586" s="14">
        <v>2.4319959999999998</v>
      </c>
      <c r="H2586" s="14">
        <v>0.49180679999999999</v>
      </c>
      <c r="R2586" s="11">
        <f t="shared" si="82"/>
        <v>5.5176905458432872E-4</v>
      </c>
      <c r="Z2586" s="11">
        <f t="shared" si="81"/>
        <v>7.0763799745850891E-4</v>
      </c>
    </row>
    <row r="2587" spans="1:26" x14ac:dyDescent="0.2">
      <c r="A2587" s="45">
        <v>456</v>
      </c>
      <c r="B2587" s="45">
        <v>1995</v>
      </c>
      <c r="C2587" s="17">
        <v>0</v>
      </c>
      <c r="D2587" s="14">
        <v>4.80195E-2</v>
      </c>
      <c r="E2587" s="14">
        <v>0.42072530000000002</v>
      </c>
      <c r="F2587" s="14">
        <v>6.4604700000000001E-2</v>
      </c>
      <c r="G2587" s="14">
        <v>1.7069479999999999</v>
      </c>
      <c r="H2587" s="14">
        <v>0.1465138</v>
      </c>
      <c r="R2587" s="11">
        <f t="shared" si="82"/>
        <v>1.6718037341546181E-3</v>
      </c>
      <c r="Z2587" s="11">
        <f t="shared" si="81"/>
        <v>2.156200135635466E-3</v>
      </c>
    </row>
    <row r="2588" spans="1:26" x14ac:dyDescent="0.2">
      <c r="A2588" s="45">
        <v>456</v>
      </c>
      <c r="B2588" s="45">
        <v>1997</v>
      </c>
      <c r="C2588" s="17">
        <v>0</v>
      </c>
      <c r="D2588" s="14">
        <v>4.1266400000000002E-2</v>
      </c>
      <c r="E2588" s="14">
        <v>0.3017553</v>
      </c>
      <c r="F2588" s="14">
        <v>6.1184799999999998E-2</v>
      </c>
      <c r="G2588" s="14">
        <v>1.002194</v>
      </c>
      <c r="H2588" s="14">
        <v>9.96504E-2</v>
      </c>
      <c r="R2588" s="11">
        <f t="shared" si="82"/>
        <v>6.2509811779784819E-3</v>
      </c>
      <c r="Z2588" s="11">
        <f t="shared" si="81"/>
        <v>8.1207562432375844E-3</v>
      </c>
    </row>
    <row r="2589" spans="1:26" x14ac:dyDescent="0.2">
      <c r="A2589" s="45">
        <v>456</v>
      </c>
      <c r="B2589" s="45">
        <v>1998</v>
      </c>
      <c r="C2589" s="17">
        <v>0</v>
      </c>
      <c r="D2589" s="14">
        <v>3.7264100000000001E-2</v>
      </c>
      <c r="E2589" s="14">
        <v>0.31050559999999999</v>
      </c>
      <c r="F2589" s="14">
        <v>5.0507900000000001E-2</v>
      </c>
      <c r="G2589" s="14">
        <v>1.0063</v>
      </c>
      <c r="H2589" s="14">
        <v>8.6196800000000004E-2</v>
      </c>
      <c r="R2589" s="11">
        <f t="shared" si="82"/>
        <v>6.6755384272153499E-3</v>
      </c>
      <c r="Z2589" s="11">
        <f t="shared" si="81"/>
        <v>8.5980750940185119E-3</v>
      </c>
    </row>
    <row r="2590" spans="1:26" x14ac:dyDescent="0.2">
      <c r="A2590" s="45">
        <v>456</v>
      </c>
      <c r="B2590" s="45">
        <v>1999</v>
      </c>
      <c r="C2590" s="17">
        <v>0</v>
      </c>
      <c r="D2590" s="14">
        <v>1.9719999999999998E-3</v>
      </c>
      <c r="E2590" s="14">
        <v>0.30781999999999998</v>
      </c>
      <c r="F2590" s="14">
        <v>3.2110300000000001E-2</v>
      </c>
      <c r="G2590" s="14">
        <v>0.62740169999999995</v>
      </c>
      <c r="H2590" s="14">
        <v>9.7783400000000006E-2</v>
      </c>
      <c r="R2590" s="11">
        <f t="shared" si="82"/>
        <v>1.4095151925725797E-2</v>
      </c>
      <c r="Z2590" s="11">
        <f t="shared" si="81"/>
        <v>1.7994481075667253E-2</v>
      </c>
    </row>
    <row r="2591" spans="1:26" x14ac:dyDescent="0.2">
      <c r="A2591" s="45">
        <v>456</v>
      </c>
      <c r="B2591" s="45">
        <v>2000</v>
      </c>
      <c r="C2591" s="17">
        <v>0</v>
      </c>
      <c r="D2591" s="14">
        <v>-2.6356000000000001E-2</v>
      </c>
      <c r="E2591" s="14">
        <v>0.30792429999999998</v>
      </c>
      <c r="F2591" s="14">
        <v>3.9312600000000003E-2</v>
      </c>
      <c r="G2591" s="14">
        <v>0.42296990000000001</v>
      </c>
      <c r="H2591" s="14">
        <v>0.10719480000000001</v>
      </c>
      <c r="R2591" s="11">
        <f t="shared" si="82"/>
        <v>1.8348097232447024E-2</v>
      </c>
      <c r="Z2591" s="11">
        <f t="shared" si="81"/>
        <v>2.3635073921720002E-2</v>
      </c>
    </row>
    <row r="2592" spans="1:26" x14ac:dyDescent="0.2">
      <c r="A2592" s="45">
        <v>456</v>
      </c>
      <c r="B2592" s="45">
        <v>2001</v>
      </c>
      <c r="C2592" s="17">
        <v>0</v>
      </c>
      <c r="D2592" s="14">
        <v>-4.26944E-2</v>
      </c>
      <c r="E2592" s="14">
        <v>0.30817549999999999</v>
      </c>
      <c r="F2592" s="14">
        <v>4.4765100000000002E-2</v>
      </c>
      <c r="G2592" s="14">
        <v>0.56638080000000002</v>
      </c>
      <c r="H2592" s="14">
        <v>0.1097451</v>
      </c>
      <c r="R2592" s="11">
        <f t="shared" si="82"/>
        <v>1.4032742561243122E-2</v>
      </c>
      <c r="Z2592" s="11">
        <f t="shared" si="81"/>
        <v>1.8122654617164027E-2</v>
      </c>
    </row>
    <row r="2593" spans="1:26" x14ac:dyDescent="0.2">
      <c r="A2593" s="45">
        <v>456</v>
      </c>
      <c r="B2593" s="45">
        <v>2002</v>
      </c>
      <c r="C2593" s="17">
        <v>0</v>
      </c>
      <c r="D2593" s="14">
        <v>-2.0462000000000002E-3</v>
      </c>
      <c r="E2593" s="14">
        <v>0.30745899999999998</v>
      </c>
      <c r="F2593" s="14">
        <v>4.4430200000000003E-2</v>
      </c>
      <c r="G2593" s="14">
        <v>0.60209860000000004</v>
      </c>
      <c r="H2593" s="14">
        <v>0.1210817</v>
      </c>
      <c r="R2593" s="11">
        <f t="shared" si="82"/>
        <v>1.3315405155209632E-2</v>
      </c>
      <c r="Z2593" s="11">
        <f t="shared" si="81"/>
        <v>1.7181550954027437E-2</v>
      </c>
    </row>
    <row r="2594" spans="1:26" x14ac:dyDescent="0.2">
      <c r="A2594" s="45">
        <v>456</v>
      </c>
      <c r="B2594" s="45">
        <v>2003</v>
      </c>
      <c r="C2594" s="17">
        <v>0</v>
      </c>
      <c r="D2594" s="14">
        <v>1.03205E-2</v>
      </c>
      <c r="E2594" s="14">
        <v>0.33655960000000001</v>
      </c>
      <c r="F2594" s="14">
        <v>4.5101000000000002E-2</v>
      </c>
      <c r="G2594" s="14">
        <v>0.7049185</v>
      </c>
      <c r="H2594" s="14">
        <v>0.1193467</v>
      </c>
      <c r="R2594" s="11">
        <f t="shared" si="82"/>
        <v>1.0804164956263436E-2</v>
      </c>
      <c r="Z2594" s="11">
        <f t="shared" si="81"/>
        <v>1.3941619622709334E-2</v>
      </c>
    </row>
    <row r="2595" spans="1:26" x14ac:dyDescent="0.2">
      <c r="A2595" s="45">
        <v>456</v>
      </c>
      <c r="B2595" s="45">
        <v>2004</v>
      </c>
      <c r="C2595" s="17">
        <v>0</v>
      </c>
      <c r="D2595" s="14">
        <v>2.5882100000000002E-2</v>
      </c>
      <c r="E2595" s="14">
        <v>0.31988840000000002</v>
      </c>
      <c r="F2595" s="14">
        <v>4.6434200000000002E-2</v>
      </c>
      <c r="G2595" s="14">
        <v>0.87979929999999995</v>
      </c>
      <c r="H2595" s="14">
        <v>0.10331</v>
      </c>
      <c r="R2595" s="11">
        <f t="shared" si="82"/>
        <v>8.3089882464867995E-3</v>
      </c>
      <c r="Z2595" s="11">
        <f t="shared" si="81"/>
        <v>1.0694434357672198E-2</v>
      </c>
    </row>
    <row r="2596" spans="1:26" x14ac:dyDescent="0.2">
      <c r="A2596" s="45">
        <v>457</v>
      </c>
      <c r="B2596" s="45">
        <v>1995</v>
      </c>
      <c r="C2596" s="17">
        <v>0</v>
      </c>
      <c r="D2596" s="14">
        <v>0.28048820000000002</v>
      </c>
      <c r="E2596" s="14">
        <v>5.3118199999999997E-2</v>
      </c>
      <c r="F2596" s="14">
        <v>5.2703100000000003E-2</v>
      </c>
      <c r="G2596" s="14">
        <v>0.33614959999999999</v>
      </c>
      <c r="H2596" s="14">
        <v>0.36807210000000001</v>
      </c>
      <c r="R2596" s="11">
        <f t="shared" si="82"/>
        <v>2.71732588856183E-2</v>
      </c>
      <c r="Z2596" s="11">
        <f t="shared" si="81"/>
        <v>3.5052995628061141E-2</v>
      </c>
    </row>
    <row r="2597" spans="1:26" x14ac:dyDescent="0.2">
      <c r="A2597" s="45">
        <v>457</v>
      </c>
      <c r="B2597" s="45">
        <v>1997</v>
      </c>
      <c r="C2597" s="17">
        <v>0</v>
      </c>
      <c r="D2597" s="14">
        <v>0.29574719999999999</v>
      </c>
      <c r="E2597" s="14">
        <v>7.7399499999999996E-2</v>
      </c>
      <c r="F2597" s="14">
        <v>4.51948E-2</v>
      </c>
      <c r="G2597" s="14">
        <v>0.23485519999999999</v>
      </c>
      <c r="H2597" s="14">
        <v>0.36080570000000001</v>
      </c>
      <c r="R2597" s="11">
        <f t="shared" si="82"/>
        <v>3.2552825829686903E-2</v>
      </c>
      <c r="Z2597" s="11">
        <f t="shared" si="81"/>
        <v>4.1801299383770925E-2</v>
      </c>
    </row>
    <row r="2598" spans="1:26" x14ac:dyDescent="0.2">
      <c r="A2598" s="45">
        <v>458</v>
      </c>
      <c r="B2598" s="45">
        <v>1996</v>
      </c>
      <c r="C2598" s="17">
        <v>0</v>
      </c>
      <c r="D2598" s="14">
        <v>0.33598800000000001</v>
      </c>
      <c r="E2598" s="14">
        <v>-0.23771030000000001</v>
      </c>
      <c r="F2598" s="14">
        <v>5.0487400000000002E-2</v>
      </c>
      <c r="G2598" s="14">
        <v>2.6449739999999999</v>
      </c>
      <c r="H2598" s="14">
        <v>0.36782939999999997</v>
      </c>
      <c r="R2598" s="11">
        <f t="shared" si="82"/>
        <v>1.0941227328765939E-3</v>
      </c>
      <c r="Z2598" s="11">
        <f t="shared" si="81"/>
        <v>1.3362176199433885E-3</v>
      </c>
    </row>
    <row r="2599" spans="1:26" x14ac:dyDescent="0.2">
      <c r="A2599" s="45">
        <v>458</v>
      </c>
      <c r="B2599" s="45">
        <v>1997</v>
      </c>
      <c r="C2599" s="17">
        <v>0</v>
      </c>
      <c r="D2599" s="14">
        <v>0.30977359999999998</v>
      </c>
      <c r="E2599" s="14">
        <v>-0.25673679999999999</v>
      </c>
      <c r="F2599" s="14">
        <v>3.4948000000000002E-3</v>
      </c>
      <c r="G2599" s="14">
        <v>0.82114980000000004</v>
      </c>
      <c r="H2599" s="14">
        <v>0.30280899999999999</v>
      </c>
      <c r="R2599" s="11">
        <f t="shared" si="82"/>
        <v>2.9121899702202463E-2</v>
      </c>
      <c r="Z2599" s="11">
        <f t="shared" si="81"/>
        <v>3.538002145797408E-2</v>
      </c>
    </row>
    <row r="2600" spans="1:26" x14ac:dyDescent="0.2">
      <c r="A2600" s="45">
        <v>458</v>
      </c>
      <c r="B2600" s="45">
        <v>1998</v>
      </c>
      <c r="C2600" s="17">
        <v>0</v>
      </c>
      <c r="D2600" s="14">
        <v>0.2136025</v>
      </c>
      <c r="E2600" s="14">
        <v>-0.37053829999999999</v>
      </c>
      <c r="F2600" s="14">
        <v>2.9567400000000001E-2</v>
      </c>
      <c r="G2600" s="14">
        <v>0.60274119999999998</v>
      </c>
      <c r="H2600" s="14">
        <v>0.31211100000000003</v>
      </c>
      <c r="R2600" s="11">
        <f t="shared" si="82"/>
        <v>3.9100208495914612E-2</v>
      </c>
      <c r="Z2600" s="11">
        <f t="shared" si="81"/>
        <v>4.8414132443766418E-2</v>
      </c>
    </row>
    <row r="2601" spans="1:26" x14ac:dyDescent="0.2">
      <c r="A2601" s="45">
        <v>458</v>
      </c>
      <c r="B2601" s="45">
        <v>1999</v>
      </c>
      <c r="C2601" s="17">
        <v>0</v>
      </c>
      <c r="D2601" s="14">
        <v>0.2024803</v>
      </c>
      <c r="E2601" s="14">
        <v>-0.35690329999999998</v>
      </c>
      <c r="F2601" s="14">
        <v>3.7426399999999999E-2</v>
      </c>
      <c r="G2601" s="14">
        <v>1.069423</v>
      </c>
      <c r="H2601" s="14">
        <v>0.319303</v>
      </c>
      <c r="R2601" s="11">
        <f t="shared" si="82"/>
        <v>1.7495969205411219E-2</v>
      </c>
      <c r="Z2601" s="11">
        <f t="shared" si="81"/>
        <v>2.1708637139690689E-2</v>
      </c>
    </row>
    <row r="2602" spans="1:26" x14ac:dyDescent="0.2">
      <c r="A2602" s="45">
        <v>458</v>
      </c>
      <c r="B2602" s="45">
        <v>2000</v>
      </c>
      <c r="C2602" s="17">
        <v>0</v>
      </c>
      <c r="D2602" s="14">
        <v>0.2081404</v>
      </c>
      <c r="E2602" s="14">
        <v>-0.32949830000000002</v>
      </c>
      <c r="F2602" s="14">
        <v>3.9883200000000001E-2</v>
      </c>
      <c r="G2602" s="14">
        <v>1.2218290000000001</v>
      </c>
      <c r="H2602" s="14">
        <v>0.32041150000000002</v>
      </c>
      <c r="R2602" s="11">
        <f t="shared" si="82"/>
        <v>1.2989917598680017E-2</v>
      </c>
      <c r="Z2602" s="11">
        <f t="shared" si="81"/>
        <v>1.6129043043267018E-2</v>
      </c>
    </row>
    <row r="2603" spans="1:26" x14ac:dyDescent="0.2">
      <c r="A2603" s="45">
        <v>458</v>
      </c>
      <c r="B2603" s="45">
        <v>2001</v>
      </c>
      <c r="C2603" s="17">
        <v>0</v>
      </c>
      <c r="D2603" s="14">
        <v>0.50266500000000003</v>
      </c>
      <c r="E2603" s="14">
        <v>0.1100718</v>
      </c>
      <c r="F2603" s="14">
        <v>4.8390299999999997E-2</v>
      </c>
      <c r="G2603" s="14">
        <v>3.2275689999999999</v>
      </c>
      <c r="H2603" s="14">
        <v>0.2114066</v>
      </c>
      <c r="R2603" s="11">
        <f t="shared" si="82"/>
        <v>2.653925132250177E-4</v>
      </c>
      <c r="Z2603" s="11">
        <f t="shared" si="81"/>
        <v>3.2332454301751702E-4</v>
      </c>
    </row>
    <row r="2604" spans="1:26" x14ac:dyDescent="0.2">
      <c r="A2604" s="45">
        <v>459</v>
      </c>
      <c r="B2604" s="45">
        <v>1995</v>
      </c>
      <c r="C2604" s="17">
        <v>1</v>
      </c>
      <c r="D2604" s="14">
        <v>-4.4067099999999998E-2</v>
      </c>
      <c r="E2604" s="14">
        <v>-0.25792500000000002</v>
      </c>
      <c r="F2604" s="14">
        <v>5.03978E-2</v>
      </c>
      <c r="G2604" s="14">
        <v>0.30961729999999998</v>
      </c>
      <c r="H2604" s="14">
        <v>0.17560439999999999</v>
      </c>
      <c r="R2604" s="11">
        <f t="shared" si="82"/>
        <v>4.4574814834516203E-2</v>
      </c>
      <c r="Z2604" s="11">
        <f t="shared" si="81"/>
        <v>5.6561977154396981E-2</v>
      </c>
    </row>
    <row r="2605" spans="1:26" x14ac:dyDescent="0.2">
      <c r="A2605" s="45">
        <v>460</v>
      </c>
      <c r="B2605" s="45">
        <v>1995</v>
      </c>
      <c r="C2605" s="17">
        <v>0</v>
      </c>
      <c r="D2605" s="14">
        <v>2.3157500000000001E-2</v>
      </c>
      <c r="E2605" s="14">
        <v>0.12608079999999999</v>
      </c>
      <c r="F2605" s="14">
        <v>6.1205099999999998E-2</v>
      </c>
      <c r="G2605" s="14">
        <v>0.42947380000000002</v>
      </c>
      <c r="H2605" s="14">
        <v>0.12390619999999999</v>
      </c>
      <c r="R2605" s="11">
        <f t="shared" si="82"/>
        <v>1.9824935582064253E-2</v>
      </c>
      <c r="Z2605" s="11">
        <f t="shared" si="81"/>
        <v>2.581575969184173E-2</v>
      </c>
    </row>
    <row r="2606" spans="1:26" x14ac:dyDescent="0.2">
      <c r="A2606" s="45">
        <v>460</v>
      </c>
      <c r="B2606" s="45">
        <v>1996</v>
      </c>
      <c r="C2606" s="17">
        <v>0</v>
      </c>
      <c r="D2606" s="14">
        <v>9.9755E-3</v>
      </c>
      <c r="E2606" s="14">
        <v>0.1161832</v>
      </c>
      <c r="F2606" s="14">
        <v>3.1430600000000003E-2</v>
      </c>
      <c r="G2606" s="14">
        <v>0.24628559999999999</v>
      </c>
      <c r="H2606" s="14">
        <v>0.1210233</v>
      </c>
      <c r="R2606" s="11">
        <f t="shared" si="82"/>
        <v>3.3689346555562244E-2</v>
      </c>
      <c r="Z2606" s="11">
        <f t="shared" si="81"/>
        <v>4.2826005813268841E-2</v>
      </c>
    </row>
    <row r="2607" spans="1:26" x14ac:dyDescent="0.2">
      <c r="A2607" s="45">
        <v>460</v>
      </c>
      <c r="B2607" s="45">
        <v>1997</v>
      </c>
      <c r="C2607" s="17">
        <v>0</v>
      </c>
      <c r="D2607" s="14">
        <v>7.7464999999999999E-3</v>
      </c>
      <c r="E2607" s="14">
        <v>9.7737900000000003E-2</v>
      </c>
      <c r="F2607" s="14">
        <v>3.1436600000000002E-2</v>
      </c>
      <c r="G2607" s="14">
        <v>0.22952800000000001</v>
      </c>
      <c r="H2607" s="14">
        <v>0.1184125</v>
      </c>
      <c r="R2607" s="11">
        <f t="shared" si="82"/>
        <v>3.5474332362761707E-2</v>
      </c>
      <c r="Z2607" s="11">
        <f t="shared" si="81"/>
        <v>4.5061389583029507E-2</v>
      </c>
    </row>
    <row r="2608" spans="1:26" x14ac:dyDescent="0.2">
      <c r="A2608" s="45">
        <v>460</v>
      </c>
      <c r="B2608" s="45">
        <v>1998</v>
      </c>
      <c r="C2608" s="17">
        <v>0</v>
      </c>
      <c r="D2608" s="14">
        <v>1.47064E-2</v>
      </c>
      <c r="E2608" s="14">
        <v>7.9379199999999997E-2</v>
      </c>
      <c r="F2608" s="14">
        <v>3.9423699999999999E-2</v>
      </c>
      <c r="G2608" s="14">
        <v>0.29907450000000002</v>
      </c>
      <c r="H2608" s="14">
        <v>0.1247496</v>
      </c>
      <c r="R2608" s="11">
        <f t="shared" si="82"/>
        <v>3.0743481904378613E-2</v>
      </c>
      <c r="Z2608" s="11">
        <f t="shared" si="81"/>
        <v>3.926899053802211E-2</v>
      </c>
    </row>
    <row r="2609" spans="1:26" x14ac:dyDescent="0.2">
      <c r="A2609" s="45">
        <v>460</v>
      </c>
      <c r="B2609" s="45">
        <v>1999</v>
      </c>
      <c r="C2609" s="17">
        <v>0</v>
      </c>
      <c r="D2609" s="14">
        <v>-2.3732900000000001E-2</v>
      </c>
      <c r="E2609" s="14">
        <v>9.9453700000000006E-2</v>
      </c>
      <c r="F2609" s="14">
        <v>4.3780800000000002E-2</v>
      </c>
      <c r="G2609" s="14">
        <v>0.39842499999999997</v>
      </c>
      <c r="H2609" s="14">
        <v>0.16221340000000001</v>
      </c>
      <c r="R2609" s="11">
        <f t="shared" si="82"/>
        <v>2.4765724083495467E-2</v>
      </c>
      <c r="Z2609" s="11">
        <f t="shared" si="81"/>
        <v>3.1751359772811398E-2</v>
      </c>
    </row>
    <row r="2610" spans="1:26" x14ac:dyDescent="0.2">
      <c r="A2610" s="45">
        <v>460</v>
      </c>
      <c r="B2610" s="45">
        <v>2000</v>
      </c>
      <c r="C2610" s="17">
        <v>0</v>
      </c>
      <c r="D2610" s="14">
        <v>-0.1041908</v>
      </c>
      <c r="E2610" s="14">
        <v>7.2909699999999994E-2</v>
      </c>
      <c r="F2610" s="14">
        <v>5.1640600000000002E-2</v>
      </c>
      <c r="G2610" s="14">
        <v>0.48425299999999999</v>
      </c>
      <c r="H2610" s="14">
        <v>0.1804133</v>
      </c>
      <c r="R2610" s="11">
        <f t="shared" si="82"/>
        <v>2.1159751068620756E-2</v>
      </c>
      <c r="Z2610" s="11">
        <f t="shared" si="81"/>
        <v>2.7252983132800342E-2</v>
      </c>
    </row>
    <row r="2611" spans="1:26" x14ac:dyDescent="0.2">
      <c r="A2611" s="45">
        <v>460</v>
      </c>
      <c r="B2611" s="45">
        <v>2001</v>
      </c>
      <c r="C2611" s="17">
        <v>0</v>
      </c>
      <c r="D2611" s="14">
        <v>2.427E-2</v>
      </c>
      <c r="E2611" s="14">
        <v>8.2949700000000001E-2</v>
      </c>
      <c r="F2611" s="14">
        <v>4.1299000000000002E-2</v>
      </c>
      <c r="G2611" s="14">
        <v>0.32309650000000001</v>
      </c>
      <c r="H2611" s="14">
        <v>0.15789010000000001</v>
      </c>
      <c r="R2611" s="11">
        <f t="shared" si="82"/>
        <v>2.9048072261631339E-2</v>
      </c>
      <c r="Z2611" s="11">
        <f t="shared" si="81"/>
        <v>3.7161862973510811E-2</v>
      </c>
    </row>
    <row r="2612" spans="1:26" x14ac:dyDescent="0.2">
      <c r="A2612" s="45">
        <v>460</v>
      </c>
      <c r="B2612" s="45">
        <v>2002</v>
      </c>
      <c r="C2612" s="17">
        <v>0</v>
      </c>
      <c r="D2612" s="14">
        <v>4.7185600000000001E-2</v>
      </c>
      <c r="E2612" s="14">
        <v>0.1201318</v>
      </c>
      <c r="F2612" s="14">
        <v>4.6927499999999997E-2</v>
      </c>
      <c r="G2612" s="14">
        <v>0.28577370000000002</v>
      </c>
      <c r="H2612" s="14">
        <v>0.1645886</v>
      </c>
      <c r="R2612" s="11">
        <f t="shared" si="82"/>
        <v>2.7951531192038987E-2</v>
      </c>
      <c r="Z2612" s="11">
        <f t="shared" si="81"/>
        <v>3.6002473522291183E-2</v>
      </c>
    </row>
    <row r="2613" spans="1:26" x14ac:dyDescent="0.2">
      <c r="A2613" s="45">
        <v>460</v>
      </c>
      <c r="B2613" s="45">
        <v>2003</v>
      </c>
      <c r="C2613" s="17">
        <v>0</v>
      </c>
      <c r="D2613" s="14">
        <v>5.6000000000000001E-2</v>
      </c>
      <c r="E2613" s="14">
        <v>0.1043299</v>
      </c>
      <c r="F2613" s="14">
        <v>3.3343299999999999E-2</v>
      </c>
      <c r="G2613" s="14">
        <v>0.32903500000000002</v>
      </c>
      <c r="H2613" s="14">
        <v>0.15446589999999999</v>
      </c>
      <c r="R2613" s="11">
        <f t="shared" si="82"/>
        <v>2.9706361492422388E-2</v>
      </c>
      <c r="Z2613" s="11">
        <f t="shared" si="81"/>
        <v>3.7781056903528974E-2</v>
      </c>
    </row>
    <row r="2614" spans="1:26" x14ac:dyDescent="0.2">
      <c r="A2614" s="45">
        <v>460</v>
      </c>
      <c r="B2614" s="45">
        <v>2004</v>
      </c>
      <c r="C2614" s="17">
        <v>0</v>
      </c>
      <c r="D2614" s="14">
        <v>3.6098400000000003E-2</v>
      </c>
      <c r="E2614" s="14">
        <v>0.1020982</v>
      </c>
      <c r="F2614" s="14">
        <v>4.9940100000000001E-2</v>
      </c>
      <c r="G2614" s="14">
        <v>0.28940909999999997</v>
      </c>
      <c r="H2614" s="14">
        <v>0.18824750000000001</v>
      </c>
      <c r="R2614" s="11">
        <f t="shared" si="82"/>
        <v>2.7851986463935025E-2</v>
      </c>
      <c r="Z2614" s="11">
        <f t="shared" si="81"/>
        <v>3.5936629537458978E-2</v>
      </c>
    </row>
    <row r="2615" spans="1:26" x14ac:dyDescent="0.2">
      <c r="A2615" s="45">
        <v>461</v>
      </c>
      <c r="B2615" s="45">
        <v>1999</v>
      </c>
      <c r="C2615" s="17">
        <v>0</v>
      </c>
      <c r="D2615" s="14">
        <v>-7.3064599999999993E-2</v>
      </c>
      <c r="E2615" s="14">
        <v>0.13478190000000001</v>
      </c>
      <c r="F2615" s="14">
        <v>4.3366000000000002E-2</v>
      </c>
      <c r="G2615" s="14">
        <v>0.44584570000000001</v>
      </c>
      <c r="H2615" s="14">
        <v>0.14862130000000001</v>
      </c>
      <c r="R2615" s="11">
        <f t="shared" si="82"/>
        <v>2.194908240872389E-2</v>
      </c>
      <c r="Z2615" s="11">
        <f t="shared" si="81"/>
        <v>2.8158430683107846E-2</v>
      </c>
    </row>
    <row r="2616" spans="1:26" x14ac:dyDescent="0.2">
      <c r="A2616" s="45">
        <v>461</v>
      </c>
      <c r="B2616" s="45">
        <v>2000</v>
      </c>
      <c r="C2616" s="17">
        <v>0</v>
      </c>
      <c r="D2616" s="14">
        <v>-8.2842899999999997E-2</v>
      </c>
      <c r="E2616" s="14">
        <v>6.2715400000000004E-2</v>
      </c>
      <c r="F2616" s="14">
        <v>3.3337199999999997E-2</v>
      </c>
      <c r="G2616" s="14">
        <v>0.42322470000000001</v>
      </c>
      <c r="H2616" s="14">
        <v>0.1741163</v>
      </c>
      <c r="R2616" s="11">
        <f t="shared" si="82"/>
        <v>2.7231266447723976E-2</v>
      </c>
      <c r="Z2616" s="11">
        <f t="shared" si="81"/>
        <v>3.4540127520380076E-2</v>
      </c>
    </row>
    <row r="2617" spans="1:26" x14ac:dyDescent="0.2">
      <c r="A2617" s="45">
        <v>461</v>
      </c>
      <c r="B2617" s="45">
        <v>2001</v>
      </c>
      <c r="C2617" s="17">
        <v>0</v>
      </c>
      <c r="D2617" s="14">
        <v>-8.6544599999999999E-2</v>
      </c>
      <c r="E2617" s="14">
        <v>8.5035600000000003E-2</v>
      </c>
      <c r="F2617" s="14">
        <v>5.0113699999999997E-2</v>
      </c>
      <c r="G2617" s="14">
        <v>0.38127939999999999</v>
      </c>
      <c r="H2617" s="14">
        <v>0.14493039999999999</v>
      </c>
      <c r="R2617" s="11">
        <f t="shared" si="82"/>
        <v>2.4708549775343491E-2</v>
      </c>
      <c r="Z2617" s="11">
        <f t="shared" si="81"/>
        <v>3.1834611382303923E-2</v>
      </c>
    </row>
    <row r="2618" spans="1:26" x14ac:dyDescent="0.2">
      <c r="A2618" s="45">
        <v>461</v>
      </c>
      <c r="B2618" s="45">
        <v>2002</v>
      </c>
      <c r="C2618" s="17">
        <v>0</v>
      </c>
      <c r="D2618" s="14">
        <v>-0.1114052</v>
      </c>
      <c r="E2618" s="14">
        <v>6.9658300000000006E-2</v>
      </c>
      <c r="F2618" s="14">
        <v>4.8197299999999998E-2</v>
      </c>
      <c r="G2618" s="14">
        <v>0.47049299999999999</v>
      </c>
      <c r="H2618" s="14">
        <v>0.12432310000000001</v>
      </c>
      <c r="R2618" s="11">
        <f t="shared" si="82"/>
        <v>2.2311933734380483E-2</v>
      </c>
      <c r="Z2618" s="11">
        <f t="shared" si="81"/>
        <v>2.8653898449682923E-2</v>
      </c>
    </row>
    <row r="2619" spans="1:26" x14ac:dyDescent="0.2">
      <c r="A2619" s="45">
        <v>461</v>
      </c>
      <c r="B2619" s="45">
        <v>2003</v>
      </c>
      <c r="C2619" s="17">
        <v>0</v>
      </c>
      <c r="D2619" s="14">
        <v>-1.6239E-3</v>
      </c>
      <c r="E2619" s="14">
        <v>7.7733300000000005E-2</v>
      </c>
      <c r="F2619" s="14">
        <v>4.49132E-2</v>
      </c>
      <c r="G2619" s="14">
        <v>0.53450640000000005</v>
      </c>
      <c r="H2619" s="14">
        <v>0.1320133</v>
      </c>
      <c r="R2619" s="11">
        <f t="shared" si="82"/>
        <v>2.0481243358936422E-2</v>
      </c>
      <c r="Z2619" s="11">
        <f t="shared" si="81"/>
        <v>2.6219025946073598E-2</v>
      </c>
    </row>
    <row r="2620" spans="1:26" x14ac:dyDescent="0.2">
      <c r="A2620" s="45">
        <v>461</v>
      </c>
      <c r="B2620" s="45">
        <v>2004</v>
      </c>
      <c r="C2620" s="17">
        <v>0</v>
      </c>
      <c r="D2620" s="14">
        <v>-5.6448900000000003E-2</v>
      </c>
      <c r="E2620" s="14">
        <v>7.6405100000000004E-2</v>
      </c>
      <c r="F2620" s="14">
        <v>6.1131900000000003E-2</v>
      </c>
      <c r="G2620" s="14">
        <v>0.52773460000000005</v>
      </c>
      <c r="H2620" s="14">
        <v>0.1616679</v>
      </c>
      <c r="R2620" s="11">
        <f t="shared" si="82"/>
        <v>1.826089887007231E-2</v>
      </c>
      <c r="Z2620" s="11">
        <f t="shared" si="81"/>
        <v>2.3699542344604831E-2</v>
      </c>
    </row>
    <row r="2621" spans="1:26" x14ac:dyDescent="0.2">
      <c r="A2621" s="45">
        <v>462</v>
      </c>
      <c r="B2621" s="45">
        <v>2000</v>
      </c>
      <c r="C2621" s="17">
        <v>0</v>
      </c>
      <c r="D2621" s="14">
        <v>-3.6909200000000003E-2</v>
      </c>
      <c r="E2621" s="14">
        <v>0.13483410000000001</v>
      </c>
      <c r="F2621" s="14">
        <v>4.07205E-2</v>
      </c>
      <c r="G2621" s="14">
        <v>0.636131</v>
      </c>
      <c r="H2621" s="14">
        <v>0.20361580000000001</v>
      </c>
      <c r="R2621" s="11">
        <f t="shared" si="82"/>
        <v>1.6642904810183871E-2</v>
      </c>
      <c r="Z2621" s="11">
        <f t="shared" si="81"/>
        <v>2.1251338625785651E-2</v>
      </c>
    </row>
    <row r="2622" spans="1:26" x14ac:dyDescent="0.2">
      <c r="A2622" s="45">
        <v>462</v>
      </c>
      <c r="B2622" s="45">
        <v>2001</v>
      </c>
      <c r="C2622" s="17">
        <v>0</v>
      </c>
      <c r="D2622" s="14">
        <v>-4.8681599999999998E-2</v>
      </c>
      <c r="E2622" s="14">
        <v>0.1096583</v>
      </c>
      <c r="F2622" s="14">
        <v>4.2596000000000002E-2</v>
      </c>
      <c r="G2622" s="14">
        <v>0.4562001</v>
      </c>
      <c r="H2622" s="14">
        <v>0.1023183</v>
      </c>
      <c r="R2622" s="11">
        <f t="shared" si="82"/>
        <v>2.2518380537249465E-2</v>
      </c>
      <c r="Z2622" s="11">
        <f t="shared" si="81"/>
        <v>2.8835810078665362E-2</v>
      </c>
    </row>
    <row r="2623" spans="1:26" x14ac:dyDescent="0.2">
      <c r="A2623" s="45">
        <v>462</v>
      </c>
      <c r="B2623" s="45">
        <v>2002</v>
      </c>
      <c r="C2623" s="17">
        <v>0</v>
      </c>
      <c r="D2623" s="14">
        <v>-0.29682550000000002</v>
      </c>
      <c r="E2623" s="14">
        <v>2.5428800000000001E-2</v>
      </c>
      <c r="F2623" s="14">
        <v>3.1231399999999999E-2</v>
      </c>
      <c r="G2623" s="14">
        <v>0.23725060000000001</v>
      </c>
      <c r="H2623" s="14">
        <v>0.1038138</v>
      </c>
      <c r="R2623" s="11">
        <f t="shared" si="82"/>
        <v>3.8852576847008782E-2</v>
      </c>
      <c r="Z2623" s="11">
        <f t="shared" si="81"/>
        <v>4.9174077565251599E-2</v>
      </c>
    </row>
    <row r="2624" spans="1:26" x14ac:dyDescent="0.2">
      <c r="A2624" s="45">
        <v>462</v>
      </c>
      <c r="B2624" s="45">
        <v>2003</v>
      </c>
      <c r="C2624" s="17">
        <v>0</v>
      </c>
      <c r="D2624" s="14">
        <v>5.3957499999999999E-2</v>
      </c>
      <c r="E2624" s="14">
        <v>3.6774599999999998E-2</v>
      </c>
      <c r="F2624" s="14">
        <v>4.2874500000000003E-2</v>
      </c>
      <c r="G2624" s="14">
        <v>0.4889174</v>
      </c>
      <c r="H2624" s="14">
        <v>0.1256428</v>
      </c>
      <c r="R2624" s="11">
        <f t="shared" si="82"/>
        <v>2.3682787392592032E-2</v>
      </c>
      <c r="Z2624" s="11">
        <f t="shared" si="81"/>
        <v>3.0228967700711346E-2</v>
      </c>
    </row>
    <row r="2625" spans="1:26" x14ac:dyDescent="0.2">
      <c r="A2625" s="45">
        <v>462</v>
      </c>
      <c r="B2625" s="45">
        <v>2004</v>
      </c>
      <c r="C2625" s="17">
        <v>0</v>
      </c>
      <c r="D2625" s="14">
        <v>2.9545399999999999E-2</v>
      </c>
      <c r="E2625" s="14">
        <v>5.6256E-2</v>
      </c>
      <c r="F2625" s="14">
        <v>3.6356699999999999E-2</v>
      </c>
      <c r="G2625" s="14">
        <v>0.52731450000000002</v>
      </c>
      <c r="H2625" s="14">
        <v>0.1378105</v>
      </c>
      <c r="R2625" s="11">
        <f t="shared" si="82"/>
        <v>2.2833718315092396E-2</v>
      </c>
      <c r="Z2625" s="11">
        <f t="shared" si="81"/>
        <v>2.8996378496211984E-2</v>
      </c>
    </row>
    <row r="2626" spans="1:26" x14ac:dyDescent="0.2">
      <c r="A2626" s="45">
        <v>463</v>
      </c>
      <c r="B2626" s="45">
        <v>1995</v>
      </c>
      <c r="C2626" s="17">
        <v>0</v>
      </c>
      <c r="D2626" s="14">
        <v>9.7838599999999998E-2</v>
      </c>
      <c r="E2626" s="14">
        <v>0.25053399999999998</v>
      </c>
      <c r="F2626" s="14">
        <v>5.5086999999999997E-2</v>
      </c>
      <c r="G2626" s="14">
        <v>0.81967880000000004</v>
      </c>
      <c r="H2626" s="14">
        <v>0.35610619999999998</v>
      </c>
      <c r="R2626" s="11">
        <f t="shared" si="82"/>
        <v>9.4276356783724834E-3</v>
      </c>
      <c r="Z2626" s="11">
        <f t="shared" ref="Z2626:Z2689" si="83">1/(1+EXP(-(U$2+$V$2*E2626+$W$2*F2626+$X$2*G2626)))</f>
        <v>1.2202893334942386E-2</v>
      </c>
    </row>
    <row r="2627" spans="1:26" x14ac:dyDescent="0.2">
      <c r="A2627" s="45">
        <v>463</v>
      </c>
      <c r="B2627" s="45">
        <v>1996</v>
      </c>
      <c r="C2627" s="17">
        <v>0</v>
      </c>
      <c r="D2627" s="14">
        <v>3.1183800000000001E-2</v>
      </c>
      <c r="E2627" s="14">
        <v>0.16933110000000001</v>
      </c>
      <c r="F2627" s="14">
        <v>5.3587200000000001E-2</v>
      </c>
      <c r="G2627" s="14">
        <v>0.68796610000000002</v>
      </c>
      <c r="H2627" s="14">
        <v>0.28659089999999998</v>
      </c>
      <c r="R2627" s="11">
        <f t="shared" si="82"/>
        <v>1.3194494543904109E-2</v>
      </c>
      <c r="Z2627" s="11">
        <f t="shared" si="83"/>
        <v>1.7040883029765339E-2</v>
      </c>
    </row>
    <row r="2628" spans="1:26" x14ac:dyDescent="0.2">
      <c r="A2628" s="45">
        <v>463</v>
      </c>
      <c r="B2628" s="45">
        <v>1997</v>
      </c>
      <c r="C2628" s="17">
        <v>0</v>
      </c>
      <c r="D2628" s="14">
        <v>4.7902899999999998E-2</v>
      </c>
      <c r="E2628" s="14">
        <v>0.21172779999999999</v>
      </c>
      <c r="F2628" s="14">
        <v>6.08111E-2</v>
      </c>
      <c r="G2628" s="14">
        <v>1.1299360000000001</v>
      </c>
      <c r="H2628" s="14">
        <v>0.29454639999999999</v>
      </c>
      <c r="R2628" s="11">
        <f t="shared" si="82"/>
        <v>5.8327082912207747E-3</v>
      </c>
      <c r="Z2628" s="11">
        <f t="shared" si="83"/>
        <v>7.5317987523263168E-3</v>
      </c>
    </row>
    <row r="2629" spans="1:26" x14ac:dyDescent="0.2">
      <c r="A2629" s="45">
        <v>463</v>
      </c>
      <c r="B2629" s="45">
        <v>1998</v>
      </c>
      <c r="C2629" s="17">
        <v>0</v>
      </c>
      <c r="D2629" s="14">
        <v>0.1045879</v>
      </c>
      <c r="E2629" s="14">
        <v>0.23037489999999999</v>
      </c>
      <c r="F2629" s="14">
        <v>5.2080500000000002E-2</v>
      </c>
      <c r="G2629" s="14">
        <v>0.78326609999999997</v>
      </c>
      <c r="H2629" s="14">
        <v>0.31630999999999998</v>
      </c>
      <c r="R2629" s="11">
        <f t="shared" si="82"/>
        <v>1.0526786478296907E-2</v>
      </c>
      <c r="Z2629" s="11">
        <f t="shared" si="83"/>
        <v>1.358957191188055E-2</v>
      </c>
    </row>
    <row r="2630" spans="1:26" x14ac:dyDescent="0.2">
      <c r="A2630" s="45">
        <v>463</v>
      </c>
      <c r="B2630" s="45">
        <v>1999</v>
      </c>
      <c r="C2630" s="17">
        <v>0</v>
      </c>
      <c r="D2630" s="14">
        <v>7.0150699999999996E-2</v>
      </c>
      <c r="E2630" s="14">
        <v>0.26247510000000002</v>
      </c>
      <c r="F2630" s="14">
        <v>5.3447799999999997E-2</v>
      </c>
      <c r="G2630" s="14">
        <v>0.66837219999999997</v>
      </c>
      <c r="H2630" s="14">
        <v>0.25583669999999997</v>
      </c>
      <c r="R2630" s="11">
        <f t="shared" si="82"/>
        <v>1.1917399697583654E-2</v>
      </c>
      <c r="Z2630" s="11">
        <f t="shared" si="83"/>
        <v>1.5450605950254145E-2</v>
      </c>
    </row>
    <row r="2631" spans="1:26" x14ac:dyDescent="0.2">
      <c r="A2631" s="45">
        <v>463</v>
      </c>
      <c r="B2631" s="45">
        <v>2000</v>
      </c>
      <c r="C2631" s="17">
        <v>0</v>
      </c>
      <c r="D2631" s="14">
        <v>1.68022E-2</v>
      </c>
      <c r="E2631" s="14">
        <v>0.30050900000000003</v>
      </c>
      <c r="F2631" s="14">
        <v>6.3611899999999999E-2</v>
      </c>
      <c r="G2631" s="14">
        <v>1.0361560000000001</v>
      </c>
      <c r="H2631" s="14">
        <v>0.26278040000000003</v>
      </c>
      <c r="R2631" s="11">
        <f t="shared" si="82"/>
        <v>5.8208550116522033E-3</v>
      </c>
      <c r="Z2631" s="11">
        <f t="shared" si="83"/>
        <v>7.5719550035258975E-3</v>
      </c>
    </row>
    <row r="2632" spans="1:26" x14ac:dyDescent="0.2">
      <c r="A2632" s="45">
        <v>463</v>
      </c>
      <c r="B2632" s="45">
        <v>2001</v>
      </c>
      <c r="C2632" s="17">
        <v>0</v>
      </c>
      <c r="D2632" s="14">
        <v>-5.6705000000000002E-3</v>
      </c>
      <c r="E2632" s="14">
        <v>0.1710913</v>
      </c>
      <c r="F2632" s="14">
        <v>4.8714199999999999E-2</v>
      </c>
      <c r="G2632" s="14">
        <v>0.8816119</v>
      </c>
      <c r="H2632" s="14">
        <v>0.23584379999999999</v>
      </c>
      <c r="R2632" s="11">
        <f t="shared" si="82"/>
        <v>1.008224331203642E-2</v>
      </c>
      <c r="Z2632" s="11">
        <f t="shared" si="83"/>
        <v>1.292830786584742E-2</v>
      </c>
    </row>
    <row r="2633" spans="1:26" x14ac:dyDescent="0.2">
      <c r="A2633" s="45">
        <v>463</v>
      </c>
      <c r="B2633" s="45">
        <v>2002</v>
      </c>
      <c r="C2633" s="17">
        <v>0</v>
      </c>
      <c r="D2633" s="14">
        <v>0.13164020000000001</v>
      </c>
      <c r="E2633" s="14">
        <v>6.6606299999999993E-2</v>
      </c>
      <c r="F2633" s="14">
        <v>3.8161500000000001E-2</v>
      </c>
      <c r="G2633" s="14">
        <v>0.70199579999999995</v>
      </c>
      <c r="H2633" s="14">
        <v>0.14424390000000001</v>
      </c>
      <c r="R2633" s="11">
        <f t="shared" si="82"/>
        <v>1.6885407878517944E-2</v>
      </c>
      <c r="Z2633" s="11">
        <f t="shared" si="83"/>
        <v>2.1435691083572593E-2</v>
      </c>
    </row>
    <row r="2634" spans="1:26" x14ac:dyDescent="0.2">
      <c r="A2634" s="45">
        <v>463</v>
      </c>
      <c r="B2634" s="45">
        <v>2003</v>
      </c>
      <c r="C2634" s="17">
        <v>0</v>
      </c>
      <c r="D2634" s="14">
        <v>1.24682E-2</v>
      </c>
      <c r="E2634" s="14">
        <v>0.14152519999999999</v>
      </c>
      <c r="F2634" s="14">
        <v>4.5240099999999998E-2</v>
      </c>
      <c r="G2634" s="14">
        <v>1.08158</v>
      </c>
      <c r="H2634" s="14">
        <v>0.25337290000000001</v>
      </c>
      <c r="R2634" s="11">
        <f t="shared" si="82"/>
        <v>7.8861107386659045E-3</v>
      </c>
      <c r="Z2634" s="11">
        <f t="shared" si="83"/>
        <v>1.0036130619884585E-2</v>
      </c>
    </row>
    <row r="2635" spans="1:26" x14ac:dyDescent="0.2">
      <c r="A2635" s="45">
        <v>463</v>
      </c>
      <c r="B2635" s="45">
        <v>2004</v>
      </c>
      <c r="C2635" s="17">
        <v>0</v>
      </c>
      <c r="D2635" s="14">
        <v>4.9253900000000003E-2</v>
      </c>
      <c r="E2635" s="14">
        <v>0.15080569999999999</v>
      </c>
      <c r="F2635" s="14">
        <v>5.0950599999999999E-2</v>
      </c>
      <c r="G2635" s="14">
        <v>1.2232050000000001</v>
      </c>
      <c r="H2635" s="14">
        <v>0.2584939</v>
      </c>
      <c r="R2635" s="11">
        <f t="shared" si="82"/>
        <v>5.9428831138211968E-3</v>
      </c>
      <c r="Z2635" s="11">
        <f t="shared" si="83"/>
        <v>7.5812877813530594E-3</v>
      </c>
    </row>
    <row r="2636" spans="1:26" x14ac:dyDescent="0.2">
      <c r="A2636" s="45">
        <v>464</v>
      </c>
      <c r="B2636" s="45">
        <v>1995</v>
      </c>
      <c r="C2636" s="17">
        <v>0</v>
      </c>
      <c r="D2636" s="14">
        <v>0.243003</v>
      </c>
      <c r="E2636" s="14">
        <v>-0.1941156</v>
      </c>
      <c r="F2636" s="14">
        <v>4.8196599999999999E-2</v>
      </c>
      <c r="G2636" s="14">
        <v>8.2669099999999995E-2</v>
      </c>
      <c r="H2636" s="14">
        <v>0.2601849</v>
      </c>
      <c r="R2636" s="11">
        <f t="shared" si="82"/>
        <v>5.8497291548996626E-2</v>
      </c>
      <c r="Z2636" s="11">
        <f t="shared" si="83"/>
        <v>7.4308031655275789E-2</v>
      </c>
    </row>
    <row r="2637" spans="1:26" x14ac:dyDescent="0.2">
      <c r="A2637" s="45">
        <v>464</v>
      </c>
      <c r="B2637" s="45">
        <v>1996</v>
      </c>
      <c r="C2637" s="17">
        <v>0</v>
      </c>
      <c r="D2637" s="14">
        <v>0.45181320000000003</v>
      </c>
      <c r="E2637" s="14">
        <v>-0.2423582</v>
      </c>
      <c r="F2637" s="14">
        <v>4.09956E-2</v>
      </c>
      <c r="G2637" s="14">
        <v>0.29704170000000002</v>
      </c>
      <c r="H2637" s="14">
        <v>0.36288009999999998</v>
      </c>
      <c r="R2637" s="11">
        <f t="shared" si="82"/>
        <v>4.7771639182469863E-2</v>
      </c>
      <c r="Z2637" s="11">
        <f t="shared" si="83"/>
        <v>6.0172808693927694E-2</v>
      </c>
    </row>
    <row r="2638" spans="1:26" x14ac:dyDescent="0.2">
      <c r="A2638" s="45">
        <v>464</v>
      </c>
      <c r="B2638" s="45">
        <v>1997</v>
      </c>
      <c r="C2638" s="17">
        <v>0</v>
      </c>
      <c r="D2638" s="14">
        <v>0.351493</v>
      </c>
      <c r="E2638" s="14">
        <v>-0.16210769999999999</v>
      </c>
      <c r="F2638" s="14">
        <v>5.5988200000000002E-2</v>
      </c>
      <c r="G2638" s="14">
        <v>0.94566380000000005</v>
      </c>
      <c r="H2638" s="14">
        <v>0.40840530000000003</v>
      </c>
      <c r="R2638" s="11">
        <f t="shared" si="82"/>
        <v>1.3889630287274317E-2</v>
      </c>
      <c r="Z2638" s="11">
        <f t="shared" si="83"/>
        <v>1.7671512729137799E-2</v>
      </c>
    </row>
    <row r="2639" spans="1:26" x14ac:dyDescent="0.2">
      <c r="A2639" s="45">
        <v>464</v>
      </c>
      <c r="B2639" s="45">
        <v>1998</v>
      </c>
      <c r="C2639" s="17">
        <v>0</v>
      </c>
      <c r="D2639" s="14">
        <v>0.34093309999999999</v>
      </c>
      <c r="E2639" s="14">
        <v>-4.9398600000000001E-2</v>
      </c>
      <c r="F2639" s="14">
        <v>7.4256799999999998E-2</v>
      </c>
      <c r="G2639" s="14">
        <v>0.59813989999999995</v>
      </c>
      <c r="H2639" s="14">
        <v>0.31574180000000002</v>
      </c>
      <c r="R2639" s="11">
        <f t="shared" si="82"/>
        <v>1.7656680518815162E-2</v>
      </c>
      <c r="Z2639" s="11">
        <f t="shared" si="83"/>
        <v>2.302946879086645E-2</v>
      </c>
    </row>
    <row r="2640" spans="1:26" x14ac:dyDescent="0.2">
      <c r="A2640" s="45">
        <v>464</v>
      </c>
      <c r="B2640" s="45">
        <v>1999</v>
      </c>
      <c r="C2640" s="17">
        <v>0</v>
      </c>
      <c r="D2640" s="14">
        <v>0.36343510000000001</v>
      </c>
      <c r="E2640" s="14">
        <v>5.9813100000000001E-2</v>
      </c>
      <c r="F2640" s="14">
        <v>4.2708599999999999E-2</v>
      </c>
      <c r="G2640" s="14">
        <v>0.46780840000000001</v>
      </c>
      <c r="H2640" s="14">
        <v>0.25325199999999998</v>
      </c>
      <c r="R2640" s="11">
        <f t="shared" si="82"/>
        <v>2.3716748765583245E-2</v>
      </c>
      <c r="Z2640" s="11">
        <f t="shared" si="83"/>
        <v>3.0304877829965028E-2</v>
      </c>
    </row>
    <row r="2641" spans="1:26" x14ac:dyDescent="0.2">
      <c r="A2641" s="45">
        <v>464</v>
      </c>
      <c r="B2641" s="45">
        <v>2000</v>
      </c>
      <c r="C2641" s="17">
        <v>0</v>
      </c>
      <c r="D2641" s="14">
        <v>0.36860540000000003</v>
      </c>
      <c r="E2641" s="14">
        <v>9.4823099999999994E-2</v>
      </c>
      <c r="F2641" s="14">
        <v>3.7645999999999999E-2</v>
      </c>
      <c r="G2641" s="14">
        <v>0.30787949999999997</v>
      </c>
      <c r="H2641" s="14">
        <v>0.25894220000000001</v>
      </c>
      <c r="R2641" s="11">
        <f t="shared" si="82"/>
        <v>3.0086838720819156E-2</v>
      </c>
      <c r="Z2641" s="11">
        <f t="shared" si="83"/>
        <v>3.8396036947107012E-2</v>
      </c>
    </row>
    <row r="2642" spans="1:26" x14ac:dyDescent="0.2">
      <c r="A2642" s="45">
        <v>464</v>
      </c>
      <c r="B2642" s="45">
        <v>2001</v>
      </c>
      <c r="C2642" s="17">
        <v>0</v>
      </c>
      <c r="D2642" s="14">
        <v>0.34918979999999999</v>
      </c>
      <c r="E2642" s="14">
        <v>7.1815299999999999E-2</v>
      </c>
      <c r="F2642" s="14">
        <v>2.9683899999999999E-2</v>
      </c>
      <c r="G2642" s="14">
        <v>0.39016919999999999</v>
      </c>
      <c r="H2642" s="14">
        <v>0.22339200000000001</v>
      </c>
      <c r="R2642" s="11">
        <f t="shared" si="82"/>
        <v>2.9110549390481254E-2</v>
      </c>
      <c r="Z2642" s="11">
        <f t="shared" si="83"/>
        <v>3.6835258558886502E-2</v>
      </c>
    </row>
    <row r="2643" spans="1:26" x14ac:dyDescent="0.2">
      <c r="A2643" s="45">
        <v>464</v>
      </c>
      <c r="B2643" s="45">
        <v>2002</v>
      </c>
      <c r="C2643" s="17">
        <v>0</v>
      </c>
      <c r="D2643" s="14">
        <v>0.3426109</v>
      </c>
      <c r="E2643" s="14">
        <v>3.3025100000000002E-2</v>
      </c>
      <c r="F2643" s="14">
        <v>3.4838500000000001E-2</v>
      </c>
      <c r="G2643" s="14">
        <v>0.20451659999999999</v>
      </c>
      <c r="H2643" s="14">
        <v>0.26755119999999999</v>
      </c>
      <c r="R2643" s="11">
        <f t="shared" si="82"/>
        <v>3.9313231454162698E-2</v>
      </c>
      <c r="Z2643" s="11">
        <f t="shared" si="83"/>
        <v>4.9937274040230697E-2</v>
      </c>
    </row>
    <row r="2644" spans="1:26" x14ac:dyDescent="0.2">
      <c r="A2644" s="45">
        <v>464</v>
      </c>
      <c r="B2644" s="45">
        <v>2003</v>
      </c>
      <c r="C2644" s="17">
        <v>0</v>
      </c>
      <c r="D2644" s="14">
        <v>0.30420589999999997</v>
      </c>
      <c r="E2644" s="14">
        <v>6.2367600000000002E-2</v>
      </c>
      <c r="F2644" s="14">
        <v>4.5458999999999999E-2</v>
      </c>
      <c r="G2644" s="14">
        <v>0.51703100000000002</v>
      </c>
      <c r="H2644" s="14">
        <v>0.29960759999999997</v>
      </c>
      <c r="R2644" s="11">
        <f t="shared" si="82"/>
        <v>2.1421057596093772E-2</v>
      </c>
      <c r="Z2644" s="11">
        <f t="shared" si="83"/>
        <v>2.7422906479405592E-2</v>
      </c>
    </row>
    <row r="2645" spans="1:26" x14ac:dyDescent="0.2">
      <c r="A2645" s="45">
        <v>465</v>
      </c>
      <c r="B2645" s="45">
        <v>1995</v>
      </c>
      <c r="C2645" s="17">
        <v>0</v>
      </c>
      <c r="D2645" s="14">
        <v>-4.3067000000000001E-3</v>
      </c>
      <c r="E2645" s="14">
        <v>0.1430275</v>
      </c>
      <c r="F2645" s="14">
        <v>6.4665E-2</v>
      </c>
      <c r="G2645" s="14">
        <v>0.8964763</v>
      </c>
      <c r="H2645" s="14">
        <v>0.1505553</v>
      </c>
      <c r="R2645" s="11">
        <f t="shared" si="82"/>
        <v>9.0372685264316806E-3</v>
      </c>
      <c r="Z2645" s="11">
        <f t="shared" si="83"/>
        <v>1.1727619586613731E-2</v>
      </c>
    </row>
    <row r="2646" spans="1:26" x14ac:dyDescent="0.2">
      <c r="A2646" s="45">
        <v>465</v>
      </c>
      <c r="B2646" s="45">
        <v>1996</v>
      </c>
      <c r="C2646" s="17">
        <v>0</v>
      </c>
      <c r="D2646" s="14">
        <v>-4.0450600000000003E-2</v>
      </c>
      <c r="E2646" s="14">
        <v>0.1272761</v>
      </c>
      <c r="F2646" s="14">
        <v>5.8614899999999998E-2</v>
      </c>
      <c r="G2646" s="14">
        <v>0.931369</v>
      </c>
      <c r="H2646" s="14">
        <v>0.1601215</v>
      </c>
      <c r="R2646" s="11">
        <f t="shared" si="82"/>
        <v>9.1788985041973067E-3</v>
      </c>
      <c r="Z2646" s="11">
        <f t="shared" si="83"/>
        <v>1.1837367632222904E-2</v>
      </c>
    </row>
    <row r="2647" spans="1:26" x14ac:dyDescent="0.2">
      <c r="A2647" s="45">
        <v>465</v>
      </c>
      <c r="B2647" s="45">
        <v>1997</v>
      </c>
      <c r="C2647" s="17">
        <v>0</v>
      </c>
      <c r="D2647" s="14">
        <v>-5.0379300000000002E-2</v>
      </c>
      <c r="E2647" s="14">
        <v>0.1195369</v>
      </c>
      <c r="F2647" s="14">
        <v>4.4671799999999998E-2</v>
      </c>
      <c r="G2647" s="14">
        <v>1.021898</v>
      </c>
      <c r="H2647" s="14">
        <v>0.1282816</v>
      </c>
      <c r="R2647" s="11">
        <f t="shared" ref="R2647:R2710" si="84">1/(1+EXP(-(K$2+$M$2*E2647+$N$2*F2647+$O$2*G2647)))</f>
        <v>8.985574494497113E-3</v>
      </c>
      <c r="Z2647" s="11">
        <f t="shared" si="83"/>
        <v>1.1432962336540765E-2</v>
      </c>
    </row>
    <row r="2648" spans="1:26" x14ac:dyDescent="0.2">
      <c r="A2648" s="45">
        <v>465</v>
      </c>
      <c r="B2648" s="45">
        <v>1998</v>
      </c>
      <c r="C2648" s="17">
        <v>0</v>
      </c>
      <c r="D2648" s="14">
        <v>-2.47729E-2</v>
      </c>
      <c r="E2648" s="14">
        <v>0.1190706</v>
      </c>
      <c r="F2648" s="14">
        <v>4.6613399999999999E-2</v>
      </c>
      <c r="G2648" s="14">
        <v>0.90277609999999997</v>
      </c>
      <c r="H2648" s="14">
        <v>0.14124529999999999</v>
      </c>
      <c r="R2648" s="11">
        <f t="shared" si="84"/>
        <v>1.0685446821134512E-2</v>
      </c>
      <c r="Z2648" s="11">
        <f t="shared" si="83"/>
        <v>1.3645876270801901E-2</v>
      </c>
    </row>
    <row r="2649" spans="1:26" x14ac:dyDescent="0.2">
      <c r="A2649" s="45">
        <v>465</v>
      </c>
      <c r="B2649" s="45">
        <v>1999</v>
      </c>
      <c r="C2649" s="17">
        <v>0</v>
      </c>
      <c r="D2649" s="14">
        <v>1.0637300000000001E-2</v>
      </c>
      <c r="E2649" s="14">
        <v>0.12615100000000001</v>
      </c>
      <c r="F2649" s="14">
        <v>5.4833100000000003E-2</v>
      </c>
      <c r="G2649" s="14">
        <v>0.74098679999999995</v>
      </c>
      <c r="H2649" s="14">
        <v>0.1360479</v>
      </c>
      <c r="R2649" s="11">
        <f t="shared" si="84"/>
        <v>1.2788372738851059E-2</v>
      </c>
      <c r="Z2649" s="11">
        <f t="shared" si="83"/>
        <v>1.6491952006757266E-2</v>
      </c>
    </row>
    <row r="2650" spans="1:26" x14ac:dyDescent="0.2">
      <c r="A2650" s="45">
        <v>465</v>
      </c>
      <c r="B2650" s="45">
        <v>2000</v>
      </c>
      <c r="C2650" s="17">
        <v>0</v>
      </c>
      <c r="D2650" s="14">
        <v>3.0341999999999999E-3</v>
      </c>
      <c r="E2650" s="14">
        <v>0.1317402</v>
      </c>
      <c r="F2650" s="14">
        <v>6.9402800000000001E-2</v>
      </c>
      <c r="G2650" s="14">
        <v>0.87281050000000004</v>
      </c>
      <c r="H2650" s="14">
        <v>0.18552769999999999</v>
      </c>
      <c r="R2650" s="11">
        <f t="shared" si="84"/>
        <v>9.1837612237629148E-3</v>
      </c>
      <c r="Z2650" s="11">
        <f t="shared" si="83"/>
        <v>1.196460160405104E-2</v>
      </c>
    </row>
    <row r="2651" spans="1:26" x14ac:dyDescent="0.2">
      <c r="A2651" s="45">
        <v>465</v>
      </c>
      <c r="B2651" s="45">
        <v>2001</v>
      </c>
      <c r="C2651" s="17">
        <v>0</v>
      </c>
      <c r="D2651" s="14">
        <v>-1.59609E-2</v>
      </c>
      <c r="E2651" s="14">
        <v>0.13065550000000001</v>
      </c>
      <c r="F2651" s="14">
        <v>5.4707199999999997E-2</v>
      </c>
      <c r="G2651" s="14">
        <v>0.72426579999999996</v>
      </c>
      <c r="H2651" s="14">
        <v>0.19104570000000001</v>
      </c>
      <c r="R2651" s="11">
        <f t="shared" si="84"/>
        <v>1.3057564185479115E-2</v>
      </c>
      <c r="Z2651" s="11">
        <f t="shared" si="83"/>
        <v>1.6844717560044558E-2</v>
      </c>
    </row>
    <row r="2652" spans="1:26" x14ac:dyDescent="0.2">
      <c r="A2652" s="45">
        <v>465</v>
      </c>
      <c r="B2652" s="45">
        <v>2002</v>
      </c>
      <c r="C2652" s="17">
        <v>0</v>
      </c>
      <c r="D2652" s="14">
        <v>1.4702700000000001E-2</v>
      </c>
      <c r="E2652" s="14">
        <v>0.12899679999999999</v>
      </c>
      <c r="F2652" s="14">
        <v>6.3521300000000003E-2</v>
      </c>
      <c r="G2652" s="14">
        <v>0.83917249999999999</v>
      </c>
      <c r="H2652" s="14">
        <v>0.17705689999999999</v>
      </c>
      <c r="R2652" s="11">
        <f t="shared" si="84"/>
        <v>1.018651745301642E-2</v>
      </c>
      <c r="Z2652" s="11">
        <f t="shared" si="83"/>
        <v>1.321239149015176E-2</v>
      </c>
    </row>
    <row r="2653" spans="1:26" x14ac:dyDescent="0.2">
      <c r="A2653" s="45">
        <v>465</v>
      </c>
      <c r="B2653" s="45">
        <v>2003</v>
      </c>
      <c r="C2653" s="17">
        <v>0</v>
      </c>
      <c r="D2653" s="14">
        <v>2.4907499999999999E-2</v>
      </c>
      <c r="E2653" s="14">
        <v>0.1442861</v>
      </c>
      <c r="F2653" s="14">
        <v>6.2717999999999996E-2</v>
      </c>
      <c r="G2653" s="14">
        <v>0.75641190000000003</v>
      </c>
      <c r="H2653" s="14">
        <v>0.17533499999999999</v>
      </c>
      <c r="R2653" s="11">
        <f t="shared" si="84"/>
        <v>1.1426023082837947E-2</v>
      </c>
      <c r="Z2653" s="11">
        <f t="shared" si="83"/>
        <v>1.4839235861516451E-2</v>
      </c>
    </row>
    <row r="2654" spans="1:26" x14ac:dyDescent="0.2">
      <c r="A2654" s="45">
        <v>465</v>
      </c>
      <c r="B2654" s="45">
        <v>2004</v>
      </c>
      <c r="C2654" s="17">
        <v>0</v>
      </c>
      <c r="D2654" s="14">
        <v>1.10172E-2</v>
      </c>
      <c r="E2654" s="14">
        <v>0.14340269999999999</v>
      </c>
      <c r="F2654" s="14">
        <v>6.3345100000000001E-2</v>
      </c>
      <c r="G2654" s="14">
        <v>0.82974219999999999</v>
      </c>
      <c r="H2654" s="14">
        <v>0.1875397</v>
      </c>
      <c r="R2654" s="11">
        <f t="shared" si="84"/>
        <v>1.0141154884514159E-2</v>
      </c>
      <c r="Z2654" s="11">
        <f t="shared" si="83"/>
        <v>1.316096562033023E-2</v>
      </c>
    </row>
    <row r="2655" spans="1:26" x14ac:dyDescent="0.2">
      <c r="A2655" s="45">
        <v>466</v>
      </c>
      <c r="B2655" s="45">
        <v>1995</v>
      </c>
      <c r="C2655" s="17">
        <v>0</v>
      </c>
      <c r="D2655" s="14">
        <v>8.4318100000000007E-2</v>
      </c>
      <c r="E2655" s="14">
        <v>0.1568069</v>
      </c>
      <c r="F2655" s="14">
        <v>6.0716300000000001E-2</v>
      </c>
      <c r="G2655" s="14">
        <v>0.65640270000000001</v>
      </c>
      <c r="H2655" s="14">
        <v>0.1470786</v>
      </c>
      <c r="R2655" s="11">
        <f t="shared" si="84"/>
        <v>1.3344854534692096E-2</v>
      </c>
      <c r="Z2655" s="11">
        <f t="shared" si="83"/>
        <v>1.7338093759950324E-2</v>
      </c>
    </row>
    <row r="2656" spans="1:26" x14ac:dyDescent="0.2">
      <c r="A2656" s="45">
        <v>466</v>
      </c>
      <c r="B2656" s="45">
        <v>1996</v>
      </c>
      <c r="C2656" s="17">
        <v>0</v>
      </c>
      <c r="D2656" s="14">
        <v>7.4628799999999995E-2</v>
      </c>
      <c r="E2656" s="14">
        <v>9.3975000000000003E-2</v>
      </c>
      <c r="F2656" s="14">
        <v>5.0389400000000001E-2</v>
      </c>
      <c r="G2656" s="14">
        <v>0.34975980000000001</v>
      </c>
      <c r="H2656" s="14">
        <v>0.17004449999999999</v>
      </c>
      <c r="R2656" s="11">
        <f t="shared" si="84"/>
        <v>2.5566808764413487E-2</v>
      </c>
      <c r="Z2656" s="11">
        <f t="shared" si="83"/>
        <v>3.2971121714193724E-2</v>
      </c>
    </row>
    <row r="2657" spans="1:26" x14ac:dyDescent="0.2">
      <c r="A2657" s="45">
        <v>466</v>
      </c>
      <c r="B2657" s="45">
        <v>1997</v>
      </c>
      <c r="C2657" s="17">
        <v>0</v>
      </c>
      <c r="D2657" s="14">
        <v>3.0240699999999999E-2</v>
      </c>
      <c r="E2657" s="14">
        <v>9.6723699999999996E-2</v>
      </c>
      <c r="F2657" s="14">
        <v>3.8989200000000002E-2</v>
      </c>
      <c r="G2657" s="14">
        <v>0.46223799999999998</v>
      </c>
      <c r="H2657" s="14">
        <v>0.28598109999999999</v>
      </c>
      <c r="R2657" s="11">
        <f t="shared" si="84"/>
        <v>2.3370989265813637E-2</v>
      </c>
      <c r="Z2657" s="11">
        <f t="shared" si="83"/>
        <v>2.9817922951942726E-2</v>
      </c>
    </row>
    <row r="2658" spans="1:26" x14ac:dyDescent="0.2">
      <c r="A2658" s="45">
        <v>467</v>
      </c>
      <c r="B2658" s="45">
        <v>1999</v>
      </c>
      <c r="C2658" s="17">
        <v>0</v>
      </c>
      <c r="D2658" s="14">
        <v>0.23621600000000001</v>
      </c>
      <c r="E2658" s="14">
        <v>-0.2023268</v>
      </c>
      <c r="F2658" s="14">
        <v>-6.3933999999999996E-3</v>
      </c>
      <c r="G2658" s="14">
        <v>0.1018863</v>
      </c>
      <c r="H2658" s="14">
        <v>0.27015899999999998</v>
      </c>
      <c r="R2658" s="11">
        <f t="shared" si="84"/>
        <v>8.6233740979408599E-2</v>
      </c>
      <c r="Z2658" s="11">
        <f t="shared" si="83"/>
        <v>0.10435075673527833</v>
      </c>
    </row>
    <row r="2659" spans="1:26" x14ac:dyDescent="0.2">
      <c r="A2659" s="45">
        <v>467</v>
      </c>
      <c r="B2659" s="45">
        <v>2000</v>
      </c>
      <c r="C2659" s="17">
        <v>0</v>
      </c>
      <c r="D2659" s="14">
        <v>-0.32837169999999999</v>
      </c>
      <c r="E2659" s="14">
        <v>-0.56967500000000004</v>
      </c>
      <c r="F2659" s="14">
        <v>1.59036E-2</v>
      </c>
      <c r="G2659" s="14">
        <v>6.4009700000000003E-2</v>
      </c>
      <c r="H2659" s="14">
        <v>0.38763599999999998</v>
      </c>
      <c r="R2659" s="11">
        <f t="shared" si="84"/>
        <v>0.12516783857187391</v>
      </c>
      <c r="Z2659" s="11">
        <f t="shared" si="83"/>
        <v>0.15095445928984266</v>
      </c>
    </row>
    <row r="2660" spans="1:26" x14ac:dyDescent="0.2">
      <c r="A2660" s="45">
        <v>468</v>
      </c>
      <c r="B2660" s="45">
        <v>1995</v>
      </c>
      <c r="C2660" s="17">
        <v>0</v>
      </c>
      <c r="D2660" s="14">
        <v>6.7222799999999999E-2</v>
      </c>
      <c r="E2660" s="14">
        <v>0.15389259999999999</v>
      </c>
      <c r="F2660" s="14">
        <v>5.4611399999999997E-2</v>
      </c>
      <c r="G2660" s="14">
        <v>0.99485789999999996</v>
      </c>
      <c r="H2660" s="14">
        <v>0.1309631</v>
      </c>
      <c r="R2660" s="11">
        <f t="shared" si="84"/>
        <v>8.2481905456486416E-3</v>
      </c>
      <c r="Z2660" s="11">
        <f t="shared" si="83"/>
        <v>1.0600408760701516E-2</v>
      </c>
    </row>
    <row r="2661" spans="1:26" x14ac:dyDescent="0.2">
      <c r="A2661" s="45">
        <v>468</v>
      </c>
      <c r="B2661" s="45">
        <v>1996</v>
      </c>
      <c r="C2661" s="17">
        <v>0</v>
      </c>
      <c r="D2661" s="14">
        <v>7.2279099999999999E-2</v>
      </c>
      <c r="E2661" s="14">
        <v>0.16343969999999999</v>
      </c>
      <c r="F2661" s="14">
        <v>6.3396900000000006E-2</v>
      </c>
      <c r="G2661" s="14">
        <v>0.94051470000000004</v>
      </c>
      <c r="H2661" s="14">
        <v>0.14028080000000001</v>
      </c>
      <c r="R2661" s="11">
        <f t="shared" si="84"/>
        <v>8.2682035456550194E-3</v>
      </c>
      <c r="Z2661" s="11">
        <f t="shared" si="83"/>
        <v>1.0718192288544582E-2</v>
      </c>
    </row>
    <row r="2662" spans="1:26" x14ac:dyDescent="0.2">
      <c r="A2662" s="45">
        <v>468</v>
      </c>
      <c r="B2662" s="45">
        <v>1997</v>
      </c>
      <c r="C2662" s="17">
        <v>0</v>
      </c>
      <c r="D2662" s="14">
        <v>8.0400000000000003E-5</v>
      </c>
      <c r="E2662" s="14">
        <v>0.16326589999999999</v>
      </c>
      <c r="F2662" s="14">
        <v>3.9397300000000003E-2</v>
      </c>
      <c r="G2662" s="14">
        <v>0.98065579999999997</v>
      </c>
      <c r="H2662" s="14">
        <v>0.117012</v>
      </c>
      <c r="R2662" s="11">
        <f t="shared" si="84"/>
        <v>9.3890558171562128E-3</v>
      </c>
      <c r="Z2662" s="11">
        <f t="shared" si="83"/>
        <v>1.192241752620149E-2</v>
      </c>
    </row>
    <row r="2663" spans="1:26" x14ac:dyDescent="0.2">
      <c r="A2663" s="45">
        <v>468</v>
      </c>
      <c r="B2663" s="45">
        <v>1998</v>
      </c>
      <c r="C2663" s="17">
        <v>0</v>
      </c>
      <c r="D2663" s="14">
        <v>8.4608000000000003E-2</v>
      </c>
      <c r="E2663" s="14">
        <v>0.2029581</v>
      </c>
      <c r="F2663" s="14">
        <v>3.6020999999999997E-2</v>
      </c>
      <c r="G2663" s="14">
        <v>0.60359660000000004</v>
      </c>
      <c r="H2663" s="14">
        <v>0.1614968</v>
      </c>
      <c r="R2663" s="11">
        <f t="shared" si="84"/>
        <v>1.6486267675046431E-2</v>
      </c>
      <c r="Z2663" s="11">
        <f t="shared" si="83"/>
        <v>2.1035762030959318E-2</v>
      </c>
    </row>
    <row r="2664" spans="1:26" x14ac:dyDescent="0.2">
      <c r="A2664" s="45">
        <v>468</v>
      </c>
      <c r="B2664" s="45">
        <v>1999</v>
      </c>
      <c r="C2664" s="17">
        <v>0</v>
      </c>
      <c r="D2664" s="14">
        <v>8.9238300000000007E-2</v>
      </c>
      <c r="E2664" s="14">
        <v>0.22014400000000001</v>
      </c>
      <c r="F2664" s="14">
        <v>4.90716E-2</v>
      </c>
      <c r="G2664" s="14">
        <v>0.71973160000000003</v>
      </c>
      <c r="H2664" s="14">
        <v>0.20435600000000001</v>
      </c>
      <c r="R2664" s="11">
        <f t="shared" si="84"/>
        <v>1.209186176650957E-2</v>
      </c>
      <c r="Z2664" s="11">
        <f t="shared" si="83"/>
        <v>1.5581063901259518E-2</v>
      </c>
    </row>
    <row r="2665" spans="1:26" x14ac:dyDescent="0.2">
      <c r="A2665" s="45">
        <v>468</v>
      </c>
      <c r="B2665" s="45">
        <v>2000</v>
      </c>
      <c r="C2665" s="17">
        <v>0</v>
      </c>
      <c r="D2665" s="14">
        <v>0.1043766</v>
      </c>
      <c r="E2665" s="14">
        <v>0.2200638</v>
      </c>
      <c r="F2665" s="14">
        <v>3.6898399999999998E-2</v>
      </c>
      <c r="G2665" s="14">
        <v>0.66461979999999998</v>
      </c>
      <c r="H2665" s="14">
        <v>0.25264940000000002</v>
      </c>
      <c r="R2665" s="11">
        <f t="shared" si="84"/>
        <v>1.4518016318400445E-2</v>
      </c>
      <c r="Z2665" s="11">
        <f t="shared" si="83"/>
        <v>1.8533898092073266E-2</v>
      </c>
    </row>
    <row r="2666" spans="1:26" x14ac:dyDescent="0.2">
      <c r="A2666" s="45">
        <v>468</v>
      </c>
      <c r="B2666" s="45">
        <v>2001</v>
      </c>
      <c r="C2666" s="17">
        <v>0</v>
      </c>
      <c r="D2666" s="14">
        <v>4.1598599999999999E-2</v>
      </c>
      <c r="E2666" s="14">
        <v>0.16074949999999999</v>
      </c>
      <c r="F2666" s="14">
        <v>2.4770999999999999E-3</v>
      </c>
      <c r="G2666" s="14">
        <v>0.64261000000000001</v>
      </c>
      <c r="H2666" s="14">
        <v>0.17025699999999999</v>
      </c>
      <c r="R2666" s="11">
        <f t="shared" si="84"/>
        <v>2.1434550788603082E-2</v>
      </c>
      <c r="Z2666" s="11">
        <f t="shared" si="83"/>
        <v>2.653098657104238E-2</v>
      </c>
    </row>
    <row r="2667" spans="1:26" x14ac:dyDescent="0.2">
      <c r="A2667" s="45">
        <v>468</v>
      </c>
      <c r="B2667" s="45">
        <v>2002</v>
      </c>
      <c r="C2667" s="17">
        <v>0</v>
      </c>
      <c r="D2667" s="14">
        <v>2.9756600000000001E-2</v>
      </c>
      <c r="E2667" s="14">
        <v>0.14190949999999999</v>
      </c>
      <c r="F2667" s="14">
        <v>4.5566299999999997E-2</v>
      </c>
      <c r="G2667" s="14">
        <v>0.63732460000000002</v>
      </c>
      <c r="H2667" s="14">
        <v>0.22117809999999999</v>
      </c>
      <c r="R2667" s="11">
        <f t="shared" si="84"/>
        <v>1.5829247553105399E-2</v>
      </c>
      <c r="Z2667" s="11">
        <f t="shared" si="83"/>
        <v>2.0300141591122731E-2</v>
      </c>
    </row>
    <row r="2668" spans="1:26" x14ac:dyDescent="0.2">
      <c r="A2668" s="45">
        <v>468</v>
      </c>
      <c r="B2668" s="45">
        <v>2003</v>
      </c>
      <c r="C2668" s="17">
        <v>0</v>
      </c>
      <c r="D2668" s="14">
        <v>0.1163305</v>
      </c>
      <c r="E2668" s="14">
        <v>0.214166</v>
      </c>
      <c r="F2668" s="14">
        <v>2.3969899999999999E-2</v>
      </c>
      <c r="G2668" s="14">
        <v>0.96756560000000003</v>
      </c>
      <c r="H2668" s="14">
        <v>0.27055869999999999</v>
      </c>
      <c r="R2668" s="11">
        <f t="shared" si="84"/>
        <v>1.0065532614741451E-2</v>
      </c>
      <c r="Z2668" s="11">
        <f t="shared" si="83"/>
        <v>1.2645867445527226E-2</v>
      </c>
    </row>
    <row r="2669" spans="1:26" x14ac:dyDescent="0.2">
      <c r="A2669" s="45">
        <v>468</v>
      </c>
      <c r="B2669" s="45">
        <v>2004</v>
      </c>
      <c r="C2669" s="17">
        <v>0</v>
      </c>
      <c r="D2669" s="14">
        <v>0.14020650000000001</v>
      </c>
      <c r="E2669" s="14">
        <v>0.21907740000000001</v>
      </c>
      <c r="F2669" s="14">
        <v>3.3387E-2</v>
      </c>
      <c r="G2669" s="14">
        <v>1.25196</v>
      </c>
      <c r="H2669" s="14">
        <v>0.32675179999999998</v>
      </c>
      <c r="R2669" s="11">
        <f t="shared" si="84"/>
        <v>5.9157700868259734E-3</v>
      </c>
      <c r="Z2669" s="11">
        <f t="shared" si="83"/>
        <v>7.452302724109577E-3</v>
      </c>
    </row>
    <row r="2670" spans="1:26" x14ac:dyDescent="0.2">
      <c r="A2670" s="45">
        <v>469</v>
      </c>
      <c r="B2670" s="45">
        <v>1998</v>
      </c>
      <c r="C2670" s="17">
        <v>0</v>
      </c>
      <c r="D2670" s="14">
        <v>0.23342979999999999</v>
      </c>
      <c r="E2670" s="14">
        <v>0.64753249999999996</v>
      </c>
      <c r="F2670" s="14">
        <v>4.2443399999999999E-2</v>
      </c>
      <c r="G2670" s="14">
        <v>3.309857</v>
      </c>
      <c r="H2670" s="14">
        <v>0.300645</v>
      </c>
      <c r="R2670" s="11">
        <f t="shared" si="84"/>
        <v>1.1175629325389688E-4</v>
      </c>
      <c r="Z2670" s="11">
        <f t="shared" si="83"/>
        <v>1.3776296557985285E-4</v>
      </c>
    </row>
    <row r="2671" spans="1:26" x14ac:dyDescent="0.2">
      <c r="A2671" s="45">
        <v>469</v>
      </c>
      <c r="B2671" s="45">
        <v>1999</v>
      </c>
      <c r="C2671" s="17">
        <v>0</v>
      </c>
      <c r="D2671" s="14">
        <v>0.30016330000000002</v>
      </c>
      <c r="E2671" s="14">
        <v>0.61269130000000005</v>
      </c>
      <c r="F2671" s="14">
        <v>6.9634399999999999E-2</v>
      </c>
      <c r="G2671" s="14">
        <v>3.290991</v>
      </c>
      <c r="H2671" s="14">
        <v>0.3197643</v>
      </c>
      <c r="R2671" s="11">
        <f t="shared" si="84"/>
        <v>9.7471202957398503E-5</v>
      </c>
      <c r="Z2671" s="11">
        <f t="shared" si="83"/>
        <v>1.2276615484309883E-4</v>
      </c>
    </row>
    <row r="2672" spans="1:26" x14ac:dyDescent="0.2">
      <c r="A2672" s="45">
        <v>469</v>
      </c>
      <c r="B2672" s="45">
        <v>2000</v>
      </c>
      <c r="C2672" s="17">
        <v>0</v>
      </c>
      <c r="D2672" s="14">
        <v>0.2436265</v>
      </c>
      <c r="E2672" s="14">
        <v>0.70055199999999995</v>
      </c>
      <c r="F2672" s="14">
        <v>6.01275E-2</v>
      </c>
      <c r="G2672" s="14">
        <v>2.0583019999999999</v>
      </c>
      <c r="H2672" s="14">
        <v>0.30265419999999998</v>
      </c>
      <c r="R2672" s="11">
        <f t="shared" si="84"/>
        <v>6.5964092643190858E-4</v>
      </c>
      <c r="Z2672" s="11">
        <f t="shared" si="83"/>
        <v>8.4947585745399619E-4</v>
      </c>
    </row>
    <row r="2673" spans="1:26" x14ac:dyDescent="0.2">
      <c r="A2673" s="45">
        <v>469</v>
      </c>
      <c r="B2673" s="45">
        <v>2001</v>
      </c>
      <c r="C2673" s="17">
        <v>0</v>
      </c>
      <c r="D2673" s="14">
        <v>0.26457310000000001</v>
      </c>
      <c r="E2673" s="14">
        <v>0.71859729999999999</v>
      </c>
      <c r="F2673" s="14">
        <v>3.8996599999999999E-2</v>
      </c>
      <c r="G2673" s="14">
        <v>2.6743410000000001</v>
      </c>
      <c r="H2673" s="14">
        <v>0.29371130000000001</v>
      </c>
      <c r="R2673" s="11">
        <f t="shared" si="84"/>
        <v>2.8518644854484974E-4</v>
      </c>
      <c r="Z2673" s="11">
        <f t="shared" si="83"/>
        <v>3.5635143216176192E-4</v>
      </c>
    </row>
    <row r="2674" spans="1:26" x14ac:dyDescent="0.2">
      <c r="A2674" s="45">
        <v>469</v>
      </c>
      <c r="B2674" s="45">
        <v>2002</v>
      </c>
      <c r="C2674" s="17">
        <v>0</v>
      </c>
      <c r="D2674" s="14">
        <v>0.21784490000000001</v>
      </c>
      <c r="E2674" s="14">
        <v>0.61937379999999997</v>
      </c>
      <c r="F2674" s="14">
        <v>5.7260900000000003E-2</v>
      </c>
      <c r="G2674" s="14">
        <v>1.6068899999999999</v>
      </c>
      <c r="H2674" s="14">
        <v>0.32489820000000003</v>
      </c>
      <c r="R2674" s="11">
        <f t="shared" si="84"/>
        <v>1.557954088824148E-3</v>
      </c>
      <c r="Z2674" s="11">
        <f t="shared" si="83"/>
        <v>2.0154399102569427E-3</v>
      </c>
    </row>
    <row r="2675" spans="1:26" x14ac:dyDescent="0.2">
      <c r="A2675" s="45">
        <v>469</v>
      </c>
      <c r="B2675" s="45">
        <v>2003</v>
      </c>
      <c r="C2675" s="17">
        <v>0</v>
      </c>
      <c r="D2675" s="14">
        <v>0.2311087</v>
      </c>
      <c r="E2675" s="14">
        <v>0.62943550000000004</v>
      </c>
      <c r="F2675" s="14">
        <v>3.8009399999999999E-2</v>
      </c>
      <c r="G2675" s="14">
        <v>2.0611079999999999</v>
      </c>
      <c r="H2675" s="14">
        <v>0.4014375</v>
      </c>
      <c r="R2675" s="11">
        <f t="shared" si="84"/>
        <v>8.6900019403708944E-4</v>
      </c>
      <c r="Z2675" s="11">
        <f t="shared" si="83"/>
        <v>1.0961948299419862E-3</v>
      </c>
    </row>
    <row r="2676" spans="1:26" x14ac:dyDescent="0.2">
      <c r="A2676" s="45">
        <v>469</v>
      </c>
      <c r="B2676" s="45">
        <v>2004</v>
      </c>
      <c r="C2676" s="17">
        <v>0</v>
      </c>
      <c r="D2676" s="14">
        <v>0.36150979999999999</v>
      </c>
      <c r="E2676" s="14">
        <v>0.6405267</v>
      </c>
      <c r="F2676" s="14">
        <v>0.1071737</v>
      </c>
      <c r="G2676" s="14">
        <v>3.1480060000000001</v>
      </c>
      <c r="H2676" s="14">
        <v>0.52960560000000001</v>
      </c>
      <c r="R2676" s="11">
        <f t="shared" si="84"/>
        <v>8.7066754132364218E-5</v>
      </c>
      <c r="Z2676" s="11">
        <f t="shared" si="83"/>
        <v>1.1355326620709055E-4</v>
      </c>
    </row>
    <row r="2677" spans="1:26" x14ac:dyDescent="0.2">
      <c r="A2677" s="45">
        <v>470</v>
      </c>
      <c r="B2677" s="45">
        <v>1995</v>
      </c>
      <c r="C2677" s="17">
        <v>0</v>
      </c>
      <c r="D2677" s="14">
        <v>1.53118E-2</v>
      </c>
      <c r="E2677" s="14">
        <v>3.7521800000000001E-2</v>
      </c>
      <c r="F2677" s="14">
        <v>6.5557000000000004E-2</v>
      </c>
      <c r="G2677" s="14">
        <v>1.17946</v>
      </c>
      <c r="H2677" s="14">
        <v>0.1708952</v>
      </c>
      <c r="R2677" s="11">
        <f t="shared" si="84"/>
        <v>6.679509319554822E-3</v>
      </c>
      <c r="Z2677" s="11">
        <f t="shared" si="83"/>
        <v>8.5960662665420292E-3</v>
      </c>
    </row>
    <row r="2678" spans="1:26" x14ac:dyDescent="0.2">
      <c r="A2678" s="45">
        <v>470</v>
      </c>
      <c r="B2678" s="45">
        <v>1996</v>
      </c>
      <c r="C2678" s="17">
        <v>0</v>
      </c>
      <c r="D2678" s="14">
        <v>3.4916599999999999E-2</v>
      </c>
      <c r="E2678" s="14">
        <v>4.8678899999999997E-2</v>
      </c>
      <c r="F2678" s="14">
        <v>6.0071800000000002E-2</v>
      </c>
      <c r="G2678" s="14">
        <v>1.054584</v>
      </c>
      <c r="H2678" s="14">
        <v>0.1517636</v>
      </c>
      <c r="R2678" s="11">
        <f t="shared" si="84"/>
        <v>8.3645469971083426E-3</v>
      </c>
      <c r="Z2678" s="11">
        <f t="shared" si="83"/>
        <v>1.0744849522983805E-2</v>
      </c>
    </row>
    <row r="2679" spans="1:26" x14ac:dyDescent="0.2">
      <c r="A2679" s="45">
        <v>471</v>
      </c>
      <c r="B2679" s="45">
        <v>1995</v>
      </c>
      <c r="C2679" s="17">
        <v>1</v>
      </c>
      <c r="D2679" s="14">
        <v>0.2933405</v>
      </c>
      <c r="E2679" s="14">
        <v>-0.48168539999999999</v>
      </c>
      <c r="F2679" s="14">
        <v>8.2482600000000003E-2</v>
      </c>
      <c r="G2679" s="14">
        <v>1.7309209999999999</v>
      </c>
      <c r="H2679" s="14">
        <v>0.24845690000000001</v>
      </c>
      <c r="R2679" s="11">
        <f t="shared" si="84"/>
        <v>5.1619539331435142E-3</v>
      </c>
      <c r="Z2679" s="11">
        <f t="shared" si="83"/>
        <v>6.5407590776994616E-3</v>
      </c>
    </row>
    <row r="2680" spans="1:26" x14ac:dyDescent="0.2">
      <c r="A2680" s="45">
        <v>471</v>
      </c>
      <c r="B2680" s="45">
        <v>1997</v>
      </c>
      <c r="C2680" s="17">
        <v>0</v>
      </c>
      <c r="D2680" s="14">
        <v>0.24418670000000001</v>
      </c>
      <c r="E2680" s="14">
        <v>-0.22265879999999999</v>
      </c>
      <c r="F2680" s="14">
        <v>6.2970100000000001E-2</v>
      </c>
      <c r="G2680" s="14">
        <v>2.5979350000000001</v>
      </c>
      <c r="H2680" s="14">
        <v>0.25398470000000001</v>
      </c>
      <c r="R2680" s="11">
        <f t="shared" si="84"/>
        <v>1.0441768906708621E-3</v>
      </c>
      <c r="Z2680" s="11">
        <f t="shared" si="83"/>
        <v>1.2903309640324037E-3</v>
      </c>
    </row>
    <row r="2681" spans="1:26" x14ac:dyDescent="0.2">
      <c r="A2681" s="45">
        <v>471</v>
      </c>
      <c r="B2681" s="45">
        <v>1998</v>
      </c>
      <c r="C2681" s="17">
        <v>0</v>
      </c>
      <c r="D2681" s="14">
        <v>0.25482500000000002</v>
      </c>
      <c r="E2681" s="14">
        <v>-0.1291889</v>
      </c>
      <c r="F2681" s="14">
        <v>5.6925999999999997E-2</v>
      </c>
      <c r="G2681" s="14">
        <v>2.215894</v>
      </c>
      <c r="H2681" s="14">
        <v>0.21758710000000001</v>
      </c>
      <c r="R2681" s="11">
        <f t="shared" si="84"/>
        <v>1.7572903920433196E-3</v>
      </c>
      <c r="Z2681" s="11">
        <f t="shared" si="83"/>
        <v>2.1856704641201631E-3</v>
      </c>
    </row>
    <row r="2682" spans="1:26" x14ac:dyDescent="0.2">
      <c r="A2682" s="45">
        <v>472</v>
      </c>
      <c r="B2682" s="45">
        <v>1995</v>
      </c>
      <c r="C2682" s="17">
        <v>0</v>
      </c>
      <c r="D2682" s="14">
        <v>2.20967E-2</v>
      </c>
      <c r="E2682" s="14">
        <v>-5.0216900000000002E-2</v>
      </c>
      <c r="F2682" s="14">
        <v>3.2364499999999997E-2</v>
      </c>
      <c r="G2682" s="14">
        <v>0.55021059999999999</v>
      </c>
      <c r="H2682" s="14">
        <v>0.1704089</v>
      </c>
      <c r="R2682" s="11">
        <f t="shared" si="84"/>
        <v>2.6438030185866643E-2</v>
      </c>
      <c r="Z2682" s="11">
        <f t="shared" si="83"/>
        <v>3.330019338583147E-2</v>
      </c>
    </row>
    <row r="2683" spans="1:26" x14ac:dyDescent="0.2">
      <c r="A2683" s="45">
        <v>472</v>
      </c>
      <c r="B2683" s="45">
        <v>1996</v>
      </c>
      <c r="C2683" s="17">
        <v>0</v>
      </c>
      <c r="D2683" s="14">
        <v>2.7862399999999999E-2</v>
      </c>
      <c r="E2683" s="14">
        <v>-1.9510799999999998E-2</v>
      </c>
      <c r="F2683" s="14">
        <v>5.9935599999999999E-2</v>
      </c>
      <c r="G2683" s="14">
        <v>0.64617500000000005</v>
      </c>
      <c r="H2683" s="14">
        <v>0.19441330000000001</v>
      </c>
      <c r="R2683" s="11">
        <f t="shared" si="84"/>
        <v>1.7562402138348861E-2</v>
      </c>
      <c r="Z2683" s="11">
        <f t="shared" si="83"/>
        <v>2.264515045919099E-2</v>
      </c>
    </row>
    <row r="2684" spans="1:26" x14ac:dyDescent="0.2">
      <c r="A2684" s="45">
        <v>472</v>
      </c>
      <c r="B2684" s="45">
        <v>1997</v>
      </c>
      <c r="C2684" s="17">
        <v>0</v>
      </c>
      <c r="D2684" s="14">
        <v>2.2653099999999999E-2</v>
      </c>
      <c r="E2684" s="14">
        <v>-3.7506699999999997E-2</v>
      </c>
      <c r="F2684" s="14">
        <v>2.1306200000000001E-2</v>
      </c>
      <c r="G2684" s="14">
        <v>0.95263249999999999</v>
      </c>
      <c r="H2684" s="14">
        <v>0.15681809999999999</v>
      </c>
      <c r="R2684" s="11">
        <f t="shared" si="84"/>
        <v>1.510543366348804E-2</v>
      </c>
      <c r="Z2684" s="11">
        <f t="shared" si="83"/>
        <v>1.8759126572468181E-2</v>
      </c>
    </row>
    <row r="2685" spans="1:26" x14ac:dyDescent="0.2">
      <c r="A2685" s="45">
        <v>472</v>
      </c>
      <c r="B2685" s="45">
        <v>1998</v>
      </c>
      <c r="C2685" s="17">
        <v>0</v>
      </c>
      <c r="D2685" s="14">
        <v>2.5277999999999998E-2</v>
      </c>
      <c r="E2685" s="14">
        <v>-1.62507E-2</v>
      </c>
      <c r="F2685" s="14">
        <v>3.0195900000000001E-2</v>
      </c>
      <c r="G2685" s="14">
        <v>0.53979100000000002</v>
      </c>
      <c r="H2685" s="14">
        <v>0.14690420000000001</v>
      </c>
      <c r="R2685" s="11">
        <f t="shared" si="84"/>
        <v>2.6043608420681347E-2</v>
      </c>
      <c r="Z2685" s="11">
        <f t="shared" si="83"/>
        <v>3.279466717700729E-2</v>
      </c>
    </row>
    <row r="2686" spans="1:26" x14ac:dyDescent="0.2">
      <c r="A2686" s="45">
        <v>472</v>
      </c>
      <c r="B2686" s="45">
        <v>1999</v>
      </c>
      <c r="C2686" s="17">
        <v>0</v>
      </c>
      <c r="D2686" s="14">
        <v>1.58516E-2</v>
      </c>
      <c r="E2686" s="14">
        <v>1.5391999999999999E-3</v>
      </c>
      <c r="F2686" s="14">
        <v>6.9044700000000001E-2</v>
      </c>
      <c r="G2686" s="14">
        <v>0.77781029999999995</v>
      </c>
      <c r="H2686" s="14">
        <v>0.21690319999999999</v>
      </c>
      <c r="R2686" s="11">
        <f t="shared" si="84"/>
        <v>1.2900292462983147E-2</v>
      </c>
      <c r="Z2686" s="11">
        <f t="shared" si="83"/>
        <v>1.6743510888222037E-2</v>
      </c>
    </row>
    <row r="2687" spans="1:26" x14ac:dyDescent="0.2">
      <c r="A2687" s="45">
        <v>472</v>
      </c>
      <c r="B2687" s="45">
        <v>2000</v>
      </c>
      <c r="C2687" s="17">
        <v>0</v>
      </c>
      <c r="D2687" s="14">
        <v>2.9989000000000001E-3</v>
      </c>
      <c r="E2687" s="14">
        <v>8.8608800000000001E-2</v>
      </c>
      <c r="F2687" s="14">
        <v>8.2901100000000005E-2</v>
      </c>
      <c r="G2687" s="14">
        <v>0.64454120000000004</v>
      </c>
      <c r="H2687" s="14">
        <v>0.22437489999999999</v>
      </c>
      <c r="R2687" s="11">
        <f t="shared" si="84"/>
        <v>1.2585017618523625E-2</v>
      </c>
      <c r="Z2687" s="11">
        <f t="shared" si="83"/>
        <v>1.6615825454862544E-2</v>
      </c>
    </row>
    <row r="2688" spans="1:26" x14ac:dyDescent="0.2">
      <c r="A2688" s="45">
        <v>472</v>
      </c>
      <c r="B2688" s="45">
        <v>2001</v>
      </c>
      <c r="C2688" s="17">
        <v>0</v>
      </c>
      <c r="D2688" s="14">
        <v>9.1982000000000001E-3</v>
      </c>
      <c r="E2688" s="14">
        <v>0.12986990000000001</v>
      </c>
      <c r="F2688" s="14">
        <v>3.3117099999999997E-2</v>
      </c>
      <c r="G2688" s="14">
        <v>0.84494809999999998</v>
      </c>
      <c r="H2688" s="14">
        <v>0.1098589</v>
      </c>
      <c r="R2688" s="11">
        <f t="shared" si="84"/>
        <v>1.2821594482994931E-2</v>
      </c>
      <c r="Z2688" s="11">
        <f t="shared" si="83"/>
        <v>1.6213132816915044E-2</v>
      </c>
    </row>
    <row r="2689" spans="1:26" x14ac:dyDescent="0.2">
      <c r="A2689" s="45">
        <v>472</v>
      </c>
      <c r="B2689" s="45">
        <v>2002</v>
      </c>
      <c r="C2689" s="17">
        <v>0</v>
      </c>
      <c r="D2689" s="14">
        <v>1.26386E-2</v>
      </c>
      <c r="E2689" s="14">
        <v>0.16588140000000001</v>
      </c>
      <c r="F2689" s="14">
        <v>8.6468100000000006E-2</v>
      </c>
      <c r="G2689" s="14">
        <v>1.0771310000000001</v>
      </c>
      <c r="H2689" s="14">
        <v>0.15559000000000001</v>
      </c>
      <c r="R2689" s="11">
        <f t="shared" si="84"/>
        <v>5.5254788094259068E-3</v>
      </c>
      <c r="Z2689" s="11">
        <f t="shared" si="83"/>
        <v>7.2833149914309217E-3</v>
      </c>
    </row>
    <row r="2690" spans="1:26" x14ac:dyDescent="0.2">
      <c r="A2690" s="45">
        <v>472</v>
      </c>
      <c r="B2690" s="45">
        <v>2003</v>
      </c>
      <c r="C2690" s="17">
        <v>0</v>
      </c>
      <c r="D2690" s="14">
        <v>2.84833E-2</v>
      </c>
      <c r="E2690" s="14">
        <v>0.23458380000000001</v>
      </c>
      <c r="F2690" s="14">
        <v>7.2260699999999997E-2</v>
      </c>
      <c r="G2690" s="14">
        <v>1.617405</v>
      </c>
      <c r="H2690" s="14">
        <v>0.15378820000000001</v>
      </c>
      <c r="R2690" s="11">
        <f t="shared" si="84"/>
        <v>2.3757323775761385E-3</v>
      </c>
      <c r="Z2690" s="11">
        <f t="shared" ref="Z2690:Z2753" si="85">1/(1+EXP(-(U$2+$V$2*E2690+$W$2*F2690+$X$2*G2690)))</f>
        <v>3.0691705170918463E-3</v>
      </c>
    </row>
    <row r="2691" spans="1:26" x14ac:dyDescent="0.2">
      <c r="A2691" s="45">
        <v>473</v>
      </c>
      <c r="B2691" s="45">
        <v>1997</v>
      </c>
      <c r="C2691" s="17">
        <v>0</v>
      </c>
      <c r="D2691" s="14">
        <v>0.19904179999999999</v>
      </c>
      <c r="E2691" s="14">
        <v>0.2356374</v>
      </c>
      <c r="F2691" s="14">
        <v>4.5775900000000001E-2</v>
      </c>
      <c r="G2691" s="14">
        <v>0.97379970000000005</v>
      </c>
      <c r="H2691" s="14">
        <v>0.17857999999999999</v>
      </c>
      <c r="R2691" s="11">
        <f t="shared" si="84"/>
        <v>8.1294144183556918E-3</v>
      </c>
      <c r="Z2691" s="11">
        <f t="shared" si="85"/>
        <v>1.0407080802492032E-2</v>
      </c>
    </row>
    <row r="2692" spans="1:26" x14ac:dyDescent="0.2">
      <c r="A2692" s="45">
        <v>473</v>
      </c>
      <c r="B2692" s="45">
        <v>1998</v>
      </c>
      <c r="C2692" s="17">
        <v>0</v>
      </c>
      <c r="D2692" s="14">
        <v>0.2251302</v>
      </c>
      <c r="E2692" s="14">
        <v>0.26403159999999998</v>
      </c>
      <c r="F2692" s="14">
        <v>3.6089000000000003E-2</v>
      </c>
      <c r="G2692" s="14">
        <v>0.60014749999999994</v>
      </c>
      <c r="H2692" s="14">
        <v>0.1720257</v>
      </c>
      <c r="R2692" s="11">
        <f t="shared" si="84"/>
        <v>1.5180398901075354E-2</v>
      </c>
      <c r="Z2692" s="11">
        <f t="shared" si="85"/>
        <v>1.9418953928763725E-2</v>
      </c>
    </row>
    <row r="2693" spans="1:26" x14ac:dyDescent="0.2">
      <c r="A2693" s="45">
        <v>473</v>
      </c>
      <c r="B2693" s="45">
        <v>1999</v>
      </c>
      <c r="C2693" s="17">
        <v>0</v>
      </c>
      <c r="D2693" s="14">
        <v>0.1731298</v>
      </c>
      <c r="E2693" s="14">
        <v>0.2430891</v>
      </c>
      <c r="F2693" s="14">
        <v>3.5283799999999997E-2</v>
      </c>
      <c r="G2693" s="14">
        <v>0.67305499999999996</v>
      </c>
      <c r="H2693" s="14">
        <v>0.16916639999999999</v>
      </c>
      <c r="R2693" s="11">
        <f t="shared" si="84"/>
        <v>1.4039427732686396E-2</v>
      </c>
      <c r="Z2693" s="11">
        <f t="shared" si="85"/>
        <v>1.7912662540510344E-2</v>
      </c>
    </row>
    <row r="2694" spans="1:26" x14ac:dyDescent="0.2">
      <c r="A2694" s="45">
        <v>473</v>
      </c>
      <c r="B2694" s="45">
        <v>2000</v>
      </c>
      <c r="C2694" s="17">
        <v>0</v>
      </c>
      <c r="D2694" s="14">
        <v>0.2030081</v>
      </c>
      <c r="E2694" s="14">
        <v>0.2484653</v>
      </c>
      <c r="F2694" s="14">
        <v>4.6390300000000002E-2</v>
      </c>
      <c r="G2694" s="14">
        <v>1.1880200000000001</v>
      </c>
      <c r="H2694" s="14">
        <v>0.19260820000000001</v>
      </c>
      <c r="R2694" s="11">
        <f t="shared" si="84"/>
        <v>5.65777557691297E-3</v>
      </c>
      <c r="Z2694" s="11">
        <f t="shared" si="85"/>
        <v>7.2209025627110813E-3</v>
      </c>
    </row>
    <row r="2695" spans="1:26" x14ac:dyDescent="0.2">
      <c r="A2695" s="45">
        <v>473</v>
      </c>
      <c r="B2695" s="45">
        <v>2001</v>
      </c>
      <c r="C2695" s="17">
        <v>0</v>
      </c>
      <c r="D2695" s="14">
        <v>0.19788900000000001</v>
      </c>
      <c r="E2695" s="14">
        <v>0.29036729999999999</v>
      </c>
      <c r="F2695" s="14">
        <v>3.9732900000000002E-2</v>
      </c>
      <c r="G2695" s="14">
        <v>1.0512790000000001</v>
      </c>
      <c r="H2695" s="14">
        <v>0.19466839999999999</v>
      </c>
      <c r="R2695" s="11">
        <f t="shared" si="84"/>
        <v>6.9722931027703661E-3</v>
      </c>
      <c r="Z2695" s="11">
        <f t="shared" si="85"/>
        <v>8.8864488503969611E-3</v>
      </c>
    </row>
    <row r="2696" spans="1:26" x14ac:dyDescent="0.2">
      <c r="A2696" s="45">
        <v>473</v>
      </c>
      <c r="B2696" s="45">
        <v>2002</v>
      </c>
      <c r="C2696" s="17">
        <v>0</v>
      </c>
      <c r="D2696" s="14">
        <v>0.14262449999999999</v>
      </c>
      <c r="E2696" s="14">
        <v>0.27796539999999997</v>
      </c>
      <c r="F2696" s="14">
        <v>3.7073799999999997E-2</v>
      </c>
      <c r="G2696" s="14">
        <v>0.77854429999999997</v>
      </c>
      <c r="H2696" s="14">
        <v>0.1829094</v>
      </c>
      <c r="R2696" s="11">
        <f t="shared" si="84"/>
        <v>1.115242713521694E-2</v>
      </c>
      <c r="Z2696" s="11">
        <f t="shared" si="85"/>
        <v>1.4245461488607549E-2</v>
      </c>
    </row>
    <row r="2697" spans="1:26" x14ac:dyDescent="0.2">
      <c r="A2697" s="45">
        <v>473</v>
      </c>
      <c r="B2697" s="45">
        <v>2003</v>
      </c>
      <c r="C2697" s="17">
        <v>0</v>
      </c>
      <c r="D2697" s="14">
        <v>0.2811978</v>
      </c>
      <c r="E2697" s="14">
        <v>0.31691200000000003</v>
      </c>
      <c r="F2697" s="14">
        <v>4.51984E-2</v>
      </c>
      <c r="G2697" s="14">
        <v>0.89833649999999998</v>
      </c>
      <c r="H2697" s="14">
        <v>0.17859439999999999</v>
      </c>
      <c r="R2697" s="11">
        <f t="shared" si="84"/>
        <v>8.1836352227095434E-3</v>
      </c>
      <c r="Z2697" s="11">
        <f t="shared" si="85"/>
        <v>1.0517611774184737E-2</v>
      </c>
    </row>
    <row r="2698" spans="1:26" x14ac:dyDescent="0.2">
      <c r="A2698" s="45">
        <v>473</v>
      </c>
      <c r="B2698" s="45">
        <v>2004</v>
      </c>
      <c r="C2698" s="17">
        <v>0</v>
      </c>
      <c r="D2698" s="14">
        <v>0.27722020000000003</v>
      </c>
      <c r="E2698" s="14">
        <v>0.33665299999999998</v>
      </c>
      <c r="F2698" s="14">
        <v>3.4217900000000002E-2</v>
      </c>
      <c r="G2698" s="14">
        <v>1.2542</v>
      </c>
      <c r="H2698" s="14">
        <v>0.18331020000000001</v>
      </c>
      <c r="R2698" s="11">
        <f t="shared" si="84"/>
        <v>4.9403147333373825E-3</v>
      </c>
      <c r="Z2698" s="11">
        <f t="shared" si="85"/>
        <v>6.2539799994870936E-3</v>
      </c>
    </row>
    <row r="2699" spans="1:26" x14ac:dyDescent="0.2">
      <c r="A2699" s="45">
        <v>474</v>
      </c>
      <c r="B2699" s="45">
        <v>1995</v>
      </c>
      <c r="C2699" s="17">
        <v>0</v>
      </c>
      <c r="D2699" s="14">
        <v>0.12624869999999999</v>
      </c>
      <c r="E2699" s="14">
        <v>0.13136039999999999</v>
      </c>
      <c r="F2699" s="14">
        <v>4.41492E-2</v>
      </c>
      <c r="G2699" s="14">
        <v>0.36127930000000003</v>
      </c>
      <c r="H2699" s="14">
        <v>0.17866000000000001</v>
      </c>
      <c r="R2699" s="11">
        <f t="shared" si="84"/>
        <v>2.5004871635956865E-2</v>
      </c>
      <c r="Z2699" s="11">
        <f t="shared" si="85"/>
        <v>3.2124501793550454E-2</v>
      </c>
    </row>
    <row r="2700" spans="1:26" x14ac:dyDescent="0.2">
      <c r="A2700" s="45">
        <v>474</v>
      </c>
      <c r="B2700" s="45">
        <v>1996</v>
      </c>
      <c r="C2700" s="17">
        <v>0</v>
      </c>
      <c r="D2700" s="14">
        <v>0.1217107</v>
      </c>
      <c r="E2700" s="14">
        <v>0.1029817</v>
      </c>
      <c r="F2700" s="14">
        <v>4.8257700000000001E-2</v>
      </c>
      <c r="G2700" s="14">
        <v>0.34480739999999999</v>
      </c>
      <c r="H2700" s="14">
        <v>0.1641782</v>
      </c>
      <c r="R2700" s="11">
        <f t="shared" si="84"/>
        <v>2.5863639338537563E-2</v>
      </c>
      <c r="Z2700" s="11">
        <f t="shared" si="85"/>
        <v>3.3308136898387845E-2</v>
      </c>
    </row>
    <row r="2701" spans="1:26" x14ac:dyDescent="0.2">
      <c r="A2701" s="45">
        <v>474</v>
      </c>
      <c r="B2701" s="45">
        <v>1997</v>
      </c>
      <c r="C2701" s="17">
        <v>0</v>
      </c>
      <c r="D2701" s="14">
        <v>0.1029144</v>
      </c>
      <c r="E2701" s="14">
        <v>0.13014149999999999</v>
      </c>
      <c r="F2701" s="14">
        <v>4.84208E-2</v>
      </c>
      <c r="G2701" s="14">
        <v>0.49071360000000003</v>
      </c>
      <c r="H2701" s="14">
        <v>0.1357196</v>
      </c>
      <c r="R2701" s="11">
        <f t="shared" si="84"/>
        <v>1.9800983308350718E-2</v>
      </c>
      <c r="Z2701" s="11">
        <f t="shared" si="85"/>
        <v>2.5492763361669776E-2</v>
      </c>
    </row>
    <row r="2702" spans="1:26" x14ac:dyDescent="0.2">
      <c r="A2702" s="45">
        <v>474</v>
      </c>
      <c r="B2702" s="45">
        <v>1998</v>
      </c>
      <c r="C2702" s="17">
        <v>0</v>
      </c>
      <c r="D2702" s="14">
        <v>0.1123623</v>
      </c>
      <c r="E2702" s="14">
        <v>0.1106953</v>
      </c>
      <c r="F2702" s="14">
        <v>5.1487400000000003E-2</v>
      </c>
      <c r="G2702" s="14">
        <v>0.39410269999999997</v>
      </c>
      <c r="H2702" s="14">
        <v>9.7117599999999998E-2</v>
      </c>
      <c r="R2702" s="11">
        <f t="shared" si="84"/>
        <v>2.3105224146839611E-2</v>
      </c>
      <c r="Z2702" s="11">
        <f t="shared" si="85"/>
        <v>2.983283243560151E-2</v>
      </c>
    </row>
    <row r="2703" spans="1:26" x14ac:dyDescent="0.2">
      <c r="A2703" s="45">
        <v>474</v>
      </c>
      <c r="B2703" s="45">
        <v>1999</v>
      </c>
      <c r="C2703" s="17">
        <v>0</v>
      </c>
      <c r="D2703" s="14">
        <v>0.17883779999999999</v>
      </c>
      <c r="E2703" s="14">
        <v>9.4363100000000005E-2</v>
      </c>
      <c r="F2703" s="14">
        <v>3.33771E-2</v>
      </c>
      <c r="G2703" s="14">
        <v>0.21325540000000001</v>
      </c>
      <c r="H2703" s="14">
        <v>0.1129783</v>
      </c>
      <c r="R2703" s="11">
        <f t="shared" si="84"/>
        <v>3.6002154826653768E-2</v>
      </c>
      <c r="Z2703" s="11">
        <f t="shared" si="85"/>
        <v>4.5805156615378553E-2</v>
      </c>
    </row>
    <row r="2704" spans="1:26" x14ac:dyDescent="0.2">
      <c r="A2704" s="45">
        <v>474</v>
      </c>
      <c r="B2704" s="45">
        <v>2000</v>
      </c>
      <c r="C2704" s="17">
        <v>0</v>
      </c>
      <c r="D2704" s="14">
        <v>7.6404399999999997E-2</v>
      </c>
      <c r="E2704" s="14">
        <v>5.62671E-2</v>
      </c>
      <c r="F2704" s="14">
        <v>3.9480800000000003E-2</v>
      </c>
      <c r="G2704" s="14">
        <v>0.29221659999999999</v>
      </c>
      <c r="H2704" s="14">
        <v>0.1220295</v>
      </c>
      <c r="R2704" s="11">
        <f t="shared" si="84"/>
        <v>3.2084434054091213E-2</v>
      </c>
      <c r="Z2704" s="11">
        <f t="shared" si="85"/>
        <v>4.0942741480626335E-2</v>
      </c>
    </row>
    <row r="2705" spans="1:26" x14ac:dyDescent="0.2">
      <c r="A2705" s="45">
        <v>474</v>
      </c>
      <c r="B2705" s="45">
        <v>2001</v>
      </c>
      <c r="C2705" s="17">
        <v>1</v>
      </c>
      <c r="D2705" s="14">
        <v>-5.4135900000000001E-2</v>
      </c>
      <c r="E2705" s="14">
        <v>-3.03141E-2</v>
      </c>
      <c r="F2705" s="14">
        <v>2.9028499999999999E-2</v>
      </c>
      <c r="G2705" s="14">
        <v>8.9803400000000005E-2</v>
      </c>
      <c r="H2705" s="14">
        <v>0.1070989</v>
      </c>
      <c r="R2705" s="11">
        <f t="shared" si="84"/>
        <v>5.3417994615421203E-2</v>
      </c>
      <c r="Z2705" s="11">
        <f t="shared" si="85"/>
        <v>6.7308351754313892E-2</v>
      </c>
    </row>
    <row r="2706" spans="1:26" x14ac:dyDescent="0.2">
      <c r="A2706" s="45">
        <v>475</v>
      </c>
      <c r="B2706" s="45">
        <v>2001</v>
      </c>
      <c r="C2706" s="17">
        <v>0</v>
      </c>
      <c r="D2706" s="14">
        <v>-2.8395699999999999E-2</v>
      </c>
      <c r="E2706" s="14">
        <v>7.6872099999999999E-2</v>
      </c>
      <c r="F2706" s="14">
        <v>4.2883699999999997E-2</v>
      </c>
      <c r="G2706" s="14">
        <v>0.38456089999999998</v>
      </c>
      <c r="H2706" s="14">
        <v>8.7278900000000006E-2</v>
      </c>
      <c r="R2706" s="11">
        <f t="shared" si="84"/>
        <v>2.6310783400577378E-2</v>
      </c>
      <c r="Z2706" s="11">
        <f t="shared" si="85"/>
        <v>3.3677957823365107E-2</v>
      </c>
    </row>
    <row r="2707" spans="1:26" x14ac:dyDescent="0.2">
      <c r="A2707" s="45">
        <v>475</v>
      </c>
      <c r="B2707" s="45">
        <v>2002</v>
      </c>
      <c r="C2707" s="17">
        <v>0</v>
      </c>
      <c r="D2707" s="14">
        <v>-5.6229099999999997E-2</v>
      </c>
      <c r="E2707" s="14">
        <v>5.8316600000000003E-2</v>
      </c>
      <c r="F2707" s="14">
        <v>2.9619199999999998E-2</v>
      </c>
      <c r="G2707" s="14">
        <v>0.394065</v>
      </c>
      <c r="H2707" s="14">
        <v>0.112821</v>
      </c>
      <c r="R2707" s="11">
        <f t="shared" si="84"/>
        <v>2.9507036929633686E-2</v>
      </c>
      <c r="Z2707" s="11">
        <f t="shared" si="85"/>
        <v>3.7311299760528979E-2</v>
      </c>
    </row>
    <row r="2708" spans="1:26" x14ac:dyDescent="0.2">
      <c r="A2708" s="45">
        <v>475</v>
      </c>
      <c r="B2708" s="45">
        <v>2003</v>
      </c>
      <c r="C2708" s="17">
        <v>0</v>
      </c>
      <c r="D2708" s="14">
        <v>-5.33584E-2</v>
      </c>
      <c r="E2708" s="14">
        <v>7.3850399999999997E-2</v>
      </c>
      <c r="F2708" s="14">
        <v>3.1536399999999999E-2</v>
      </c>
      <c r="G2708" s="14">
        <v>0.50049359999999998</v>
      </c>
      <c r="H2708" s="14">
        <v>0.1132674</v>
      </c>
      <c r="R2708" s="11">
        <f t="shared" si="84"/>
        <v>2.4110506874858915E-2</v>
      </c>
      <c r="Z2708" s="11">
        <f t="shared" si="85"/>
        <v>3.0525260357863748E-2</v>
      </c>
    </row>
    <row r="2709" spans="1:26" x14ac:dyDescent="0.2">
      <c r="A2709" s="45">
        <v>475</v>
      </c>
      <c r="B2709" s="45">
        <v>2004</v>
      </c>
      <c r="C2709" s="17">
        <v>0</v>
      </c>
      <c r="D2709" s="14">
        <v>-8.9280999999999996E-3</v>
      </c>
      <c r="E2709" s="14">
        <v>8.7687000000000001E-2</v>
      </c>
      <c r="F2709" s="14">
        <v>6.0340400000000002E-2</v>
      </c>
      <c r="G2709" s="14">
        <v>0.62621910000000003</v>
      </c>
      <c r="H2709" s="14">
        <v>0.120267</v>
      </c>
      <c r="R2709" s="11">
        <f t="shared" si="84"/>
        <v>1.549562401229399E-2</v>
      </c>
      <c r="Z2709" s="11">
        <f t="shared" si="85"/>
        <v>2.0079684313584676E-2</v>
      </c>
    </row>
    <row r="2710" spans="1:26" x14ac:dyDescent="0.2">
      <c r="A2710" s="45">
        <v>476</v>
      </c>
      <c r="B2710" s="45">
        <v>1999</v>
      </c>
      <c r="C2710" s="17">
        <v>0</v>
      </c>
      <c r="D2710" s="14">
        <v>-0.1044914</v>
      </c>
      <c r="E2710" s="14">
        <v>0.17157210000000001</v>
      </c>
      <c r="F2710" s="14">
        <v>3.9959700000000001E-2</v>
      </c>
      <c r="G2710" s="14">
        <v>0.53365220000000002</v>
      </c>
      <c r="H2710" s="14">
        <v>0.19003159999999999</v>
      </c>
      <c r="R2710" s="11">
        <f t="shared" si="84"/>
        <v>1.8651321239876756E-2</v>
      </c>
      <c r="Z2710" s="11">
        <f t="shared" si="85"/>
        <v>2.3869724388854801E-2</v>
      </c>
    </row>
    <row r="2711" spans="1:26" x14ac:dyDescent="0.2">
      <c r="A2711" s="45">
        <v>476</v>
      </c>
      <c r="B2711" s="45">
        <v>2000</v>
      </c>
      <c r="C2711" s="17">
        <v>0</v>
      </c>
      <c r="D2711" s="14">
        <v>3.4243999999999997E-2</v>
      </c>
      <c r="E2711" s="14">
        <v>0.1697987</v>
      </c>
      <c r="F2711" s="14">
        <v>4.0645100000000003E-2</v>
      </c>
      <c r="G2711" s="14">
        <v>0.62367110000000003</v>
      </c>
      <c r="H2711" s="14">
        <v>0.2619283</v>
      </c>
      <c r="R2711" s="11">
        <f t="shared" ref="R2711:R2774" si="86">1/(1+EXP(-(K$2+$M$2*E2711+$N$2*F2711+$O$2*G2711)))</f>
        <v>1.6152939172786148E-2</v>
      </c>
      <c r="Z2711" s="11">
        <f t="shared" si="85"/>
        <v>2.0657073623470648E-2</v>
      </c>
    </row>
    <row r="2712" spans="1:26" x14ac:dyDescent="0.2">
      <c r="A2712" s="45">
        <v>476</v>
      </c>
      <c r="B2712" s="45">
        <v>2001</v>
      </c>
      <c r="C2712" s="17">
        <v>0</v>
      </c>
      <c r="D2712" s="14">
        <v>1.2557199999999999E-2</v>
      </c>
      <c r="E2712" s="14">
        <v>0.17880960000000001</v>
      </c>
      <c r="F2712" s="14">
        <v>3.4921899999999999E-2</v>
      </c>
      <c r="G2712" s="14">
        <v>0.63363829999999999</v>
      </c>
      <c r="H2712" s="14">
        <v>0.14766360000000001</v>
      </c>
      <c r="R2712" s="11">
        <f t="shared" si="86"/>
        <v>1.6422018100507633E-2</v>
      </c>
      <c r="Z2712" s="11">
        <f t="shared" si="85"/>
        <v>2.0905180871787374E-2</v>
      </c>
    </row>
    <row r="2713" spans="1:26" x14ac:dyDescent="0.2">
      <c r="A2713" s="45">
        <v>476</v>
      </c>
      <c r="B2713" s="45">
        <v>2002</v>
      </c>
      <c r="C2713" s="17">
        <v>0</v>
      </c>
      <c r="D2713" s="14">
        <v>-2.4237E-3</v>
      </c>
      <c r="E2713" s="14">
        <v>0.15778890000000001</v>
      </c>
      <c r="F2713" s="14">
        <v>5.7029999999999997E-3</v>
      </c>
      <c r="G2713" s="14">
        <v>0.47258610000000001</v>
      </c>
      <c r="H2713" s="14">
        <v>0.24469859999999999</v>
      </c>
      <c r="R2713" s="11">
        <f t="shared" si="86"/>
        <v>2.7341327958944225E-2</v>
      </c>
      <c r="Z2713" s="11">
        <f t="shared" si="85"/>
        <v>3.3999583457519494E-2</v>
      </c>
    </row>
    <row r="2714" spans="1:26" x14ac:dyDescent="0.2">
      <c r="A2714" s="45">
        <v>476</v>
      </c>
      <c r="B2714" s="45">
        <v>2003</v>
      </c>
      <c r="C2714" s="17">
        <v>0</v>
      </c>
      <c r="D2714" s="14">
        <v>6.5266500000000005E-2</v>
      </c>
      <c r="E2714" s="14">
        <v>0.1518024</v>
      </c>
      <c r="F2714" s="14">
        <v>2.07783E-2</v>
      </c>
      <c r="G2714" s="14">
        <v>0.64729329999999996</v>
      </c>
      <c r="H2714" s="14">
        <v>0.2058518</v>
      </c>
      <c r="R2714" s="11">
        <f t="shared" si="86"/>
        <v>1.8671115969795711E-2</v>
      </c>
      <c r="Z2714" s="11">
        <f t="shared" si="85"/>
        <v>2.3457972424351135E-2</v>
      </c>
    </row>
    <row r="2715" spans="1:26" x14ac:dyDescent="0.2">
      <c r="A2715" s="45">
        <v>476</v>
      </c>
      <c r="B2715" s="45">
        <v>2004</v>
      </c>
      <c r="C2715" s="17">
        <v>0</v>
      </c>
      <c r="D2715" s="14">
        <v>5.2537E-2</v>
      </c>
      <c r="E2715" s="14">
        <v>0.1512703</v>
      </c>
      <c r="F2715" s="14">
        <v>4.9570799999999998E-2</v>
      </c>
      <c r="G2715" s="14">
        <v>0.69898039999999995</v>
      </c>
      <c r="H2715" s="14">
        <v>0.32485140000000001</v>
      </c>
      <c r="R2715" s="11">
        <f t="shared" si="86"/>
        <v>1.3736901149261137E-2</v>
      </c>
      <c r="Z2715" s="11">
        <f t="shared" si="85"/>
        <v>1.7666335387908596E-2</v>
      </c>
    </row>
    <row r="2716" spans="1:26" x14ac:dyDescent="0.2">
      <c r="A2716" s="45">
        <v>477</v>
      </c>
      <c r="B2716" s="45">
        <v>1995</v>
      </c>
      <c r="C2716" s="17">
        <v>0</v>
      </c>
      <c r="D2716" s="14">
        <v>0.1596426</v>
      </c>
      <c r="E2716" s="14">
        <v>0.16987079999999999</v>
      </c>
      <c r="F2716" s="14">
        <v>3.6466499999999999E-2</v>
      </c>
      <c r="G2716" s="14">
        <v>1.3020970000000001</v>
      </c>
      <c r="H2716" s="14">
        <v>0.3649714</v>
      </c>
      <c r="R2716" s="11">
        <f t="shared" si="86"/>
        <v>5.7249276786071881E-3</v>
      </c>
      <c r="Z2716" s="11">
        <f t="shared" si="85"/>
        <v>7.2103439653106909E-3</v>
      </c>
    </row>
    <row r="2717" spans="1:26" x14ac:dyDescent="0.2">
      <c r="A2717" s="45">
        <v>477</v>
      </c>
      <c r="B2717" s="45">
        <v>1996</v>
      </c>
      <c r="C2717" s="17">
        <v>0</v>
      </c>
      <c r="D2717" s="14">
        <v>0.24894720000000001</v>
      </c>
      <c r="E2717" s="14">
        <v>0.20162260000000001</v>
      </c>
      <c r="F2717" s="14">
        <v>4.5160800000000001E-2</v>
      </c>
      <c r="G2717" s="14">
        <v>1.4384410000000001</v>
      </c>
      <c r="H2717" s="14">
        <v>0.27743069999999997</v>
      </c>
      <c r="R2717" s="11">
        <f t="shared" si="86"/>
        <v>4.1101587840640594E-3</v>
      </c>
      <c r="Z2717" s="11">
        <f t="shared" si="85"/>
        <v>5.205706242544115E-3</v>
      </c>
    </row>
    <row r="2718" spans="1:26" x14ac:dyDescent="0.2">
      <c r="A2718" s="45">
        <v>477</v>
      </c>
      <c r="B2718" s="45">
        <v>1997</v>
      </c>
      <c r="C2718" s="17">
        <v>0</v>
      </c>
      <c r="D2718" s="14">
        <v>0.24819540000000001</v>
      </c>
      <c r="E2718" s="14">
        <v>0.28198830000000003</v>
      </c>
      <c r="F2718" s="14">
        <v>6.8249599999999994E-2</v>
      </c>
      <c r="G2718" s="14">
        <v>2.160612</v>
      </c>
      <c r="H2718" s="14">
        <v>0.32675939999999998</v>
      </c>
      <c r="R2718" s="11">
        <f t="shared" si="86"/>
        <v>9.6485771979384612E-4</v>
      </c>
      <c r="Z2718" s="11">
        <f t="shared" si="85"/>
        <v>1.2301443533566077E-3</v>
      </c>
    </row>
    <row r="2719" spans="1:26" x14ac:dyDescent="0.2">
      <c r="A2719" s="45">
        <v>477</v>
      </c>
      <c r="B2719" s="45">
        <v>1998</v>
      </c>
      <c r="C2719" s="17">
        <v>0</v>
      </c>
      <c r="D2719" s="14">
        <v>0.1661292</v>
      </c>
      <c r="E2719" s="14">
        <v>0.35458190000000001</v>
      </c>
      <c r="F2719" s="14">
        <v>5.1373599999999998E-2</v>
      </c>
      <c r="G2719" s="14">
        <v>1.6968160000000001</v>
      </c>
      <c r="H2719" s="14">
        <v>0.23408580000000001</v>
      </c>
      <c r="R2719" s="11">
        <f t="shared" si="86"/>
        <v>2.0785118349695552E-3</v>
      </c>
      <c r="Z2719" s="11">
        <f t="shared" si="85"/>
        <v>2.6461963729670639E-3</v>
      </c>
    </row>
    <row r="2720" spans="1:26" x14ac:dyDescent="0.2">
      <c r="A2720" s="45">
        <v>477</v>
      </c>
      <c r="B2720" s="45">
        <v>1999</v>
      </c>
      <c r="C2720" s="17">
        <v>0</v>
      </c>
      <c r="D2720" s="14">
        <v>0.27185609999999999</v>
      </c>
      <c r="E2720" s="14">
        <v>5.5391799999999998E-2</v>
      </c>
      <c r="F2720" s="14">
        <v>5.4969499999999998E-2</v>
      </c>
      <c r="G2720" s="14">
        <v>1.2157199999999999</v>
      </c>
      <c r="H2720" s="14">
        <v>0.35539480000000001</v>
      </c>
      <c r="R2720" s="11">
        <f t="shared" si="86"/>
        <v>6.6856358981706564E-3</v>
      </c>
      <c r="Z2720" s="11">
        <f t="shared" si="85"/>
        <v>8.5286502899028158E-3</v>
      </c>
    </row>
    <row r="2721" spans="1:26" x14ac:dyDescent="0.2">
      <c r="A2721" s="45">
        <v>477</v>
      </c>
      <c r="B2721" s="45">
        <v>2000</v>
      </c>
      <c r="C2721" s="17">
        <v>0</v>
      </c>
      <c r="D2721" s="14">
        <v>0.26687090000000002</v>
      </c>
      <c r="E2721" s="14">
        <v>9.3008999999999994E-2</v>
      </c>
      <c r="F2721" s="14">
        <v>5.08645E-2</v>
      </c>
      <c r="G2721" s="14">
        <v>1.264052</v>
      </c>
      <c r="H2721" s="14">
        <v>0.34853849999999997</v>
      </c>
      <c r="R2721" s="11">
        <f t="shared" si="86"/>
        <v>6.0599972046511043E-3</v>
      </c>
      <c r="Z2721" s="11">
        <f t="shared" si="85"/>
        <v>7.7078338237662565E-3</v>
      </c>
    </row>
    <row r="2722" spans="1:26" x14ac:dyDescent="0.2">
      <c r="A2722" s="45">
        <v>477</v>
      </c>
      <c r="B2722" s="45">
        <v>2001</v>
      </c>
      <c r="C2722" s="17">
        <v>0</v>
      </c>
      <c r="D2722" s="14">
        <v>0.26563619999999999</v>
      </c>
      <c r="E2722" s="14">
        <v>5.30085E-2</v>
      </c>
      <c r="F2722" s="14">
        <v>3.9210500000000002E-2</v>
      </c>
      <c r="G2722" s="14">
        <v>0.77911940000000002</v>
      </c>
      <c r="H2722" s="14">
        <v>0.27309159999999999</v>
      </c>
      <c r="R2722" s="11">
        <f t="shared" si="86"/>
        <v>1.5130461847960172E-2</v>
      </c>
      <c r="Z2722" s="11">
        <f t="shared" si="85"/>
        <v>1.9192493090802207E-2</v>
      </c>
    </row>
    <row r="2723" spans="1:26" x14ac:dyDescent="0.2">
      <c r="A2723" s="45">
        <v>477</v>
      </c>
      <c r="B2723" s="45">
        <v>2002</v>
      </c>
      <c r="C2723" s="17">
        <v>0</v>
      </c>
      <c r="D2723" s="14">
        <v>0.30273549999999999</v>
      </c>
      <c r="E2723" s="14">
        <v>-0.15865860000000001</v>
      </c>
      <c r="F2723" s="14">
        <v>1.5570799999999999E-2</v>
      </c>
      <c r="G2723" s="14">
        <v>0.79014030000000002</v>
      </c>
      <c r="H2723" s="14">
        <v>0.28405829999999999</v>
      </c>
      <c r="R2723" s="11">
        <f t="shared" si="86"/>
        <v>2.4209606800231084E-2</v>
      </c>
      <c r="Z2723" s="11">
        <f t="shared" si="85"/>
        <v>2.9845205655549066E-2</v>
      </c>
    </row>
    <row r="2724" spans="1:26" x14ac:dyDescent="0.2">
      <c r="A2724" s="45">
        <v>477</v>
      </c>
      <c r="B2724" s="45">
        <v>2003</v>
      </c>
      <c r="C2724" s="17">
        <v>0</v>
      </c>
      <c r="D2724" s="14">
        <v>0.28249869999999999</v>
      </c>
      <c r="E2724" s="14">
        <v>-0.21634999999999999</v>
      </c>
      <c r="F2724" s="14">
        <v>2.0989399999999998E-2</v>
      </c>
      <c r="G2724" s="14">
        <v>0.95867400000000003</v>
      </c>
      <c r="H2724" s="14">
        <v>0.29838629999999999</v>
      </c>
      <c r="R2724" s="11">
        <f t="shared" si="86"/>
        <v>1.9368820970703336E-2</v>
      </c>
      <c r="Z2724" s="11">
        <f t="shared" si="85"/>
        <v>2.3876086753731634E-2</v>
      </c>
    </row>
    <row r="2725" spans="1:26" x14ac:dyDescent="0.2">
      <c r="A2725" s="45">
        <v>477</v>
      </c>
      <c r="B2725" s="45">
        <v>2004</v>
      </c>
      <c r="C2725" s="17">
        <v>0</v>
      </c>
      <c r="D2725" s="14">
        <v>0.27043040000000002</v>
      </c>
      <c r="E2725" s="14">
        <v>-0.19001960000000001</v>
      </c>
      <c r="F2725" s="14">
        <v>4.3197600000000003E-2</v>
      </c>
      <c r="G2725" s="14">
        <v>1.249609</v>
      </c>
      <c r="H2725" s="14">
        <v>0.34168290000000001</v>
      </c>
      <c r="R2725" s="11">
        <f t="shared" si="86"/>
        <v>9.9115473648196447E-3</v>
      </c>
      <c r="Z2725" s="11">
        <f t="shared" si="85"/>
        <v>1.2400084845622996E-2</v>
      </c>
    </row>
    <row r="2726" spans="1:26" x14ac:dyDescent="0.2">
      <c r="A2726" s="45">
        <v>478</v>
      </c>
      <c r="B2726" s="45">
        <v>1995</v>
      </c>
      <c r="C2726" s="17">
        <v>0</v>
      </c>
      <c r="D2726" s="14">
        <v>0.40255249999999998</v>
      </c>
      <c r="E2726" s="14">
        <v>0.28134199999999998</v>
      </c>
      <c r="F2726" s="14">
        <v>9.43243E-2</v>
      </c>
      <c r="G2726" s="14">
        <v>4.0562440000000004</v>
      </c>
      <c r="H2726" s="14">
        <v>0.86082990000000004</v>
      </c>
      <c r="R2726" s="11">
        <f t="shared" si="86"/>
        <v>3.8260046971848614E-5</v>
      </c>
      <c r="Z2726" s="11">
        <f t="shared" si="85"/>
        <v>4.7807154550252036E-5</v>
      </c>
    </row>
    <row r="2727" spans="1:26" x14ac:dyDescent="0.2">
      <c r="A2727" s="45">
        <v>478</v>
      </c>
      <c r="B2727" s="45">
        <v>1996</v>
      </c>
      <c r="C2727" s="17">
        <v>0</v>
      </c>
      <c r="D2727" s="14">
        <v>0.46223619999999999</v>
      </c>
      <c r="E2727" s="14">
        <v>0.24459939999999999</v>
      </c>
      <c r="F2727" s="14">
        <v>5.7678500000000001E-2</v>
      </c>
      <c r="G2727" s="14">
        <v>1.8304119999999999</v>
      </c>
      <c r="H2727" s="14">
        <v>0.68141479999999999</v>
      </c>
      <c r="R2727" s="11">
        <f t="shared" si="86"/>
        <v>1.8746878122451634E-3</v>
      </c>
      <c r="Z2727" s="11">
        <f t="shared" si="85"/>
        <v>2.3831641620036289E-3</v>
      </c>
    </row>
    <row r="2728" spans="1:26" x14ac:dyDescent="0.2">
      <c r="A2728" s="45">
        <v>478</v>
      </c>
      <c r="B2728" s="45">
        <v>1997</v>
      </c>
      <c r="C2728" s="17">
        <v>0</v>
      </c>
      <c r="D2728" s="14">
        <v>0.42533929999999998</v>
      </c>
      <c r="E2728" s="14">
        <v>0.24114730000000001</v>
      </c>
      <c r="F2728" s="14">
        <v>6.0412100000000003E-2</v>
      </c>
      <c r="G2728" s="14">
        <v>1.3745339999999999</v>
      </c>
      <c r="H2728" s="14">
        <v>0.65059889999999998</v>
      </c>
      <c r="R2728" s="11">
        <f t="shared" si="86"/>
        <v>3.8043483909519153E-3</v>
      </c>
      <c r="Z2728" s="11">
        <f t="shared" si="85"/>
        <v>4.8925308604233827E-3</v>
      </c>
    </row>
    <row r="2729" spans="1:26" x14ac:dyDescent="0.2">
      <c r="A2729" s="45">
        <v>478</v>
      </c>
      <c r="B2729" s="45">
        <v>1998</v>
      </c>
      <c r="C2729" s="17">
        <v>0</v>
      </c>
      <c r="D2729" s="14">
        <v>0.32259710000000003</v>
      </c>
      <c r="E2729" s="14">
        <v>0.18481790000000001</v>
      </c>
      <c r="F2729" s="14">
        <v>1.4190299999999999E-2</v>
      </c>
      <c r="G2729" s="14">
        <v>0.4151532</v>
      </c>
      <c r="H2729" s="14">
        <v>0.64811430000000003</v>
      </c>
      <c r="R2729" s="11">
        <f t="shared" si="86"/>
        <v>2.6927769837598082E-2</v>
      </c>
      <c r="Z2729" s="11">
        <f t="shared" si="85"/>
        <v>3.3786152097217782E-2</v>
      </c>
    </row>
    <row r="2730" spans="1:26" x14ac:dyDescent="0.2">
      <c r="A2730" s="45">
        <v>479</v>
      </c>
      <c r="B2730" s="45">
        <v>1995</v>
      </c>
      <c r="C2730" s="17">
        <v>0</v>
      </c>
      <c r="D2730" s="14">
        <v>0.3135791</v>
      </c>
      <c r="E2730" s="14">
        <v>0.28693200000000002</v>
      </c>
      <c r="F2730" s="14">
        <v>7.6294000000000001E-2</v>
      </c>
      <c r="G2730" s="14">
        <v>8.0855370000000004</v>
      </c>
      <c r="H2730" s="14">
        <v>0.33050190000000002</v>
      </c>
      <c r="R2730" s="11">
        <f t="shared" si="86"/>
        <v>7.132444636748089E-8</v>
      </c>
      <c r="Z2730" s="11">
        <f t="shared" si="85"/>
        <v>8.0374715375684181E-8</v>
      </c>
    </row>
    <row r="2731" spans="1:26" x14ac:dyDescent="0.2">
      <c r="A2731" s="45">
        <v>479</v>
      </c>
      <c r="B2731" s="45">
        <v>1996</v>
      </c>
      <c r="C2731" s="17">
        <v>0</v>
      </c>
      <c r="D2731" s="14">
        <v>0.47392709999999999</v>
      </c>
      <c r="E2731" s="14">
        <v>0.2139267</v>
      </c>
      <c r="F2731" s="14">
        <v>5.7002799999999999E-2</v>
      </c>
      <c r="G2731" s="14">
        <v>28.377179999999999</v>
      </c>
      <c r="H2731" s="14">
        <v>0.2387164</v>
      </c>
      <c r="R2731" s="11">
        <f t="shared" si="86"/>
        <v>8.3700788513390077E-22</v>
      </c>
      <c r="Z2731" s="11">
        <f t="shared" si="85"/>
        <v>5.923691401905262E-22</v>
      </c>
    </row>
    <row r="2732" spans="1:26" x14ac:dyDescent="0.2">
      <c r="A2732" s="45">
        <v>479</v>
      </c>
      <c r="B2732" s="45">
        <v>1997</v>
      </c>
      <c r="C2732" s="17">
        <v>0</v>
      </c>
      <c r="D2732" s="14">
        <v>0.29108220000000001</v>
      </c>
      <c r="E2732" s="14">
        <v>0.1744521</v>
      </c>
      <c r="F2732" s="14">
        <v>6.8802799999999997E-2</v>
      </c>
      <c r="G2732" s="14">
        <v>4.9721520000000003</v>
      </c>
      <c r="H2732" s="14">
        <v>0.28829359999999998</v>
      </c>
      <c r="R2732" s="11">
        <f t="shared" si="86"/>
        <v>1.2735764655685059E-5</v>
      </c>
      <c r="Z2732" s="11">
        <f t="shared" si="85"/>
        <v>1.5217363362388969E-5</v>
      </c>
    </row>
    <row r="2733" spans="1:26" x14ac:dyDescent="0.2">
      <c r="A2733" s="45">
        <v>479</v>
      </c>
      <c r="B2733" s="45">
        <v>1998</v>
      </c>
      <c r="C2733" s="17">
        <v>0</v>
      </c>
      <c r="D2733" s="14">
        <v>0.23004459999999999</v>
      </c>
      <c r="E2733" s="14">
        <v>0.14428099999999999</v>
      </c>
      <c r="F2733" s="14">
        <v>5.21246E-2</v>
      </c>
      <c r="G2733" s="14">
        <v>3.3436270000000001</v>
      </c>
      <c r="H2733" s="14">
        <v>0.26456020000000002</v>
      </c>
      <c r="R2733" s="11">
        <f t="shared" si="86"/>
        <v>2.037126614459367E-4</v>
      </c>
      <c r="Z2733" s="11">
        <f t="shared" si="85"/>
        <v>2.4860070826381985E-4</v>
      </c>
    </row>
    <row r="2734" spans="1:26" x14ac:dyDescent="0.2">
      <c r="A2734" s="45">
        <v>479</v>
      </c>
      <c r="B2734" s="45">
        <v>1999</v>
      </c>
      <c r="C2734" s="17">
        <v>0</v>
      </c>
      <c r="D2734" s="14">
        <v>0.2267015</v>
      </c>
      <c r="E2734" s="14">
        <v>0.16783899999999999</v>
      </c>
      <c r="F2734" s="14">
        <v>5.7088E-2</v>
      </c>
      <c r="G2734" s="14">
        <v>0.99028590000000005</v>
      </c>
      <c r="H2734" s="14">
        <v>0.25048779999999998</v>
      </c>
      <c r="R2734" s="11">
        <f t="shared" si="86"/>
        <v>7.9841405871358424E-3</v>
      </c>
      <c r="Z2734" s="11">
        <f t="shared" si="85"/>
        <v>1.028836623313698E-2</v>
      </c>
    </row>
    <row r="2735" spans="1:26" x14ac:dyDescent="0.2">
      <c r="A2735" s="45">
        <v>479</v>
      </c>
      <c r="B2735" s="45">
        <v>2000</v>
      </c>
      <c r="C2735" s="17">
        <v>0</v>
      </c>
      <c r="D2735" s="14">
        <v>0.2823176</v>
      </c>
      <c r="E2735" s="14">
        <v>0.16566020000000001</v>
      </c>
      <c r="F2735" s="14">
        <v>5.6827500000000003E-2</v>
      </c>
      <c r="G2735" s="14">
        <v>1.7866219999999999</v>
      </c>
      <c r="H2735" s="14">
        <v>0.2561871</v>
      </c>
      <c r="R2735" s="11">
        <f t="shared" si="86"/>
        <v>2.2691759663544392E-3</v>
      </c>
      <c r="Z2735" s="11">
        <f t="shared" si="85"/>
        <v>2.8773350480103309E-3</v>
      </c>
    </row>
    <row r="2736" spans="1:26" x14ac:dyDescent="0.2">
      <c r="A2736" s="45">
        <v>479</v>
      </c>
      <c r="B2736" s="45">
        <v>2001</v>
      </c>
      <c r="C2736" s="17">
        <v>0</v>
      </c>
      <c r="D2736" s="14">
        <v>0.31640360000000001</v>
      </c>
      <c r="E2736" s="14">
        <v>0.19512060000000001</v>
      </c>
      <c r="F2736" s="14">
        <v>4.3804599999999999E-2</v>
      </c>
      <c r="G2736" s="14">
        <v>2.0794600000000001</v>
      </c>
      <c r="H2736" s="14">
        <v>0.27707870000000001</v>
      </c>
      <c r="R2736" s="11">
        <f t="shared" si="86"/>
        <v>1.5141333205525777E-3</v>
      </c>
      <c r="Z2736" s="11">
        <f t="shared" si="85"/>
        <v>1.8896862041461373E-3</v>
      </c>
    </row>
    <row r="2737" spans="1:26" x14ac:dyDescent="0.2">
      <c r="A2737" s="45">
        <v>479</v>
      </c>
      <c r="B2737" s="45">
        <v>2002</v>
      </c>
      <c r="C2737" s="17">
        <v>0</v>
      </c>
      <c r="D2737" s="14">
        <v>0.31707020000000002</v>
      </c>
      <c r="E2737" s="14">
        <v>0.2362426</v>
      </c>
      <c r="F2737" s="14">
        <v>6.0846299999999999E-2</v>
      </c>
      <c r="G2737" s="14">
        <v>1.9805489999999999</v>
      </c>
      <c r="H2737" s="14">
        <v>0.3134362</v>
      </c>
      <c r="R2737" s="11">
        <f t="shared" si="86"/>
        <v>1.4570510501066879E-3</v>
      </c>
      <c r="Z2737" s="11">
        <f t="shared" si="85"/>
        <v>1.8506202080230618E-3</v>
      </c>
    </row>
    <row r="2738" spans="1:26" x14ac:dyDescent="0.2">
      <c r="A2738" s="45">
        <v>479</v>
      </c>
      <c r="B2738" s="45">
        <v>2003</v>
      </c>
      <c r="C2738" s="17">
        <v>0</v>
      </c>
      <c r="D2738" s="14">
        <v>0.292217</v>
      </c>
      <c r="E2738" s="14">
        <v>0.225329</v>
      </c>
      <c r="F2738" s="14">
        <v>5.9465499999999998E-2</v>
      </c>
      <c r="G2738" s="14">
        <v>2.4428779999999999</v>
      </c>
      <c r="H2738" s="14">
        <v>0.31377149999999998</v>
      </c>
      <c r="R2738" s="11">
        <f t="shared" si="86"/>
        <v>7.1698835230817883E-4</v>
      </c>
      <c r="Z2738" s="11">
        <f t="shared" si="85"/>
        <v>9.0026543389385533E-4</v>
      </c>
    </row>
    <row r="2739" spans="1:26" x14ac:dyDescent="0.2">
      <c r="A2739" s="45">
        <v>479</v>
      </c>
      <c r="B2739" s="45">
        <v>2004</v>
      </c>
      <c r="C2739" s="17">
        <v>0</v>
      </c>
      <c r="D2739" s="14">
        <v>0.3138011</v>
      </c>
      <c r="E2739" s="14">
        <v>0.26107399999999997</v>
      </c>
      <c r="F2739" s="14">
        <v>6.5454600000000002E-2</v>
      </c>
      <c r="G2739" s="14">
        <v>1.867267</v>
      </c>
      <c r="H2739" s="14">
        <v>0.31762420000000002</v>
      </c>
      <c r="R2739" s="11">
        <f t="shared" si="86"/>
        <v>1.6222388914204874E-3</v>
      </c>
      <c r="Z2739" s="11">
        <f t="shared" si="85"/>
        <v>2.0750333897863386E-3</v>
      </c>
    </row>
    <row r="2740" spans="1:26" x14ac:dyDescent="0.2">
      <c r="A2740" s="45">
        <v>480</v>
      </c>
      <c r="B2740" s="45">
        <v>1995</v>
      </c>
      <c r="C2740" s="17">
        <v>0</v>
      </c>
      <c r="D2740" s="14">
        <v>5.2317900000000001E-2</v>
      </c>
      <c r="E2740" s="14">
        <v>0.193934</v>
      </c>
      <c r="F2740" s="14">
        <v>3.1286399999999999E-2</v>
      </c>
      <c r="G2740" s="14">
        <v>0.80805640000000001</v>
      </c>
      <c r="H2740" s="14">
        <v>0.2114017</v>
      </c>
      <c r="R2740" s="11">
        <f t="shared" si="86"/>
        <v>1.2574424141722593E-2</v>
      </c>
      <c r="Z2740" s="11">
        <f t="shared" si="85"/>
        <v>1.5925244983302885E-2</v>
      </c>
    </row>
    <row r="2741" spans="1:26" x14ac:dyDescent="0.2">
      <c r="A2741" s="45">
        <v>480</v>
      </c>
      <c r="B2741" s="45">
        <v>1996</v>
      </c>
      <c r="C2741" s="17">
        <v>0</v>
      </c>
      <c r="D2741" s="14">
        <v>4.9852300000000002E-2</v>
      </c>
      <c r="E2741" s="14">
        <v>0.1988231</v>
      </c>
      <c r="F2741" s="14">
        <v>2.2706400000000002E-2</v>
      </c>
      <c r="G2741" s="14">
        <v>0.96728499999999995</v>
      </c>
      <c r="H2741" s="14">
        <v>0.2279167</v>
      </c>
      <c r="R2741" s="11">
        <f t="shared" si="86"/>
        <v>1.0398313419946868E-2</v>
      </c>
      <c r="Z2741" s="11">
        <f t="shared" si="85"/>
        <v>1.3042794633334074E-2</v>
      </c>
    </row>
    <row r="2742" spans="1:26" x14ac:dyDescent="0.2">
      <c r="A2742" s="45">
        <v>480</v>
      </c>
      <c r="B2742" s="45">
        <v>1997</v>
      </c>
      <c r="C2742" s="17">
        <v>0</v>
      </c>
      <c r="D2742" s="14">
        <v>3.3732199999999997E-2</v>
      </c>
      <c r="E2742" s="14">
        <v>0.2209122</v>
      </c>
      <c r="F2742" s="14">
        <v>3.0107999999999999E-2</v>
      </c>
      <c r="G2742" s="14">
        <v>1.216699</v>
      </c>
      <c r="H2742" s="14">
        <v>0.21328749999999999</v>
      </c>
      <c r="R2742" s="11">
        <f t="shared" si="86"/>
        <v>6.4037482493853118E-3</v>
      </c>
      <c r="Z2742" s="11">
        <f t="shared" si="85"/>
        <v>8.0512219362863426E-3</v>
      </c>
    </row>
    <row r="2743" spans="1:26" x14ac:dyDescent="0.2">
      <c r="A2743" s="45">
        <v>480</v>
      </c>
      <c r="B2743" s="45">
        <v>1998</v>
      </c>
      <c r="C2743" s="17">
        <v>0</v>
      </c>
      <c r="D2743" s="14">
        <v>-2.5754900000000001E-2</v>
      </c>
      <c r="E2743" s="14">
        <v>0.13322500000000001</v>
      </c>
      <c r="F2743" s="14">
        <v>4.3856399999999997E-2</v>
      </c>
      <c r="G2743" s="14">
        <v>0.79576119999999995</v>
      </c>
      <c r="H2743" s="14">
        <v>0.1845234</v>
      </c>
      <c r="R2743" s="11">
        <f t="shared" si="86"/>
        <v>1.2665605555768922E-2</v>
      </c>
      <c r="Z2743" s="11">
        <f t="shared" si="85"/>
        <v>1.6174935180299943E-2</v>
      </c>
    </row>
    <row r="2744" spans="1:26" x14ac:dyDescent="0.2">
      <c r="A2744" s="45">
        <v>480</v>
      </c>
      <c r="B2744" s="45">
        <v>1999</v>
      </c>
      <c r="C2744" s="17">
        <v>0</v>
      </c>
      <c r="D2744" s="14">
        <v>7.1209999999999997E-3</v>
      </c>
      <c r="E2744" s="14">
        <v>0.13085140000000001</v>
      </c>
      <c r="F2744" s="14">
        <v>2.8682900000000001E-2</v>
      </c>
      <c r="G2744" s="14">
        <v>0.55802799999999997</v>
      </c>
      <c r="H2744" s="14">
        <v>0.18071660000000001</v>
      </c>
      <c r="R2744" s="11">
        <f t="shared" si="86"/>
        <v>2.0786551273739025E-2</v>
      </c>
      <c r="Z2744" s="11">
        <f t="shared" si="85"/>
        <v>2.629847445787508E-2</v>
      </c>
    </row>
    <row r="2745" spans="1:26" x14ac:dyDescent="0.2">
      <c r="A2745" s="45">
        <v>480</v>
      </c>
      <c r="B2745" s="45">
        <v>2000</v>
      </c>
      <c r="C2745" s="17">
        <v>0</v>
      </c>
      <c r="D2745" s="14">
        <v>-5.3714000000000001E-3</v>
      </c>
      <c r="E2745" s="14">
        <v>8.5962499999999997E-2</v>
      </c>
      <c r="F2745" s="14">
        <v>3.6332700000000002E-2</v>
      </c>
      <c r="G2745" s="14">
        <v>0.25288040000000001</v>
      </c>
      <c r="H2745" s="14">
        <v>0.3858241</v>
      </c>
      <c r="R2745" s="11">
        <f t="shared" si="86"/>
        <v>3.3501685256937419E-2</v>
      </c>
      <c r="Z2745" s="11">
        <f t="shared" si="85"/>
        <v>4.2705531281682661E-2</v>
      </c>
    </row>
    <row r="2746" spans="1:26" x14ac:dyDescent="0.2">
      <c r="A2746" s="45">
        <v>480</v>
      </c>
      <c r="B2746" s="45">
        <v>2001</v>
      </c>
      <c r="C2746" s="17">
        <v>0</v>
      </c>
      <c r="D2746" s="14">
        <v>-7.0786E-3</v>
      </c>
      <c r="E2746" s="14">
        <v>0.1063465</v>
      </c>
      <c r="F2746" s="14">
        <v>2.1271700000000001E-2</v>
      </c>
      <c r="G2746" s="14">
        <v>0.26652680000000001</v>
      </c>
      <c r="H2746" s="14">
        <v>0.1040372</v>
      </c>
      <c r="R2746" s="11">
        <f t="shared" si="86"/>
        <v>3.5812266096106632E-2</v>
      </c>
      <c r="Z2746" s="11">
        <f t="shared" si="85"/>
        <v>4.5103563039280516E-2</v>
      </c>
    </row>
    <row r="2747" spans="1:26" x14ac:dyDescent="0.2">
      <c r="A2747" s="45">
        <v>480</v>
      </c>
      <c r="B2747" s="45">
        <v>2002</v>
      </c>
      <c r="C2747" s="17">
        <v>0</v>
      </c>
      <c r="D2747" s="14">
        <v>9.6868000000000006E-3</v>
      </c>
      <c r="E2747" s="14">
        <v>0.1032937</v>
      </c>
      <c r="F2747" s="14">
        <v>4.3676600000000003E-2</v>
      </c>
      <c r="G2747" s="14">
        <v>0.3090484</v>
      </c>
      <c r="H2747" s="14">
        <v>0.13572780000000001</v>
      </c>
      <c r="R2747" s="11">
        <f t="shared" si="86"/>
        <v>2.8317832679022655E-2</v>
      </c>
      <c r="Z2747" s="11">
        <f t="shared" si="85"/>
        <v>3.633862039543443E-2</v>
      </c>
    </row>
    <row r="2748" spans="1:26" x14ac:dyDescent="0.2">
      <c r="A2748" s="45">
        <v>480</v>
      </c>
      <c r="B2748" s="45">
        <v>2003</v>
      </c>
      <c r="C2748" s="17">
        <v>0</v>
      </c>
      <c r="D2748" s="14">
        <v>-2.2432500000000001E-2</v>
      </c>
      <c r="E2748" s="14">
        <v>0.11588320000000001</v>
      </c>
      <c r="F2748" s="14">
        <v>5.3807199999999999E-2</v>
      </c>
      <c r="G2748" s="14">
        <v>0.44240400000000002</v>
      </c>
      <c r="H2748" s="14">
        <v>0.15819859999999999</v>
      </c>
      <c r="R2748" s="11">
        <f t="shared" si="86"/>
        <v>2.0889611729223972E-2</v>
      </c>
      <c r="Z2748" s="11">
        <f t="shared" si="85"/>
        <v>2.7016604690887704E-2</v>
      </c>
    </row>
    <row r="2749" spans="1:26" x14ac:dyDescent="0.2">
      <c r="A2749" s="45">
        <v>480</v>
      </c>
      <c r="B2749" s="45">
        <v>2004</v>
      </c>
      <c r="C2749" s="17">
        <v>0</v>
      </c>
      <c r="D2749" s="14">
        <v>-3.18166E-2</v>
      </c>
      <c r="E2749" s="14">
        <v>0.1034267</v>
      </c>
      <c r="F2749" s="14">
        <v>6.2929799999999994E-2</v>
      </c>
      <c r="G2749" s="14">
        <v>0.62359290000000001</v>
      </c>
      <c r="H2749" s="14">
        <v>0.37474489999999999</v>
      </c>
      <c r="R2749" s="11">
        <f t="shared" si="86"/>
        <v>1.4905692444904315E-2</v>
      </c>
      <c r="Z2749" s="11">
        <f t="shared" si="85"/>
        <v>1.9370254576159533E-2</v>
      </c>
    </row>
    <row r="2750" spans="1:26" x14ac:dyDescent="0.2">
      <c r="A2750" s="45">
        <v>481</v>
      </c>
      <c r="B2750" s="45">
        <v>1995</v>
      </c>
      <c r="C2750" s="17">
        <v>0</v>
      </c>
      <c r="D2750" s="14">
        <v>1.9929599999999999E-2</v>
      </c>
      <c r="E2750" s="14">
        <v>0.1622845</v>
      </c>
      <c r="F2750" s="14">
        <v>4.2852899999999999E-2</v>
      </c>
      <c r="G2750" s="14">
        <v>0.55536739999999996</v>
      </c>
      <c r="H2750" s="14">
        <v>0.2067986</v>
      </c>
      <c r="R2750" s="11">
        <f t="shared" si="86"/>
        <v>1.7858521604800445E-2</v>
      </c>
      <c r="Z2750" s="11">
        <f t="shared" si="85"/>
        <v>2.2895485140624169E-2</v>
      </c>
    </row>
    <row r="2751" spans="1:26" x14ac:dyDescent="0.2">
      <c r="A2751" s="45">
        <v>481</v>
      </c>
      <c r="B2751" s="45">
        <v>1996</v>
      </c>
      <c r="C2751" s="17">
        <v>0</v>
      </c>
      <c r="D2751" s="14">
        <v>-3.9183700000000002E-2</v>
      </c>
      <c r="E2751" s="14">
        <v>0.163156</v>
      </c>
      <c r="F2751" s="14">
        <v>6.2426299999999997E-2</v>
      </c>
      <c r="G2751" s="14">
        <v>0.6031012</v>
      </c>
      <c r="H2751" s="14">
        <v>0.13442370000000001</v>
      </c>
      <c r="R2751" s="11">
        <f t="shared" si="86"/>
        <v>1.4186745145513831E-2</v>
      </c>
      <c r="Z2751" s="11">
        <f t="shared" si="85"/>
        <v>1.8477790157256382E-2</v>
      </c>
    </row>
    <row r="2752" spans="1:26" x14ac:dyDescent="0.2">
      <c r="A2752" s="45">
        <v>481</v>
      </c>
      <c r="B2752" s="45">
        <v>1997</v>
      </c>
      <c r="C2752" s="17">
        <v>0</v>
      </c>
      <c r="D2752" s="14">
        <v>-5.6588000000000003E-3</v>
      </c>
      <c r="E2752" s="14">
        <v>0.15660080000000001</v>
      </c>
      <c r="F2752" s="14">
        <v>5.8056200000000002E-2</v>
      </c>
      <c r="G2752" s="14">
        <v>0.75366279999999997</v>
      </c>
      <c r="H2752" s="14">
        <v>0.16186030000000001</v>
      </c>
      <c r="R2752" s="11">
        <f t="shared" si="86"/>
        <v>1.1697601984195739E-2</v>
      </c>
      <c r="Z2752" s="11">
        <f t="shared" si="85"/>
        <v>1.5140829994227962E-2</v>
      </c>
    </row>
    <row r="2753" spans="1:26" x14ac:dyDescent="0.2">
      <c r="A2753" s="45">
        <v>481</v>
      </c>
      <c r="B2753" s="45">
        <v>1998</v>
      </c>
      <c r="C2753" s="17">
        <v>0</v>
      </c>
      <c r="D2753" s="14">
        <v>-3.4146799999999998E-2</v>
      </c>
      <c r="E2753" s="14">
        <v>0.15927759999999999</v>
      </c>
      <c r="F2753" s="14">
        <v>5.1305000000000003E-2</v>
      </c>
      <c r="G2753" s="14">
        <v>0.85227790000000003</v>
      </c>
      <c r="H2753" s="14">
        <v>0.15116840000000001</v>
      </c>
      <c r="R2753" s="11">
        <f t="shared" si="86"/>
        <v>1.0522656390100745E-2</v>
      </c>
      <c r="Z2753" s="11">
        <f t="shared" si="85"/>
        <v>1.3522857594282916E-2</v>
      </c>
    </row>
    <row r="2754" spans="1:26" x14ac:dyDescent="0.2">
      <c r="A2754" s="45">
        <v>482</v>
      </c>
      <c r="B2754" s="45">
        <v>1995</v>
      </c>
      <c r="C2754" s="17">
        <v>0</v>
      </c>
      <c r="D2754" s="14">
        <v>5.7402799999999997E-2</v>
      </c>
      <c r="E2754" s="14">
        <v>0.1879567</v>
      </c>
      <c r="F2754" s="14">
        <v>3.8749199999999998E-2</v>
      </c>
      <c r="G2754" s="14">
        <v>1.0752349999999999</v>
      </c>
      <c r="H2754" s="14">
        <v>0.17985979999999999</v>
      </c>
      <c r="R2754" s="11">
        <f t="shared" si="86"/>
        <v>7.8433517831489261E-3</v>
      </c>
      <c r="Z2754" s="11">
        <f t="shared" ref="Z2754:Z2817" si="87">1/(1+EXP(-(U$2+$V$2*E2754+$W$2*F2754+$X$2*G2754)))</f>
        <v>9.9464230053035313E-3</v>
      </c>
    </row>
    <row r="2755" spans="1:26" x14ac:dyDescent="0.2">
      <c r="A2755" s="45">
        <v>482</v>
      </c>
      <c r="B2755" s="45">
        <v>1996</v>
      </c>
      <c r="C2755" s="17">
        <v>0</v>
      </c>
      <c r="D2755" s="14">
        <v>-2.1005900000000001E-2</v>
      </c>
      <c r="E2755" s="14">
        <v>0.19207859999999999</v>
      </c>
      <c r="F2755" s="14">
        <v>3.7632499999999999E-2</v>
      </c>
      <c r="G2755" s="14">
        <v>0.86612270000000002</v>
      </c>
      <c r="H2755" s="14">
        <v>0.15955900000000001</v>
      </c>
      <c r="R2755" s="11">
        <f t="shared" si="86"/>
        <v>1.0943179817851768E-2</v>
      </c>
      <c r="Z2755" s="11">
        <f t="shared" si="87"/>
        <v>1.3918284167661254E-2</v>
      </c>
    </row>
    <row r="2756" spans="1:26" x14ac:dyDescent="0.2">
      <c r="A2756" s="45">
        <v>482</v>
      </c>
      <c r="B2756" s="45">
        <v>1997</v>
      </c>
      <c r="C2756" s="17">
        <v>0</v>
      </c>
      <c r="D2756" s="14">
        <v>4.9270000000000001E-2</v>
      </c>
      <c r="E2756" s="14">
        <v>0.19880329999999999</v>
      </c>
      <c r="F2756" s="14">
        <v>4.1121999999999999E-2</v>
      </c>
      <c r="G2756" s="14">
        <v>1.133246</v>
      </c>
      <c r="H2756" s="14">
        <v>0.19696659999999999</v>
      </c>
      <c r="R2756" s="11">
        <f t="shared" si="86"/>
        <v>6.9130171229964859E-3</v>
      </c>
      <c r="Z2756" s="11">
        <f t="shared" si="87"/>
        <v>8.7778764898845049E-3</v>
      </c>
    </row>
    <row r="2757" spans="1:26" x14ac:dyDescent="0.2">
      <c r="A2757" s="45">
        <v>482</v>
      </c>
      <c r="B2757" s="45">
        <v>1998</v>
      </c>
      <c r="C2757" s="17">
        <v>0</v>
      </c>
      <c r="D2757" s="14">
        <v>8.0255900000000005E-2</v>
      </c>
      <c r="E2757" s="14">
        <v>0.21299889999999999</v>
      </c>
      <c r="F2757" s="14">
        <v>6.9098999999999994E-2</v>
      </c>
      <c r="G2757" s="14">
        <v>1.2389209999999999</v>
      </c>
      <c r="H2757" s="14">
        <v>0.2214257</v>
      </c>
      <c r="R2757" s="11">
        <f t="shared" si="86"/>
        <v>4.5855664093746367E-3</v>
      </c>
      <c r="Z2757" s="11">
        <f t="shared" si="87"/>
        <v>5.9497095183459981E-3</v>
      </c>
    </row>
    <row r="2758" spans="1:26" x14ac:dyDescent="0.2">
      <c r="A2758" s="45">
        <v>482</v>
      </c>
      <c r="B2758" s="45">
        <v>1999</v>
      </c>
      <c r="C2758" s="17">
        <v>0</v>
      </c>
      <c r="D2758" s="14">
        <v>9.9082900000000002E-2</v>
      </c>
      <c r="E2758" s="14">
        <v>0.23734150000000001</v>
      </c>
      <c r="F2758" s="14">
        <v>4.2270000000000002E-2</v>
      </c>
      <c r="G2758" s="14">
        <v>1.1433880000000001</v>
      </c>
      <c r="H2758" s="14">
        <v>0.19810410000000001</v>
      </c>
      <c r="R2758" s="11">
        <f t="shared" si="86"/>
        <v>6.3761606045320673E-3</v>
      </c>
      <c r="Z2758" s="11">
        <f t="shared" si="87"/>
        <v>8.1137683439877917E-3</v>
      </c>
    </row>
    <row r="2759" spans="1:26" x14ac:dyDescent="0.2">
      <c r="A2759" s="45">
        <v>482</v>
      </c>
      <c r="B2759" s="45">
        <v>2000</v>
      </c>
      <c r="C2759" s="17">
        <v>0</v>
      </c>
      <c r="D2759" s="14">
        <v>8.0652500000000002E-2</v>
      </c>
      <c r="E2759" s="14">
        <v>0.2132811</v>
      </c>
      <c r="F2759" s="14">
        <v>5.05298E-2</v>
      </c>
      <c r="G2759" s="14">
        <v>1.5551269999999999</v>
      </c>
      <c r="H2759" s="14">
        <v>0.23744399999999999</v>
      </c>
      <c r="R2759" s="11">
        <f t="shared" si="86"/>
        <v>3.2171926360067145E-3</v>
      </c>
      <c r="Z2759" s="11">
        <f t="shared" si="87"/>
        <v>4.0847632119341603E-3</v>
      </c>
    </row>
    <row r="2760" spans="1:26" x14ac:dyDescent="0.2">
      <c r="A2760" s="45">
        <v>482</v>
      </c>
      <c r="B2760" s="45">
        <v>2001</v>
      </c>
      <c r="C2760" s="17">
        <v>0</v>
      </c>
      <c r="D2760" s="14">
        <v>6.9109599999999993E-2</v>
      </c>
      <c r="E2760" s="14">
        <v>0.22794809999999999</v>
      </c>
      <c r="F2760" s="14">
        <v>4.2580300000000001E-2</v>
      </c>
      <c r="G2760" s="14">
        <v>1.497655</v>
      </c>
      <c r="H2760" s="14">
        <v>0.23639189999999999</v>
      </c>
      <c r="R2760" s="11">
        <f t="shared" si="86"/>
        <v>3.6762672882607031E-3</v>
      </c>
      <c r="Z2760" s="11">
        <f t="shared" si="87"/>
        <v>4.6450521991320522E-3</v>
      </c>
    </row>
    <row r="2761" spans="1:26" x14ac:dyDescent="0.2">
      <c r="A2761" s="45">
        <v>482</v>
      </c>
      <c r="B2761" s="45">
        <v>2002</v>
      </c>
      <c r="C2761" s="17">
        <v>0</v>
      </c>
      <c r="D2761" s="14">
        <v>8.0820600000000006E-2</v>
      </c>
      <c r="E2761" s="14">
        <v>0.21424979999999999</v>
      </c>
      <c r="F2761" s="14">
        <v>4.2076200000000001E-2</v>
      </c>
      <c r="G2761" s="14">
        <v>1.2752870000000001</v>
      </c>
      <c r="H2761" s="14">
        <v>0.25807849999999999</v>
      </c>
      <c r="R2761" s="11">
        <f t="shared" si="86"/>
        <v>5.3576380057344265E-3</v>
      </c>
      <c r="Z2761" s="11">
        <f t="shared" si="87"/>
        <v>6.7935264748135204E-3</v>
      </c>
    </row>
    <row r="2762" spans="1:26" x14ac:dyDescent="0.2">
      <c r="A2762" s="45">
        <v>482</v>
      </c>
      <c r="B2762" s="45">
        <v>2003</v>
      </c>
      <c r="C2762" s="17">
        <v>0</v>
      </c>
      <c r="D2762" s="14">
        <v>7.6369400000000004E-2</v>
      </c>
      <c r="E2762" s="14">
        <v>0.21150659999999999</v>
      </c>
      <c r="F2762" s="14">
        <v>4.5143000000000003E-2</v>
      </c>
      <c r="G2762" s="14">
        <v>1.1112040000000001</v>
      </c>
      <c r="H2762" s="14">
        <v>0.2299678</v>
      </c>
      <c r="R2762" s="11">
        <f t="shared" si="86"/>
        <v>6.8073539548463178E-3</v>
      </c>
      <c r="Z2762" s="11">
        <f t="shared" si="87"/>
        <v>8.6801676138779128E-3</v>
      </c>
    </row>
    <row r="2763" spans="1:26" x14ac:dyDescent="0.2">
      <c r="A2763" s="45">
        <v>482</v>
      </c>
      <c r="B2763" s="45">
        <v>2004</v>
      </c>
      <c r="C2763" s="17">
        <v>0</v>
      </c>
      <c r="D2763" s="14">
        <v>0.1127548</v>
      </c>
      <c r="E2763" s="14">
        <v>0.2261425</v>
      </c>
      <c r="F2763" s="14">
        <v>5.4151299999999999E-2</v>
      </c>
      <c r="G2763" s="14">
        <v>1.1251690000000001</v>
      </c>
      <c r="H2763" s="14">
        <v>0.24281530000000001</v>
      </c>
      <c r="R2763" s="11">
        <f t="shared" si="86"/>
        <v>6.0687551702302799E-3</v>
      </c>
      <c r="Z2763" s="11">
        <f t="shared" si="87"/>
        <v>7.7983706266123503E-3</v>
      </c>
    </row>
    <row r="2764" spans="1:26" x14ac:dyDescent="0.2">
      <c r="A2764" s="45">
        <v>483</v>
      </c>
      <c r="B2764" s="45">
        <v>1995</v>
      </c>
      <c r="C2764" s="17">
        <v>0</v>
      </c>
      <c r="D2764" s="14">
        <v>0.30681229999999998</v>
      </c>
      <c r="E2764" s="14">
        <v>0.18362600000000001</v>
      </c>
      <c r="F2764" s="14">
        <v>3.14334E-2</v>
      </c>
      <c r="G2764" s="14">
        <v>0.68199350000000003</v>
      </c>
      <c r="H2764" s="14">
        <v>0.40446280000000001</v>
      </c>
      <c r="R2764" s="11">
        <f t="shared" si="86"/>
        <v>1.5539158702825738E-2</v>
      </c>
      <c r="Z2764" s="11">
        <f t="shared" si="87"/>
        <v>1.9713373485345458E-2</v>
      </c>
    </row>
    <row r="2765" spans="1:26" x14ac:dyDescent="0.2">
      <c r="A2765" s="45">
        <v>483</v>
      </c>
      <c r="B2765" s="45">
        <v>1996</v>
      </c>
      <c r="C2765" s="17">
        <v>0</v>
      </c>
      <c r="D2765" s="14">
        <v>0.28062700000000002</v>
      </c>
      <c r="E2765" s="14">
        <v>0.16852339999999999</v>
      </c>
      <c r="F2765" s="14">
        <v>3.8275799999999999E-2</v>
      </c>
      <c r="G2765" s="14">
        <v>0.52222440000000003</v>
      </c>
      <c r="H2765" s="14">
        <v>0.39701009999999998</v>
      </c>
      <c r="R2765" s="11">
        <f t="shared" si="86"/>
        <v>1.932394707451562E-2</v>
      </c>
      <c r="Z2765" s="11">
        <f t="shared" si="87"/>
        <v>2.469608186635722E-2</v>
      </c>
    </row>
    <row r="2766" spans="1:26" x14ac:dyDescent="0.2">
      <c r="A2766" s="45">
        <v>484</v>
      </c>
      <c r="B2766" s="45">
        <v>1995</v>
      </c>
      <c r="C2766" s="17">
        <v>0</v>
      </c>
      <c r="D2766" s="14">
        <v>0.11635760000000001</v>
      </c>
      <c r="E2766" s="14">
        <v>0.36437789999999998</v>
      </c>
      <c r="F2766" s="14">
        <v>2.9482299999999999E-2</v>
      </c>
      <c r="G2766" s="14">
        <v>0.55743319999999996</v>
      </c>
      <c r="H2766" s="14">
        <v>8.7147000000000002E-2</v>
      </c>
      <c r="R2766" s="11">
        <f t="shared" si="86"/>
        <v>1.4811306127477801E-2</v>
      </c>
      <c r="Z2766" s="11">
        <f t="shared" si="87"/>
        <v>1.8929550909072689E-2</v>
      </c>
    </row>
    <row r="2767" spans="1:26" x14ac:dyDescent="0.2">
      <c r="A2767" s="45">
        <v>484</v>
      </c>
      <c r="B2767" s="45">
        <v>1996</v>
      </c>
      <c r="C2767" s="17">
        <v>0</v>
      </c>
      <c r="D2767" s="14">
        <v>7.4332400000000007E-2</v>
      </c>
      <c r="E2767" s="14">
        <v>0.37276599999999999</v>
      </c>
      <c r="F2767" s="14">
        <v>3.3987499999999997E-2</v>
      </c>
      <c r="G2767" s="14">
        <v>0.5258043</v>
      </c>
      <c r="H2767" s="14">
        <v>7.6914499999999997E-2</v>
      </c>
      <c r="R2767" s="11">
        <f t="shared" si="86"/>
        <v>1.4843001032496554E-2</v>
      </c>
      <c r="Z2767" s="11">
        <f t="shared" si="87"/>
        <v>1.9057122707914455E-2</v>
      </c>
    </row>
    <row r="2768" spans="1:26" x14ac:dyDescent="0.2">
      <c r="A2768" s="45">
        <v>484</v>
      </c>
      <c r="B2768" s="45">
        <v>1997</v>
      </c>
      <c r="C2768" s="17">
        <v>0</v>
      </c>
      <c r="D2768" s="14">
        <v>8.49269E-2</v>
      </c>
      <c r="E2768" s="14">
        <v>0.37778089999999998</v>
      </c>
      <c r="F2768" s="14">
        <v>4.0648299999999998E-2</v>
      </c>
      <c r="G2768" s="14">
        <v>0.6777704</v>
      </c>
      <c r="H2768" s="14">
        <v>7.9487600000000005E-2</v>
      </c>
      <c r="R2768" s="11">
        <f t="shared" si="86"/>
        <v>1.1008513715296358E-2</v>
      </c>
      <c r="Z2768" s="11">
        <f t="shared" si="87"/>
        <v>1.4181523867954281E-2</v>
      </c>
    </row>
    <row r="2769" spans="1:26" x14ac:dyDescent="0.2">
      <c r="A2769" s="45">
        <v>484</v>
      </c>
      <c r="B2769" s="45">
        <v>1998</v>
      </c>
      <c r="C2769" s="17">
        <v>0</v>
      </c>
      <c r="D2769" s="14">
        <v>6.5113799999999999E-2</v>
      </c>
      <c r="E2769" s="14">
        <v>0.39816760000000001</v>
      </c>
      <c r="F2769" s="14">
        <v>1.9007699999999999E-2</v>
      </c>
      <c r="G2769" s="14">
        <v>0.63879810000000004</v>
      </c>
      <c r="H2769" s="14">
        <v>9.4701499999999994E-2</v>
      </c>
      <c r="R2769" s="11">
        <f t="shared" si="86"/>
        <v>1.3487016826331117E-2</v>
      </c>
      <c r="Z2769" s="11">
        <f t="shared" si="87"/>
        <v>1.7087947985641425E-2</v>
      </c>
    </row>
    <row r="2770" spans="1:26" x14ac:dyDescent="0.2">
      <c r="A2770" s="45">
        <v>484</v>
      </c>
      <c r="B2770" s="45">
        <v>1999</v>
      </c>
      <c r="C2770" s="17">
        <v>0</v>
      </c>
      <c r="D2770" s="14">
        <v>7.2051000000000004E-2</v>
      </c>
      <c r="E2770" s="14">
        <v>0.37472030000000001</v>
      </c>
      <c r="F2770" s="14">
        <v>2.26956E-2</v>
      </c>
      <c r="G2770" s="14">
        <v>0.50688449999999996</v>
      </c>
      <c r="H2770" s="14">
        <v>8.3734600000000006E-2</v>
      </c>
      <c r="R2770" s="11">
        <f t="shared" si="86"/>
        <v>1.6665000650853565E-2</v>
      </c>
      <c r="Z2770" s="11">
        <f t="shared" si="87"/>
        <v>2.1202365467449451E-2</v>
      </c>
    </row>
    <row r="2771" spans="1:26" x14ac:dyDescent="0.2">
      <c r="A2771" s="45">
        <v>484</v>
      </c>
      <c r="B2771" s="45">
        <v>2000</v>
      </c>
      <c r="C2771" s="17">
        <v>0</v>
      </c>
      <c r="D2771" s="14">
        <v>8.1837499999999994E-2</v>
      </c>
      <c r="E2771" s="14">
        <v>0.40896870000000002</v>
      </c>
      <c r="F2771" s="14">
        <v>5.5795499999999998E-2</v>
      </c>
      <c r="G2771" s="14">
        <v>0.76044369999999994</v>
      </c>
      <c r="H2771" s="14">
        <v>0.1036533</v>
      </c>
      <c r="R2771" s="11">
        <f t="shared" si="86"/>
        <v>8.1927795795944062E-3</v>
      </c>
      <c r="Z2771" s="11">
        <f t="shared" si="87"/>
        <v>1.0685480513128101E-2</v>
      </c>
    </row>
    <row r="2772" spans="1:26" x14ac:dyDescent="0.2">
      <c r="A2772" s="45">
        <v>484</v>
      </c>
      <c r="B2772" s="45">
        <v>2001</v>
      </c>
      <c r="C2772" s="17">
        <v>0</v>
      </c>
      <c r="D2772" s="14">
        <v>6.4456799999999995E-2</v>
      </c>
      <c r="E2772" s="14">
        <v>0.40107739999999997</v>
      </c>
      <c r="F2772" s="14">
        <v>4.9079400000000002E-2</v>
      </c>
      <c r="G2772" s="14">
        <v>0.70081119999999997</v>
      </c>
      <c r="H2772" s="14">
        <v>8.3250000000000005E-2</v>
      </c>
      <c r="R2772" s="11">
        <f t="shared" si="86"/>
        <v>9.6028230972057208E-3</v>
      </c>
      <c r="Z2772" s="11">
        <f t="shared" si="87"/>
        <v>1.2464075692025796E-2</v>
      </c>
    </row>
    <row r="2773" spans="1:26" x14ac:dyDescent="0.2">
      <c r="A2773" s="45">
        <v>484</v>
      </c>
      <c r="B2773" s="45">
        <v>2002</v>
      </c>
      <c r="C2773" s="17">
        <v>0</v>
      </c>
      <c r="D2773" s="14">
        <v>6.29083E-2</v>
      </c>
      <c r="E2773" s="14">
        <v>0.37759130000000002</v>
      </c>
      <c r="F2773" s="14">
        <v>3.4617000000000002E-2</v>
      </c>
      <c r="G2773" s="14">
        <v>0.52053859999999996</v>
      </c>
      <c r="H2773" s="14">
        <v>7.1287000000000003E-2</v>
      </c>
      <c r="R2773" s="11">
        <f t="shared" si="86"/>
        <v>1.4789575397431547E-2</v>
      </c>
      <c r="Z2773" s="11">
        <f t="shared" si="87"/>
        <v>1.9003680158134063E-2</v>
      </c>
    </row>
    <row r="2774" spans="1:26" x14ac:dyDescent="0.2">
      <c r="A2774" s="45">
        <v>484</v>
      </c>
      <c r="B2774" s="45">
        <v>2003</v>
      </c>
      <c r="C2774" s="17">
        <v>0</v>
      </c>
      <c r="D2774" s="14">
        <v>5.7456800000000002E-2</v>
      </c>
      <c r="E2774" s="14">
        <v>0.4405094</v>
      </c>
      <c r="F2774" s="14">
        <v>5.2387000000000003E-2</v>
      </c>
      <c r="G2774" s="14">
        <v>1.145932</v>
      </c>
      <c r="H2774" s="14">
        <v>8.9884699999999998E-2</v>
      </c>
      <c r="R2774" s="11">
        <f t="shared" si="86"/>
        <v>4.367517246987522E-3</v>
      </c>
      <c r="Z2774" s="11">
        <f t="shared" si="87"/>
        <v>5.6454933350113231E-3</v>
      </c>
    </row>
    <row r="2775" spans="1:26" x14ac:dyDescent="0.2">
      <c r="A2775" s="45">
        <v>484</v>
      </c>
      <c r="B2775" s="45">
        <v>2004</v>
      </c>
      <c r="C2775" s="17">
        <v>0</v>
      </c>
      <c r="D2775" s="14">
        <v>0.1939282</v>
      </c>
      <c r="E2775" s="14">
        <v>0.46976200000000001</v>
      </c>
      <c r="F2775" s="14">
        <v>7.9112600000000005E-2</v>
      </c>
      <c r="G2775" s="14">
        <v>1.7595689999999999</v>
      </c>
      <c r="H2775" s="14">
        <v>0.12678710000000001</v>
      </c>
      <c r="R2775" s="11">
        <f t="shared" ref="R2775:R2838" si="88">1/(1+EXP(-(K$2+$M$2*E2775+$N$2*F2775+$O$2*G2775)))</f>
        <v>1.275188325724599E-3</v>
      </c>
      <c r="Z2775" s="11">
        <f t="shared" si="87"/>
        <v>1.6653693221454556E-3</v>
      </c>
    </row>
    <row r="2776" spans="1:26" x14ac:dyDescent="0.2">
      <c r="A2776" s="45">
        <v>485</v>
      </c>
      <c r="B2776" s="45">
        <v>1995</v>
      </c>
      <c r="C2776" s="17">
        <v>0</v>
      </c>
      <c r="D2776" s="14">
        <v>0.42094999999999999</v>
      </c>
      <c r="E2776" s="14">
        <v>9.8268099999999997E-2</v>
      </c>
      <c r="F2776" s="14">
        <v>4.0645500000000001E-2</v>
      </c>
      <c r="G2776" s="14">
        <v>0.66758700000000004</v>
      </c>
      <c r="H2776" s="14">
        <v>0.89262149999999996</v>
      </c>
      <c r="R2776" s="11">
        <f t="shared" si="88"/>
        <v>1.6702574279229561E-2</v>
      </c>
      <c r="Z2776" s="11">
        <f t="shared" si="87"/>
        <v>2.1285310776388722E-2</v>
      </c>
    </row>
    <row r="2777" spans="1:26" x14ac:dyDescent="0.2">
      <c r="A2777" s="45">
        <v>485</v>
      </c>
      <c r="B2777" s="45">
        <v>1996</v>
      </c>
      <c r="C2777" s="17">
        <v>0</v>
      </c>
      <c r="D2777" s="14">
        <v>0.2988191</v>
      </c>
      <c r="E2777" s="14">
        <v>0.1213461</v>
      </c>
      <c r="F2777" s="14">
        <v>5.0723600000000001E-2</v>
      </c>
      <c r="G2777" s="14">
        <v>0.77775329999999998</v>
      </c>
      <c r="H2777" s="14">
        <v>1.1430229999999999</v>
      </c>
      <c r="R2777" s="11">
        <f t="shared" si="88"/>
        <v>1.2554025987208764E-2</v>
      </c>
      <c r="Z2777" s="11">
        <f t="shared" si="87"/>
        <v>1.6121818786065858E-2</v>
      </c>
    </row>
    <row r="2778" spans="1:26" x14ac:dyDescent="0.2">
      <c r="A2778" s="45">
        <v>485</v>
      </c>
      <c r="B2778" s="45">
        <v>1997</v>
      </c>
      <c r="C2778" s="17">
        <v>0</v>
      </c>
      <c r="D2778" s="14">
        <v>0.36759229999999998</v>
      </c>
      <c r="E2778" s="14">
        <v>0.13125600000000001</v>
      </c>
      <c r="F2778" s="14">
        <v>4.9652200000000001E-2</v>
      </c>
      <c r="G2778" s="14">
        <v>1.0528949999999999</v>
      </c>
      <c r="H2778" s="14">
        <v>1.1527890000000001</v>
      </c>
      <c r="R2778" s="11">
        <f t="shared" si="88"/>
        <v>8.0869515936435373E-3</v>
      </c>
      <c r="Z2778" s="11">
        <f t="shared" si="87"/>
        <v>1.0330919932580755E-2</v>
      </c>
    </row>
    <row r="2779" spans="1:26" x14ac:dyDescent="0.2">
      <c r="A2779" s="45">
        <v>485</v>
      </c>
      <c r="B2779" s="45">
        <v>1998</v>
      </c>
      <c r="C2779" s="17">
        <v>0</v>
      </c>
      <c r="D2779" s="14">
        <v>0.35698489999999999</v>
      </c>
      <c r="E2779" s="14">
        <v>0.14249829999999999</v>
      </c>
      <c r="F2779" s="14">
        <v>6.2135099999999999E-2</v>
      </c>
      <c r="G2779" s="14">
        <v>0.95196860000000005</v>
      </c>
      <c r="H2779" s="14">
        <v>1.0273270000000001</v>
      </c>
      <c r="R2779" s="11">
        <f t="shared" si="88"/>
        <v>8.4529922064961131E-3</v>
      </c>
      <c r="Z2779" s="11">
        <f t="shared" si="87"/>
        <v>1.0935431872792608E-2</v>
      </c>
    </row>
    <row r="2780" spans="1:26" x14ac:dyDescent="0.2">
      <c r="A2780" s="45">
        <v>485</v>
      </c>
      <c r="B2780" s="45">
        <v>1999</v>
      </c>
      <c r="C2780" s="17">
        <v>0</v>
      </c>
      <c r="D2780" s="14">
        <v>0.28591480000000002</v>
      </c>
      <c r="E2780" s="14">
        <v>0.13466649999999999</v>
      </c>
      <c r="F2780" s="14">
        <v>5.9495699999999999E-2</v>
      </c>
      <c r="G2780" s="14">
        <v>0.45081710000000003</v>
      </c>
      <c r="H2780" s="14">
        <v>1.034427</v>
      </c>
      <c r="R2780" s="11">
        <f t="shared" si="88"/>
        <v>1.9197078708808362E-2</v>
      </c>
      <c r="Z2780" s="11">
        <f t="shared" si="87"/>
        <v>2.4964599805172086E-2</v>
      </c>
    </row>
    <row r="2781" spans="1:26" x14ac:dyDescent="0.2">
      <c r="A2781" s="45">
        <v>485</v>
      </c>
      <c r="B2781" s="45">
        <v>2000</v>
      </c>
      <c r="C2781" s="17">
        <v>0</v>
      </c>
      <c r="D2781" s="14">
        <v>0.30748880000000001</v>
      </c>
      <c r="E2781" s="14">
        <v>0.1742118</v>
      </c>
      <c r="F2781" s="14">
        <v>6.5961099999999995E-2</v>
      </c>
      <c r="G2781" s="14">
        <v>0.90972960000000003</v>
      </c>
      <c r="H2781" s="14">
        <v>1.0535380000000001</v>
      </c>
      <c r="R2781" s="11">
        <f t="shared" si="88"/>
        <v>8.3745299793930028E-3</v>
      </c>
      <c r="Z2781" s="11">
        <f t="shared" si="87"/>
        <v>1.0889545785331021E-2</v>
      </c>
    </row>
    <row r="2782" spans="1:26" x14ac:dyDescent="0.2">
      <c r="A2782" s="45">
        <v>485</v>
      </c>
      <c r="B2782" s="45">
        <v>2001</v>
      </c>
      <c r="C2782" s="17">
        <v>0</v>
      </c>
      <c r="D2782" s="14">
        <v>0.36522860000000001</v>
      </c>
      <c r="E2782" s="14">
        <v>0.17798249999999999</v>
      </c>
      <c r="F2782" s="14">
        <v>5.6269300000000001E-2</v>
      </c>
      <c r="G2782" s="14">
        <v>0.89365779999999995</v>
      </c>
      <c r="H2782" s="14">
        <v>1.048279</v>
      </c>
      <c r="R2782" s="11">
        <f t="shared" si="88"/>
        <v>9.2256789398813942E-3</v>
      </c>
      <c r="Z2782" s="11">
        <f t="shared" si="87"/>
        <v>1.1905128627489487E-2</v>
      </c>
    </row>
    <row r="2783" spans="1:26" x14ac:dyDescent="0.2">
      <c r="A2783" s="45">
        <v>485</v>
      </c>
      <c r="B2783" s="45">
        <v>2002</v>
      </c>
      <c r="C2783" s="17">
        <v>0</v>
      </c>
      <c r="D2783" s="14">
        <v>0.41217609999999999</v>
      </c>
      <c r="E2783" s="14">
        <v>0.2126199</v>
      </c>
      <c r="F2783" s="14">
        <v>5.4710300000000003E-2</v>
      </c>
      <c r="G2783" s="14">
        <v>0.79529209999999995</v>
      </c>
      <c r="H2783" s="14">
        <v>1.055061</v>
      </c>
      <c r="R2783" s="11">
        <f t="shared" si="88"/>
        <v>1.0378009500051157E-2</v>
      </c>
      <c r="Z2783" s="11">
        <f t="shared" si="87"/>
        <v>1.3415054140542941E-2</v>
      </c>
    </row>
    <row r="2784" spans="1:26" x14ac:dyDescent="0.2">
      <c r="A2784" s="45">
        <v>485</v>
      </c>
      <c r="B2784" s="45">
        <v>2003</v>
      </c>
      <c r="C2784" s="17">
        <v>0</v>
      </c>
      <c r="D2784" s="14">
        <v>0.39482640000000002</v>
      </c>
      <c r="E2784" s="14">
        <v>0.22822419999999999</v>
      </c>
      <c r="F2784" s="14">
        <v>4.1737700000000003E-2</v>
      </c>
      <c r="G2784" s="14">
        <v>1.367721</v>
      </c>
      <c r="H2784" s="14">
        <v>1.089153</v>
      </c>
      <c r="R2784" s="11">
        <f t="shared" si="88"/>
        <v>4.5468032604706107E-3</v>
      </c>
      <c r="Z2784" s="11">
        <f t="shared" si="87"/>
        <v>5.756136154511508E-3</v>
      </c>
    </row>
    <row r="2785" spans="1:26" x14ac:dyDescent="0.2">
      <c r="A2785" s="45">
        <v>485</v>
      </c>
      <c r="B2785" s="45">
        <v>2004</v>
      </c>
      <c r="C2785" s="17">
        <v>0</v>
      </c>
      <c r="D2785" s="14">
        <v>0.41444219999999998</v>
      </c>
      <c r="E2785" s="14">
        <v>0.2359388</v>
      </c>
      <c r="F2785" s="14">
        <v>6.8561399999999995E-2</v>
      </c>
      <c r="G2785" s="14">
        <v>1.6770989999999999</v>
      </c>
      <c r="H2785" s="14">
        <v>1.05138</v>
      </c>
      <c r="R2785" s="11">
        <f t="shared" si="88"/>
        <v>2.2209911655010346E-3</v>
      </c>
      <c r="Z2785" s="11">
        <f t="shared" si="87"/>
        <v>2.8571148554142607E-3</v>
      </c>
    </row>
    <row r="2786" spans="1:26" x14ac:dyDescent="0.2">
      <c r="A2786" s="45">
        <v>486</v>
      </c>
      <c r="B2786" s="45">
        <v>1995</v>
      </c>
      <c r="C2786" s="17">
        <v>0</v>
      </c>
      <c r="D2786" s="14">
        <v>3.8089900000000003E-2</v>
      </c>
      <c r="E2786" s="14">
        <v>-0.211835</v>
      </c>
      <c r="F2786" s="14">
        <v>5.6347700000000001E-2</v>
      </c>
      <c r="G2786" s="14">
        <v>0.67802709999999999</v>
      </c>
      <c r="H2786" s="14">
        <v>0.33836369999999999</v>
      </c>
      <c r="R2786" s="11">
        <f t="shared" si="88"/>
        <v>2.2605600015131462E-2</v>
      </c>
      <c r="Z2786" s="11">
        <f t="shared" si="87"/>
        <v>2.8816849963441887E-2</v>
      </c>
    </row>
    <row r="2787" spans="1:26" x14ac:dyDescent="0.2">
      <c r="A2787" s="45">
        <v>486</v>
      </c>
      <c r="B2787" s="45">
        <v>1996</v>
      </c>
      <c r="C2787" s="17">
        <v>0</v>
      </c>
      <c r="D2787" s="14">
        <v>-1.13458E-2</v>
      </c>
      <c r="E2787" s="14">
        <v>-0.2402783</v>
      </c>
      <c r="F2787" s="14">
        <v>7.4385300000000001E-2</v>
      </c>
      <c r="G2787" s="14">
        <v>0.53352869999999997</v>
      </c>
      <c r="H2787" s="14">
        <v>0.286746</v>
      </c>
      <c r="R2787" s="11">
        <f t="shared" si="88"/>
        <v>2.5597058634299872E-2</v>
      </c>
      <c r="Z2787" s="11">
        <f t="shared" si="87"/>
        <v>3.3143061513826323E-2</v>
      </c>
    </row>
    <row r="2788" spans="1:26" x14ac:dyDescent="0.2">
      <c r="A2788" s="45">
        <v>486</v>
      </c>
      <c r="B2788" s="45">
        <v>1997</v>
      </c>
      <c r="C2788" s="17">
        <v>0</v>
      </c>
      <c r="D2788" s="14">
        <v>5.1576400000000001E-2</v>
      </c>
      <c r="E2788" s="14">
        <v>-0.18416060000000001</v>
      </c>
      <c r="F2788" s="14">
        <v>4.3618799999999999E-2</v>
      </c>
      <c r="G2788" s="14">
        <v>0.38151200000000002</v>
      </c>
      <c r="H2788" s="14">
        <v>0.27532129999999999</v>
      </c>
      <c r="R2788" s="11">
        <f t="shared" si="88"/>
        <v>3.7957636929760494E-2</v>
      </c>
      <c r="Z2788" s="11">
        <f t="shared" si="87"/>
        <v>4.8043815371693999E-2</v>
      </c>
    </row>
    <row r="2789" spans="1:26" x14ac:dyDescent="0.2">
      <c r="A2789" s="45">
        <v>486</v>
      </c>
      <c r="B2789" s="45">
        <v>1998</v>
      </c>
      <c r="C2789" s="17">
        <v>0</v>
      </c>
      <c r="D2789" s="14">
        <v>-4.5360200000000003E-2</v>
      </c>
      <c r="E2789" s="14">
        <v>-0.3318469</v>
      </c>
      <c r="F2789" s="14">
        <v>4.0802199999999997E-2</v>
      </c>
      <c r="G2789" s="14">
        <v>0.34261209999999997</v>
      </c>
      <c r="H2789" s="14">
        <v>0.2865663</v>
      </c>
      <c r="R2789" s="11">
        <f t="shared" si="88"/>
        <v>5.0530416690179367E-2</v>
      </c>
      <c r="Z2789" s="11">
        <f t="shared" si="87"/>
        <v>6.3348495351823964E-2</v>
      </c>
    </row>
    <row r="2790" spans="1:26" x14ac:dyDescent="0.2">
      <c r="A2790" s="45">
        <v>486</v>
      </c>
      <c r="B2790" s="45">
        <v>1999</v>
      </c>
      <c r="C2790" s="17">
        <v>1</v>
      </c>
      <c r="D2790" s="14">
        <v>-9.83266E-2</v>
      </c>
      <c r="E2790" s="14">
        <v>-0.2161151</v>
      </c>
      <c r="F2790" s="14">
        <v>5.0780699999999998E-2</v>
      </c>
      <c r="G2790" s="14">
        <v>0.16641529999999999</v>
      </c>
      <c r="H2790" s="14">
        <v>0.22759670000000001</v>
      </c>
      <c r="R2790" s="11">
        <f t="shared" si="88"/>
        <v>5.21220892172269E-2</v>
      </c>
      <c r="Z2790" s="11">
        <f t="shared" si="87"/>
        <v>6.6301400354843207E-2</v>
      </c>
    </row>
    <row r="2791" spans="1:26" x14ac:dyDescent="0.2">
      <c r="A2791" s="45">
        <v>487</v>
      </c>
      <c r="B2791" s="45">
        <v>1995</v>
      </c>
      <c r="C2791" s="17">
        <v>0</v>
      </c>
      <c r="D2791" s="14">
        <v>8.3340899999999996E-2</v>
      </c>
      <c r="E2791" s="14">
        <v>-6.4512299999999995E-2</v>
      </c>
      <c r="F2791" s="14">
        <v>4.3471500000000003E-2</v>
      </c>
      <c r="G2791" s="14">
        <v>0.3912427</v>
      </c>
      <c r="H2791" s="14">
        <v>0.19505130000000001</v>
      </c>
      <c r="R2791" s="11">
        <f t="shared" si="88"/>
        <v>3.1649020893331992E-2</v>
      </c>
      <c r="Z2791" s="11">
        <f t="shared" si="87"/>
        <v>4.0274099825383949E-2</v>
      </c>
    </row>
    <row r="2792" spans="1:26" x14ac:dyDescent="0.2">
      <c r="A2792" s="45">
        <v>487</v>
      </c>
      <c r="B2792" s="45">
        <v>1996</v>
      </c>
      <c r="C2792" s="17">
        <v>0</v>
      </c>
      <c r="D2792" s="14">
        <v>8.7957300000000002E-2</v>
      </c>
      <c r="E2792" s="14">
        <v>-2.053E-2</v>
      </c>
      <c r="F2792" s="14">
        <v>6.0862800000000002E-2</v>
      </c>
      <c r="G2792" s="14">
        <v>0.54493239999999998</v>
      </c>
      <c r="H2792" s="14">
        <v>0.20142109999999999</v>
      </c>
      <c r="R2792" s="11">
        <f t="shared" si="88"/>
        <v>2.0454783696411481E-2</v>
      </c>
      <c r="Z2792" s="11">
        <f t="shared" si="87"/>
        <v>2.6428079152255535E-2</v>
      </c>
    </row>
    <row r="2793" spans="1:26" x14ac:dyDescent="0.2">
      <c r="A2793" s="45">
        <v>487</v>
      </c>
      <c r="B2793" s="45">
        <v>1997</v>
      </c>
      <c r="C2793" s="17">
        <v>0</v>
      </c>
      <c r="D2793" s="14">
        <v>0.1201132</v>
      </c>
      <c r="E2793" s="14">
        <v>6.8274E-3</v>
      </c>
      <c r="F2793" s="14">
        <v>5.7166300000000003E-2</v>
      </c>
      <c r="G2793" s="14">
        <v>0.99184220000000001</v>
      </c>
      <c r="H2793" s="14">
        <v>0.2042146</v>
      </c>
      <c r="R2793" s="11">
        <f t="shared" si="88"/>
        <v>1.0038143838750664E-2</v>
      </c>
      <c r="Z2793" s="11">
        <f t="shared" si="87"/>
        <v>1.2857576620920574E-2</v>
      </c>
    </row>
    <row r="2794" spans="1:26" x14ac:dyDescent="0.2">
      <c r="A2794" s="45">
        <v>487</v>
      </c>
      <c r="B2794" s="45">
        <v>1998</v>
      </c>
      <c r="C2794" s="17">
        <v>0</v>
      </c>
      <c r="D2794" s="14">
        <v>0.1137664</v>
      </c>
      <c r="E2794" s="14">
        <v>8.5115999999999994E-3</v>
      </c>
      <c r="F2794" s="14">
        <v>4.5822000000000002E-2</v>
      </c>
      <c r="G2794" s="14">
        <v>0.57839110000000005</v>
      </c>
      <c r="H2794" s="14">
        <v>0.14384060000000001</v>
      </c>
      <c r="R2794" s="11">
        <f t="shared" si="88"/>
        <v>2.0956934332893126E-2</v>
      </c>
      <c r="Z2794" s="11">
        <f t="shared" si="87"/>
        <v>2.6756695541701108E-2</v>
      </c>
    </row>
    <row r="2795" spans="1:26" x14ac:dyDescent="0.2">
      <c r="A2795" s="45">
        <v>487</v>
      </c>
      <c r="B2795" s="45">
        <v>1999</v>
      </c>
      <c r="C2795" s="17">
        <v>0</v>
      </c>
      <c r="D2795" s="14">
        <v>0.13254540000000001</v>
      </c>
      <c r="E2795" s="14">
        <v>3.4049999999999997E-2</v>
      </c>
      <c r="F2795" s="14">
        <v>3.3098799999999998E-2</v>
      </c>
      <c r="G2795" s="14">
        <v>0.48393199999999997</v>
      </c>
      <c r="H2795" s="14">
        <v>0.1585878</v>
      </c>
      <c r="R2795" s="11">
        <f t="shared" si="88"/>
        <v>2.5858019022866625E-2</v>
      </c>
      <c r="Z2795" s="11">
        <f t="shared" si="87"/>
        <v>3.2731021028309562E-2</v>
      </c>
    </row>
    <row r="2796" spans="1:26" x14ac:dyDescent="0.2">
      <c r="A2796" s="45">
        <v>487</v>
      </c>
      <c r="B2796" s="45">
        <v>2000</v>
      </c>
      <c r="C2796" s="17">
        <v>0</v>
      </c>
      <c r="D2796" s="14">
        <v>0.1041116</v>
      </c>
      <c r="E2796" s="14">
        <v>-1.4559000000000001E-2</v>
      </c>
      <c r="F2796" s="14">
        <v>5.8709799999999999E-2</v>
      </c>
      <c r="G2796" s="14">
        <v>0.1344022</v>
      </c>
      <c r="H2796" s="14">
        <v>0.16632730000000001</v>
      </c>
      <c r="R2796" s="11">
        <f t="shared" si="88"/>
        <v>3.893632467492663E-2</v>
      </c>
      <c r="Z2796" s="11">
        <f t="shared" si="87"/>
        <v>5.0387742206579496E-2</v>
      </c>
    </row>
    <row r="2797" spans="1:26" x14ac:dyDescent="0.2">
      <c r="A2797" s="45">
        <v>487</v>
      </c>
      <c r="B2797" s="45">
        <v>2001</v>
      </c>
      <c r="C2797" s="17">
        <v>0</v>
      </c>
      <c r="D2797" s="14">
        <v>0.1089302</v>
      </c>
      <c r="E2797" s="14">
        <v>-6.6080000000000002E-4</v>
      </c>
      <c r="F2797" s="14">
        <v>4.8650199999999998E-2</v>
      </c>
      <c r="G2797" s="14">
        <v>0.2078797</v>
      </c>
      <c r="H2797" s="14">
        <v>0.16519519999999999</v>
      </c>
      <c r="R2797" s="11">
        <f t="shared" si="88"/>
        <v>3.6864421005279702E-2</v>
      </c>
      <c r="Z2797" s="11">
        <f t="shared" si="87"/>
        <v>4.731181523484284E-2</v>
      </c>
    </row>
    <row r="2798" spans="1:26" x14ac:dyDescent="0.2">
      <c r="A2798" s="45">
        <v>487</v>
      </c>
      <c r="B2798" s="45">
        <v>2002</v>
      </c>
      <c r="C2798" s="17">
        <v>0</v>
      </c>
      <c r="D2798" s="14">
        <v>7.6881400000000003E-2</v>
      </c>
      <c r="E2798" s="14">
        <v>-4.3649500000000001E-2</v>
      </c>
      <c r="F2798" s="14">
        <v>5.1961800000000002E-2</v>
      </c>
      <c r="G2798" s="14">
        <v>0.29382740000000002</v>
      </c>
      <c r="H2798" s="14">
        <v>0.17879880000000001</v>
      </c>
      <c r="R2798" s="11">
        <f t="shared" si="88"/>
        <v>3.3443048036348809E-2</v>
      </c>
      <c r="Z2798" s="11">
        <f t="shared" si="87"/>
        <v>4.2937289746372842E-2</v>
      </c>
    </row>
    <row r="2799" spans="1:26" x14ac:dyDescent="0.2">
      <c r="A2799" s="45">
        <v>487</v>
      </c>
      <c r="B2799" s="45">
        <v>2003</v>
      </c>
      <c r="C2799" s="17">
        <v>0</v>
      </c>
      <c r="D2799" s="14">
        <v>0.1126259</v>
      </c>
      <c r="E2799" s="14">
        <v>-0.11491560000000001</v>
      </c>
      <c r="F2799" s="14">
        <v>3.9335200000000001E-2</v>
      </c>
      <c r="G2799" s="14">
        <v>0.23477809999999999</v>
      </c>
      <c r="H2799" s="14">
        <v>0.1640559</v>
      </c>
      <c r="R2799" s="11">
        <f t="shared" si="88"/>
        <v>4.4566940587664888E-2</v>
      </c>
      <c r="Z2799" s="11">
        <f t="shared" si="87"/>
        <v>5.641790943368119E-2</v>
      </c>
    </row>
    <row r="2800" spans="1:26" x14ac:dyDescent="0.2">
      <c r="A2800" s="45">
        <v>487</v>
      </c>
      <c r="B2800" s="45">
        <v>2004</v>
      </c>
      <c r="C2800" s="17">
        <v>0</v>
      </c>
      <c r="D2800" s="14">
        <v>7.9941200000000004E-2</v>
      </c>
      <c r="E2800" s="14">
        <v>-5.0183199999999997E-2</v>
      </c>
      <c r="F2800" s="14">
        <v>4.2701599999999999E-2</v>
      </c>
      <c r="G2800" s="14">
        <v>0.39746369999999998</v>
      </c>
      <c r="H2800" s="14">
        <v>0.18601129999999999</v>
      </c>
      <c r="R2800" s="11">
        <f t="shared" si="88"/>
        <v>3.0904017407567985E-2</v>
      </c>
      <c r="Z2800" s="11">
        <f t="shared" si="87"/>
        <v>3.9323849854912107E-2</v>
      </c>
    </row>
    <row r="2801" spans="1:26" x14ac:dyDescent="0.2">
      <c r="A2801" s="45">
        <v>488</v>
      </c>
      <c r="B2801" s="45">
        <v>1995</v>
      </c>
      <c r="C2801" s="17">
        <v>0</v>
      </c>
      <c r="D2801" s="14">
        <v>0.12220590000000001</v>
      </c>
      <c r="E2801" s="14">
        <v>0.68328239999999996</v>
      </c>
      <c r="F2801" s="14">
        <v>8.7112400000000006E-2</v>
      </c>
      <c r="G2801" s="14">
        <v>2.4849009999999998</v>
      </c>
      <c r="H2801" s="14">
        <v>0.29749229999999999</v>
      </c>
      <c r="R2801" s="11">
        <f t="shared" si="88"/>
        <v>2.7630628781019504E-4</v>
      </c>
      <c r="Z2801" s="11">
        <f t="shared" si="87"/>
        <v>3.6020496014004742E-4</v>
      </c>
    </row>
    <row r="2802" spans="1:26" x14ac:dyDescent="0.2">
      <c r="A2802" s="45">
        <v>488</v>
      </c>
      <c r="B2802" s="45">
        <v>1996</v>
      </c>
      <c r="C2802" s="17">
        <v>0</v>
      </c>
      <c r="D2802" s="14">
        <v>0.10781839999999999</v>
      </c>
      <c r="E2802" s="14">
        <v>0.74639610000000001</v>
      </c>
      <c r="F2802" s="14">
        <v>7.9899899999999996E-2</v>
      </c>
      <c r="G2802" s="14">
        <v>2.6282740000000002</v>
      </c>
      <c r="H2802" s="14">
        <v>0.30899529999999997</v>
      </c>
      <c r="R2802" s="11">
        <f t="shared" si="88"/>
        <v>2.1251657918929412E-4</v>
      </c>
      <c r="Z2802" s="11">
        <f t="shared" si="87"/>
        <v>2.751450642899067E-4</v>
      </c>
    </row>
    <row r="2803" spans="1:26" x14ac:dyDescent="0.2">
      <c r="A2803" s="45">
        <v>488</v>
      </c>
      <c r="B2803" s="45">
        <v>1997</v>
      </c>
      <c r="C2803" s="17">
        <v>0</v>
      </c>
      <c r="D2803" s="14">
        <v>0.16674159999999999</v>
      </c>
      <c r="E2803" s="14">
        <v>0.73899630000000005</v>
      </c>
      <c r="F2803" s="14">
        <v>7.7126100000000003E-2</v>
      </c>
      <c r="G2803" s="14">
        <v>2.3610570000000002</v>
      </c>
      <c r="H2803" s="14">
        <v>0.2988497</v>
      </c>
      <c r="R2803" s="11">
        <f t="shared" si="88"/>
        <v>3.3619085308439961E-4</v>
      </c>
      <c r="Z2803" s="11">
        <f t="shared" si="87"/>
        <v>4.3671320969188796E-4</v>
      </c>
    </row>
    <row r="2804" spans="1:26" x14ac:dyDescent="0.2">
      <c r="A2804" s="45">
        <v>488</v>
      </c>
      <c r="B2804" s="45">
        <v>1998</v>
      </c>
      <c r="C2804" s="17">
        <v>0</v>
      </c>
      <c r="D2804" s="14">
        <v>0.12611069999999999</v>
      </c>
      <c r="E2804" s="14">
        <v>0.76764900000000003</v>
      </c>
      <c r="F2804" s="14">
        <v>5.91777E-2</v>
      </c>
      <c r="G2804" s="14">
        <v>2.324592</v>
      </c>
      <c r="H2804" s="14">
        <v>0.26789370000000001</v>
      </c>
      <c r="R2804" s="11">
        <f t="shared" si="88"/>
        <v>3.9450814634538997E-4</v>
      </c>
      <c r="Z2804" s="11">
        <f t="shared" si="87"/>
        <v>5.0587998651539583E-4</v>
      </c>
    </row>
    <row r="2805" spans="1:26" x14ac:dyDescent="0.2">
      <c r="A2805" s="45">
        <v>488</v>
      </c>
      <c r="B2805" s="45">
        <v>1999</v>
      </c>
      <c r="C2805" s="17">
        <v>0</v>
      </c>
      <c r="D2805" s="14">
        <v>0.101574</v>
      </c>
      <c r="E2805" s="14">
        <v>0.67920910000000001</v>
      </c>
      <c r="F2805" s="14">
        <v>7.0654499999999995E-2</v>
      </c>
      <c r="G2805" s="14">
        <v>1.9025829999999999</v>
      </c>
      <c r="H2805" s="14">
        <v>0.2643317</v>
      </c>
      <c r="R2805" s="11">
        <f t="shared" si="88"/>
        <v>8.0153885539490483E-4</v>
      </c>
      <c r="Z2805" s="11">
        <f t="shared" si="87"/>
        <v>1.0439128253974103E-3</v>
      </c>
    </row>
    <row r="2806" spans="1:26" x14ac:dyDescent="0.2">
      <c r="A2806" s="45">
        <v>488</v>
      </c>
      <c r="B2806" s="45">
        <v>2000</v>
      </c>
      <c r="C2806" s="17">
        <v>0</v>
      </c>
      <c r="D2806" s="14">
        <v>9.2367699999999997E-2</v>
      </c>
      <c r="E2806" s="14">
        <v>0.68590680000000004</v>
      </c>
      <c r="F2806" s="14">
        <v>5.49054E-2</v>
      </c>
      <c r="G2806" s="14">
        <v>1.3392520000000001</v>
      </c>
      <c r="H2806" s="14">
        <v>0.27523239999999999</v>
      </c>
      <c r="R2806" s="11">
        <f t="shared" si="88"/>
        <v>2.206332585445123E-3</v>
      </c>
      <c r="Z2806" s="11">
        <f t="shared" si="87"/>
        <v>2.8714886368061475E-3</v>
      </c>
    </row>
    <row r="2807" spans="1:26" x14ac:dyDescent="0.2">
      <c r="A2807" s="45">
        <v>488</v>
      </c>
      <c r="B2807" s="45">
        <v>2001</v>
      </c>
      <c r="C2807" s="17">
        <v>0</v>
      </c>
      <c r="D2807" s="14">
        <v>0.1180794</v>
      </c>
      <c r="E2807" s="14">
        <v>0.74016950000000004</v>
      </c>
      <c r="F2807" s="14">
        <v>5.5724999999999997E-2</v>
      </c>
      <c r="G2807" s="14">
        <v>1.652488</v>
      </c>
      <c r="H2807" s="14">
        <v>0.25674209999999997</v>
      </c>
      <c r="R2807" s="11">
        <f t="shared" si="88"/>
        <v>1.2308225328635416E-3</v>
      </c>
      <c r="Z2807" s="11">
        <f t="shared" si="87"/>
        <v>1.5953884183112002E-3</v>
      </c>
    </row>
    <row r="2808" spans="1:26" x14ac:dyDescent="0.2">
      <c r="A2808" s="45">
        <v>488</v>
      </c>
      <c r="B2808" s="45">
        <v>2002</v>
      </c>
      <c r="C2808" s="17">
        <v>0</v>
      </c>
      <c r="D2808" s="14">
        <v>0.1639169</v>
      </c>
      <c r="E2808" s="14">
        <v>0.68857440000000003</v>
      </c>
      <c r="F2808" s="14">
        <v>4.2932100000000001E-2</v>
      </c>
      <c r="G2808" s="14">
        <v>1.5236019999999999</v>
      </c>
      <c r="H2808" s="14">
        <v>0.28334619999999999</v>
      </c>
      <c r="R2808" s="11">
        <f t="shared" si="88"/>
        <v>1.8037221551625495E-3</v>
      </c>
      <c r="Z2808" s="11">
        <f t="shared" si="87"/>
        <v>2.3157240489904743E-3</v>
      </c>
    </row>
    <row r="2809" spans="1:26" x14ac:dyDescent="0.2">
      <c r="A2809" s="45">
        <v>488</v>
      </c>
      <c r="B2809" s="45">
        <v>2003</v>
      </c>
      <c r="C2809" s="17">
        <v>0</v>
      </c>
      <c r="D2809" s="14">
        <v>0.20906179999999999</v>
      </c>
      <c r="E2809" s="14">
        <v>0.71802089999999996</v>
      </c>
      <c r="F2809" s="14">
        <v>5.8650899999999999E-2</v>
      </c>
      <c r="G2809" s="14">
        <v>1.991541</v>
      </c>
      <c r="H2809" s="14">
        <v>0.28272750000000002</v>
      </c>
      <c r="R2809" s="11">
        <f t="shared" si="88"/>
        <v>7.2374035705585001E-4</v>
      </c>
      <c r="Z2809" s="11">
        <f t="shared" si="87"/>
        <v>9.3280474060193988E-4</v>
      </c>
    </row>
    <row r="2810" spans="1:26" x14ac:dyDescent="0.2">
      <c r="A2810" s="45">
        <v>488</v>
      </c>
      <c r="B2810" s="45">
        <v>2004</v>
      </c>
      <c r="C2810" s="17">
        <v>0</v>
      </c>
      <c r="D2810" s="14">
        <v>0.23946429999999999</v>
      </c>
      <c r="E2810" s="14">
        <v>0.74143119999999996</v>
      </c>
      <c r="F2810" s="14">
        <v>5.1534900000000002E-2</v>
      </c>
      <c r="G2810" s="14">
        <v>2.211052</v>
      </c>
      <c r="H2810" s="14">
        <v>0.31376409999999999</v>
      </c>
      <c r="R2810" s="11">
        <f t="shared" si="88"/>
        <v>5.2201970740032493E-4</v>
      </c>
      <c r="Z2810" s="11">
        <f t="shared" si="87"/>
        <v>6.6625266367442378E-4</v>
      </c>
    </row>
    <row r="2811" spans="1:26" x14ac:dyDescent="0.2">
      <c r="A2811" s="45">
        <v>489</v>
      </c>
      <c r="B2811" s="45">
        <v>1999</v>
      </c>
      <c r="C2811" s="17">
        <v>0</v>
      </c>
      <c r="D2811" s="14">
        <v>3.0506000000000001E-3</v>
      </c>
      <c r="E2811" s="14">
        <v>0.1246091</v>
      </c>
      <c r="F2811" s="14">
        <v>6.1875699999999999E-2</v>
      </c>
      <c r="G2811" s="14">
        <v>0.55932420000000005</v>
      </c>
      <c r="H2811" s="14">
        <v>0.17291019999999999</v>
      </c>
      <c r="R2811" s="11">
        <f t="shared" si="88"/>
        <v>1.6127922376252095E-2</v>
      </c>
      <c r="Z2811" s="11">
        <f t="shared" si="87"/>
        <v>2.0976997419350669E-2</v>
      </c>
    </row>
    <row r="2812" spans="1:26" x14ac:dyDescent="0.2">
      <c r="A2812" s="45">
        <v>489</v>
      </c>
      <c r="B2812" s="45">
        <v>2000</v>
      </c>
      <c r="C2812" s="17">
        <v>0</v>
      </c>
      <c r="D2812" s="14">
        <v>-4.23119E-2</v>
      </c>
      <c r="E2812" s="14">
        <v>0.10279099999999999</v>
      </c>
      <c r="F2812" s="14">
        <v>3.0202799999999998E-2</v>
      </c>
      <c r="G2812" s="14">
        <v>0.4134563</v>
      </c>
      <c r="H2812" s="14">
        <v>0.1759735</v>
      </c>
      <c r="R2812" s="11">
        <f t="shared" si="88"/>
        <v>2.676808232179476E-2</v>
      </c>
      <c r="Z2812" s="11">
        <f t="shared" si="87"/>
        <v>3.3924814830834635E-2</v>
      </c>
    </row>
    <row r="2813" spans="1:26" x14ac:dyDescent="0.2">
      <c r="A2813" s="45">
        <v>489</v>
      </c>
      <c r="B2813" s="45">
        <v>2001</v>
      </c>
      <c r="C2813" s="17">
        <v>0</v>
      </c>
      <c r="D2813" s="14">
        <v>-1.4777E-2</v>
      </c>
      <c r="E2813" s="14">
        <v>0.1180541</v>
      </c>
      <c r="F2813" s="14">
        <v>3.74081E-2</v>
      </c>
      <c r="G2813" s="14">
        <v>0.43941150000000001</v>
      </c>
      <c r="H2813" s="14">
        <v>0.12668740000000001</v>
      </c>
      <c r="R2813" s="11">
        <f t="shared" si="88"/>
        <v>2.3785580243824371E-2</v>
      </c>
      <c r="Z2813" s="11">
        <f t="shared" si="87"/>
        <v>3.034149550041328E-2</v>
      </c>
    </row>
    <row r="2814" spans="1:26" x14ac:dyDescent="0.2">
      <c r="A2814" s="45">
        <v>489</v>
      </c>
      <c r="B2814" s="45">
        <v>2002</v>
      </c>
      <c r="C2814" s="17">
        <v>0</v>
      </c>
      <c r="D2814" s="14">
        <v>4.5611000000000002E-3</v>
      </c>
      <c r="E2814" s="14">
        <v>0.1143213</v>
      </c>
      <c r="F2814" s="14">
        <v>4.3615800000000003E-2</v>
      </c>
      <c r="G2814" s="14">
        <v>0.36356470000000002</v>
      </c>
      <c r="H2814" s="14">
        <v>0.11709410000000001</v>
      </c>
      <c r="R2814" s="11">
        <f t="shared" si="88"/>
        <v>2.5631639939896578E-2</v>
      </c>
      <c r="Z2814" s="11">
        <f t="shared" si="87"/>
        <v>3.2889601304819348E-2</v>
      </c>
    </row>
    <row r="2815" spans="1:26" x14ac:dyDescent="0.2">
      <c r="A2815" s="45">
        <v>489</v>
      </c>
      <c r="B2815" s="45">
        <v>2003</v>
      </c>
      <c r="C2815" s="17">
        <v>0</v>
      </c>
      <c r="D2815" s="14">
        <v>9.8943E-3</v>
      </c>
      <c r="E2815" s="14">
        <v>0.1119124</v>
      </c>
      <c r="F2815" s="14">
        <v>5.06536E-2</v>
      </c>
      <c r="G2815" s="14">
        <v>0.4153927</v>
      </c>
      <c r="H2815" s="14">
        <v>0.12042319999999999</v>
      </c>
      <c r="R2815" s="11">
        <f t="shared" si="88"/>
        <v>2.2459020134128455E-2</v>
      </c>
      <c r="Z2815" s="11">
        <f t="shared" si="87"/>
        <v>2.8972797168340697E-2</v>
      </c>
    </row>
    <row r="2816" spans="1:26" x14ac:dyDescent="0.2">
      <c r="A2816" s="45">
        <v>489</v>
      </c>
      <c r="B2816" s="45">
        <v>2004</v>
      </c>
      <c r="C2816" s="17">
        <v>0</v>
      </c>
      <c r="D2816" s="14">
        <v>2.49097E-2</v>
      </c>
      <c r="E2816" s="14">
        <v>0.1416288</v>
      </c>
      <c r="F2816" s="14">
        <v>5.0862900000000003E-2</v>
      </c>
      <c r="G2816" s="14">
        <v>0.47954190000000002</v>
      </c>
      <c r="H2816" s="14">
        <v>0.1394088</v>
      </c>
      <c r="R2816" s="11">
        <f t="shared" si="88"/>
        <v>1.9446346574894739E-2</v>
      </c>
      <c r="Z2816" s="11">
        <f t="shared" si="87"/>
        <v>2.5103356475169768E-2</v>
      </c>
    </row>
    <row r="2817" spans="1:26" x14ac:dyDescent="0.2">
      <c r="A2817" s="45">
        <v>490</v>
      </c>
      <c r="B2817" s="45">
        <v>1995</v>
      </c>
      <c r="C2817" s="17">
        <v>0</v>
      </c>
      <c r="D2817" s="14">
        <v>0.35042899999999999</v>
      </c>
      <c r="E2817" s="14">
        <v>0.4451116</v>
      </c>
      <c r="F2817" s="14">
        <v>6.3276600000000002E-2</v>
      </c>
      <c r="G2817" s="14">
        <v>2.5713879999999998</v>
      </c>
      <c r="H2817" s="14">
        <v>0.337397</v>
      </c>
      <c r="R2817" s="11">
        <f t="shared" si="88"/>
        <v>4.1179206184033035E-4</v>
      </c>
      <c r="Z2817" s="11">
        <f t="shared" si="87"/>
        <v>5.211562509890846E-4</v>
      </c>
    </row>
    <row r="2818" spans="1:26" x14ac:dyDescent="0.2">
      <c r="A2818" s="45">
        <v>490</v>
      </c>
      <c r="B2818" s="45">
        <v>1996</v>
      </c>
      <c r="C2818" s="17">
        <v>0</v>
      </c>
      <c r="D2818" s="14">
        <v>0.3793955</v>
      </c>
      <c r="E2818" s="14">
        <v>0.41244449999999999</v>
      </c>
      <c r="F2818" s="14">
        <v>2.87596E-2</v>
      </c>
      <c r="G2818" s="14">
        <v>1.1485669999999999</v>
      </c>
      <c r="H2818" s="14">
        <v>0.35940929999999999</v>
      </c>
      <c r="R2818" s="11">
        <f t="shared" si="88"/>
        <v>5.4668074074899183E-3</v>
      </c>
      <c r="Z2818" s="11">
        <f t="shared" ref="Z2818:Z2881" si="89">1/(1+EXP(-(U$2+$V$2*E2818+$W$2*F2818+$X$2*G2818)))</f>
        <v>6.9225893426711274E-3</v>
      </c>
    </row>
    <row r="2819" spans="1:26" x14ac:dyDescent="0.2">
      <c r="A2819" s="45">
        <v>491</v>
      </c>
      <c r="B2819" s="45">
        <v>1995</v>
      </c>
      <c r="C2819" s="17">
        <v>0</v>
      </c>
      <c r="D2819" s="14">
        <v>-4.5730600000000003E-2</v>
      </c>
      <c r="E2819" s="14">
        <v>8.3814299999999994E-2</v>
      </c>
      <c r="F2819" s="14">
        <v>4.6639300000000002E-2</v>
      </c>
      <c r="G2819" s="14">
        <v>0.64718310000000001</v>
      </c>
      <c r="H2819" s="14">
        <v>8.4364300000000003E-2</v>
      </c>
      <c r="R2819" s="11">
        <f t="shared" si="88"/>
        <v>1.679457943140605E-2</v>
      </c>
      <c r="Z2819" s="11">
        <f t="shared" si="89"/>
        <v>2.1504182453174942E-2</v>
      </c>
    </row>
    <row r="2820" spans="1:26" x14ac:dyDescent="0.2">
      <c r="A2820" s="45">
        <v>491</v>
      </c>
      <c r="B2820" s="45">
        <v>1996</v>
      </c>
      <c r="C2820" s="17">
        <v>0</v>
      </c>
      <c r="D2820" s="14">
        <v>-8.8692000000000007E-3</v>
      </c>
      <c r="E2820" s="14">
        <v>8.3509799999999995E-2</v>
      </c>
      <c r="F2820" s="14">
        <v>3.8866699999999997E-2</v>
      </c>
      <c r="G2820" s="14">
        <v>0.62121440000000006</v>
      </c>
      <c r="H2820" s="14">
        <v>9.2991000000000004E-2</v>
      </c>
      <c r="R2820" s="11">
        <f t="shared" si="88"/>
        <v>1.8601030686833643E-2</v>
      </c>
      <c r="Z2820" s="11">
        <f t="shared" si="89"/>
        <v>2.3670305145448087E-2</v>
      </c>
    </row>
    <row r="2821" spans="1:26" x14ac:dyDescent="0.2">
      <c r="A2821" s="45">
        <v>491</v>
      </c>
      <c r="B2821" s="45">
        <v>1997</v>
      </c>
      <c r="C2821" s="17">
        <v>0</v>
      </c>
      <c r="D2821" s="14">
        <v>4.22967E-2</v>
      </c>
      <c r="E2821" s="14">
        <v>0.10952050000000001</v>
      </c>
      <c r="F2821" s="14">
        <v>2.6265299999999998E-2</v>
      </c>
      <c r="G2821" s="14">
        <v>0.89115299999999997</v>
      </c>
      <c r="H2821" s="14">
        <v>0.13895370000000001</v>
      </c>
      <c r="R2821" s="11">
        <f t="shared" si="88"/>
        <v>1.2958560425063156E-2</v>
      </c>
      <c r="Z2821" s="11">
        <f t="shared" si="89"/>
        <v>1.6267983315616418E-2</v>
      </c>
    </row>
    <row r="2822" spans="1:26" x14ac:dyDescent="0.2">
      <c r="A2822" s="45">
        <v>491</v>
      </c>
      <c r="B2822" s="45">
        <v>1998</v>
      </c>
      <c r="C2822" s="17">
        <v>0</v>
      </c>
      <c r="D2822" s="14">
        <v>3.5027299999999997E-2</v>
      </c>
      <c r="E2822" s="14">
        <v>7.3508500000000004E-2</v>
      </c>
      <c r="F2822" s="14">
        <v>4.4957999999999998E-2</v>
      </c>
      <c r="G2822" s="14">
        <v>0.73745519999999998</v>
      </c>
      <c r="H2822" s="14">
        <v>0.1319372</v>
      </c>
      <c r="R2822" s="11">
        <f t="shared" si="88"/>
        <v>1.4991227935338532E-2</v>
      </c>
      <c r="Z2822" s="11">
        <f t="shared" si="89"/>
        <v>1.9135073341069755E-2</v>
      </c>
    </row>
    <row r="2823" spans="1:26" x14ac:dyDescent="0.2">
      <c r="A2823" s="45">
        <v>492</v>
      </c>
      <c r="B2823" s="45">
        <v>2002</v>
      </c>
      <c r="C2823" s="17">
        <v>0</v>
      </c>
      <c r="D2823" s="14">
        <v>0.26499109999999998</v>
      </c>
      <c r="E2823" s="14">
        <v>0.4251721</v>
      </c>
      <c r="F2823" s="14">
        <v>5.1101000000000001E-2</v>
      </c>
      <c r="G2823" s="14">
        <v>1.8091950000000001</v>
      </c>
      <c r="H2823" s="14">
        <v>0.24891669999999999</v>
      </c>
      <c r="R2823" s="11">
        <f t="shared" si="88"/>
        <v>1.5724164969153503E-3</v>
      </c>
      <c r="Z2823" s="11">
        <f t="shared" si="89"/>
        <v>2.0015966292555782E-3</v>
      </c>
    </row>
    <row r="2824" spans="1:26" x14ac:dyDescent="0.2">
      <c r="A2824" s="45">
        <v>492</v>
      </c>
      <c r="B2824" s="45">
        <v>2003</v>
      </c>
      <c r="C2824" s="17">
        <v>0</v>
      </c>
      <c r="D2824" s="14">
        <v>0.29897600000000002</v>
      </c>
      <c r="E2824" s="14">
        <v>0.47240729999999997</v>
      </c>
      <c r="F2824" s="14">
        <v>6.0964999999999998E-2</v>
      </c>
      <c r="G2824" s="14">
        <v>2.6246999999999998</v>
      </c>
      <c r="H2824" s="14">
        <v>0.26635750000000002</v>
      </c>
      <c r="R2824" s="11">
        <f t="shared" si="88"/>
        <v>3.7033367080939683E-4</v>
      </c>
      <c r="Z2824" s="11">
        <f t="shared" si="89"/>
        <v>4.6769416581071824E-4</v>
      </c>
    </row>
    <row r="2825" spans="1:26" x14ac:dyDescent="0.2">
      <c r="A2825" s="45">
        <v>492</v>
      </c>
      <c r="B2825" s="45">
        <v>2004</v>
      </c>
      <c r="C2825" s="17">
        <v>0</v>
      </c>
      <c r="D2825" s="14">
        <v>0.32968520000000001</v>
      </c>
      <c r="E2825" s="14">
        <v>0.51740889999999995</v>
      </c>
      <c r="F2825" s="14">
        <v>7.6541600000000001E-2</v>
      </c>
      <c r="G2825" s="14">
        <v>2.6845460000000001</v>
      </c>
      <c r="H2825" s="14">
        <v>0.2828215</v>
      </c>
      <c r="R2825" s="11">
        <f t="shared" si="88"/>
        <v>2.7840996483372889E-4</v>
      </c>
      <c r="Z2825" s="11">
        <f t="shared" si="89"/>
        <v>3.5620884230224185E-4</v>
      </c>
    </row>
    <row r="2826" spans="1:26" x14ac:dyDescent="0.2">
      <c r="A2826" s="45">
        <v>493</v>
      </c>
      <c r="B2826" s="45">
        <v>1995</v>
      </c>
      <c r="C2826" s="17">
        <v>0</v>
      </c>
      <c r="D2826" s="14">
        <v>3.0417E-2</v>
      </c>
      <c r="E2826" s="14">
        <v>-0.1838089</v>
      </c>
      <c r="F2826" s="14">
        <v>7.0246699999999995E-2</v>
      </c>
      <c r="G2826" s="14">
        <v>0.29717700000000002</v>
      </c>
      <c r="H2826" s="14">
        <v>9.6795099999999995E-2</v>
      </c>
      <c r="R2826" s="11">
        <f t="shared" si="88"/>
        <v>3.517193220242866E-2</v>
      </c>
      <c r="Z2826" s="11">
        <f t="shared" si="89"/>
        <v>4.5571801208225876E-2</v>
      </c>
    </row>
    <row r="2827" spans="1:26" x14ac:dyDescent="0.2">
      <c r="A2827" s="45">
        <v>493</v>
      </c>
      <c r="B2827" s="45">
        <v>1996</v>
      </c>
      <c r="C2827" s="17">
        <v>0</v>
      </c>
      <c r="D2827" s="14">
        <v>2.72318E-2</v>
      </c>
      <c r="E2827" s="14">
        <v>-0.20270630000000001</v>
      </c>
      <c r="F2827" s="14">
        <v>2.88274E-2</v>
      </c>
      <c r="G2827" s="14">
        <v>1.1674420000000001</v>
      </c>
      <c r="H2827" s="14">
        <v>9.7242700000000001E-2</v>
      </c>
      <c r="R2827" s="11">
        <f t="shared" si="88"/>
        <v>1.2871836899428602E-2</v>
      </c>
      <c r="Z2827" s="11">
        <f t="shared" si="89"/>
        <v>1.5927641764878753E-2</v>
      </c>
    </row>
    <row r="2828" spans="1:26" x14ac:dyDescent="0.2">
      <c r="A2828" s="45">
        <v>493</v>
      </c>
      <c r="B2828" s="45">
        <v>1997</v>
      </c>
      <c r="C2828" s="17">
        <v>0</v>
      </c>
      <c r="D2828" s="14">
        <v>-1.4659500000000001E-2</v>
      </c>
      <c r="E2828" s="14">
        <v>-0.25634400000000002</v>
      </c>
      <c r="F2828" s="14">
        <v>5.0349699999999997E-2</v>
      </c>
      <c r="G2828" s="14">
        <v>0.43552020000000002</v>
      </c>
      <c r="H2828" s="14">
        <v>9.03085E-2</v>
      </c>
      <c r="R2828" s="11">
        <f t="shared" si="88"/>
        <v>3.6701714618571663E-2</v>
      </c>
      <c r="Z2828" s="11">
        <f t="shared" si="89"/>
        <v>4.6552499569224047E-2</v>
      </c>
    </row>
    <row r="2829" spans="1:26" x14ac:dyDescent="0.2">
      <c r="A2829" s="45">
        <v>494</v>
      </c>
      <c r="B2829" s="45">
        <v>1995</v>
      </c>
      <c r="C2829" s="17">
        <v>0</v>
      </c>
      <c r="D2829" s="14">
        <v>-1.87592E-2</v>
      </c>
      <c r="E2829" s="14">
        <v>1.3610300000000001E-2</v>
      </c>
      <c r="F2829" s="14">
        <v>5.7948600000000003E-2</v>
      </c>
      <c r="G2829" s="14">
        <v>0.81680450000000004</v>
      </c>
      <c r="H2829" s="14">
        <v>0.1856709</v>
      </c>
      <c r="R2829" s="11">
        <f t="shared" si="88"/>
        <v>1.3016246530193377E-2</v>
      </c>
      <c r="Z2829" s="11">
        <f t="shared" si="89"/>
        <v>1.6735699173650736E-2</v>
      </c>
    </row>
    <row r="2830" spans="1:26" x14ac:dyDescent="0.2">
      <c r="A2830" s="45">
        <v>494</v>
      </c>
      <c r="B2830" s="45">
        <v>1996</v>
      </c>
      <c r="C2830" s="17">
        <v>0</v>
      </c>
      <c r="D2830" s="14">
        <v>-2.24765E-2</v>
      </c>
      <c r="E2830" s="14">
        <v>3.98798E-2</v>
      </c>
      <c r="F2830" s="14">
        <v>4.42923E-2</v>
      </c>
      <c r="G2830" s="14">
        <v>1.1255919999999999</v>
      </c>
      <c r="H2830" s="14">
        <v>0.31819809999999998</v>
      </c>
      <c r="R2830" s="11">
        <f t="shared" si="88"/>
        <v>8.5817717684029144E-3</v>
      </c>
      <c r="Z2830" s="11">
        <f t="shared" si="89"/>
        <v>1.08630229421318E-2</v>
      </c>
    </row>
    <row r="2831" spans="1:26" x14ac:dyDescent="0.2">
      <c r="A2831" s="45">
        <v>495</v>
      </c>
      <c r="B2831" s="45">
        <v>1995</v>
      </c>
      <c r="C2831" s="17">
        <v>0</v>
      </c>
      <c r="D2831" s="14">
        <v>0.56263379999999996</v>
      </c>
      <c r="E2831" s="14">
        <v>0.35107359999999999</v>
      </c>
      <c r="F2831" s="14">
        <v>5.49399E-2</v>
      </c>
      <c r="G2831" s="14">
        <v>2.2822819999999999</v>
      </c>
      <c r="H2831" s="14">
        <v>0.32494820000000002</v>
      </c>
      <c r="R2831" s="11">
        <f t="shared" si="88"/>
        <v>7.9972422616421759E-4</v>
      </c>
      <c r="Z2831" s="11">
        <f t="shared" si="89"/>
        <v>1.0082875134747138E-3</v>
      </c>
    </row>
    <row r="2832" spans="1:26" x14ac:dyDescent="0.2">
      <c r="A2832" s="45">
        <v>495</v>
      </c>
      <c r="B2832" s="45">
        <v>1996</v>
      </c>
      <c r="C2832" s="17">
        <v>0</v>
      </c>
      <c r="D2832" s="14">
        <v>0.57709100000000002</v>
      </c>
      <c r="E2832" s="14">
        <v>0.37919009999999997</v>
      </c>
      <c r="F2832" s="14">
        <v>4.8541500000000001E-2</v>
      </c>
      <c r="G2832" s="14">
        <v>1.706698</v>
      </c>
      <c r="H2832" s="14">
        <v>0.31666539999999999</v>
      </c>
      <c r="R2832" s="11">
        <f t="shared" si="88"/>
        <v>2.0194733121616367E-3</v>
      </c>
      <c r="Z2832" s="11">
        <f t="shared" si="89"/>
        <v>2.566730098811006E-3</v>
      </c>
    </row>
    <row r="2833" spans="1:26" x14ac:dyDescent="0.2">
      <c r="A2833" s="45">
        <v>495</v>
      </c>
      <c r="B2833" s="45">
        <v>1997</v>
      </c>
      <c r="C2833" s="17">
        <v>0</v>
      </c>
      <c r="D2833" s="14">
        <v>0.51558389999999998</v>
      </c>
      <c r="E2833" s="14">
        <v>0.38143759999999999</v>
      </c>
      <c r="F2833" s="14">
        <v>5.8622199999999999E-2</v>
      </c>
      <c r="G2833" s="14">
        <v>1.9384429999999999</v>
      </c>
      <c r="H2833" s="14">
        <v>0.32378570000000001</v>
      </c>
      <c r="R2833" s="11">
        <f t="shared" si="88"/>
        <v>1.2844895735801079E-3</v>
      </c>
      <c r="Z2833" s="11">
        <f t="shared" si="89"/>
        <v>1.638184435977776E-3</v>
      </c>
    </row>
    <row r="2834" spans="1:26" x14ac:dyDescent="0.2">
      <c r="A2834" s="45">
        <v>495</v>
      </c>
      <c r="B2834" s="45">
        <v>1998</v>
      </c>
      <c r="C2834" s="17">
        <v>0</v>
      </c>
      <c r="D2834" s="14">
        <v>0.50286909999999996</v>
      </c>
      <c r="E2834" s="14">
        <v>0.42818800000000001</v>
      </c>
      <c r="F2834" s="14">
        <v>4.2934100000000003E-2</v>
      </c>
      <c r="G2834" s="14">
        <v>1.525879</v>
      </c>
      <c r="H2834" s="14">
        <v>0.29535739999999999</v>
      </c>
      <c r="R2834" s="11">
        <f t="shared" si="88"/>
        <v>2.6221503905172702E-3</v>
      </c>
      <c r="Z2834" s="11">
        <f t="shared" si="89"/>
        <v>3.3357199287229865E-3</v>
      </c>
    </row>
    <row r="2835" spans="1:26" x14ac:dyDescent="0.2">
      <c r="A2835" s="45">
        <v>495</v>
      </c>
      <c r="B2835" s="45">
        <v>1999</v>
      </c>
      <c r="C2835" s="17">
        <v>0</v>
      </c>
      <c r="D2835" s="14">
        <v>0.51028039999999997</v>
      </c>
      <c r="E2835" s="14">
        <v>0.45604210000000001</v>
      </c>
      <c r="F2835" s="14">
        <v>4.1609100000000003E-2</v>
      </c>
      <c r="G2835" s="14">
        <v>1.305866</v>
      </c>
      <c r="H2835" s="14">
        <v>0.30894690000000002</v>
      </c>
      <c r="R2835" s="11">
        <f t="shared" si="88"/>
        <v>3.6100208300272876E-3</v>
      </c>
      <c r="Z2835" s="11">
        <f t="shared" si="89"/>
        <v>4.6127755413079867E-3</v>
      </c>
    </row>
    <row r="2836" spans="1:26" x14ac:dyDescent="0.2">
      <c r="A2836" s="45">
        <v>495</v>
      </c>
      <c r="B2836" s="45">
        <v>2000</v>
      </c>
      <c r="C2836" s="17">
        <v>0</v>
      </c>
      <c r="D2836" s="14">
        <v>0.47970269999999998</v>
      </c>
      <c r="E2836" s="14">
        <v>0.47466170000000002</v>
      </c>
      <c r="F2836" s="14">
        <v>7.32796E-2</v>
      </c>
      <c r="G2836" s="14">
        <v>2.3521380000000001</v>
      </c>
      <c r="H2836" s="14">
        <v>0.33728429999999998</v>
      </c>
      <c r="R2836" s="11">
        <f t="shared" si="88"/>
        <v>5.163724830326142E-4</v>
      </c>
      <c r="Z2836" s="11">
        <f t="shared" si="89"/>
        <v>6.6272705089107911E-4</v>
      </c>
    </row>
    <row r="2837" spans="1:26" x14ac:dyDescent="0.2">
      <c r="A2837" s="45">
        <v>496</v>
      </c>
      <c r="B2837" s="45">
        <v>1997</v>
      </c>
      <c r="C2837" s="17">
        <v>0</v>
      </c>
      <c r="D2837" s="14">
        <v>0.3943818</v>
      </c>
      <c r="E2837" s="14">
        <v>0.19075</v>
      </c>
      <c r="F2837" s="14">
        <v>5.77446E-2</v>
      </c>
      <c r="G2837" s="14">
        <v>0.73003510000000005</v>
      </c>
      <c r="H2837" s="14">
        <v>0.3313256</v>
      </c>
      <c r="R2837" s="11">
        <f t="shared" si="88"/>
        <v>1.1588189058984415E-2</v>
      </c>
      <c r="Z2837" s="11">
        <f t="shared" si="89"/>
        <v>1.5020922234599698E-2</v>
      </c>
    </row>
    <row r="2838" spans="1:26" x14ac:dyDescent="0.2">
      <c r="A2838" s="45">
        <v>496</v>
      </c>
      <c r="B2838" s="45">
        <v>1998</v>
      </c>
      <c r="C2838" s="17">
        <v>0</v>
      </c>
      <c r="D2838" s="14">
        <v>0.38421680000000002</v>
      </c>
      <c r="E2838" s="14">
        <v>0.18309600000000001</v>
      </c>
      <c r="F2838" s="14">
        <v>4.9342799999999999E-2</v>
      </c>
      <c r="G2838" s="14">
        <v>0.50405060000000002</v>
      </c>
      <c r="H2838" s="14">
        <v>0.31397229999999998</v>
      </c>
      <c r="R2838" s="11">
        <f t="shared" si="88"/>
        <v>1.7851589671370183E-2</v>
      </c>
      <c r="Z2838" s="11">
        <f t="shared" si="89"/>
        <v>2.3047381067613535E-2</v>
      </c>
    </row>
    <row r="2839" spans="1:26" x14ac:dyDescent="0.2">
      <c r="A2839" s="45">
        <v>496</v>
      </c>
      <c r="B2839" s="45">
        <v>1999</v>
      </c>
      <c r="C2839" s="17">
        <v>0</v>
      </c>
      <c r="D2839" s="14">
        <v>0.36497109999999999</v>
      </c>
      <c r="E2839" s="14">
        <v>0.17365320000000001</v>
      </c>
      <c r="F2839" s="14">
        <v>4.6332699999999997E-2</v>
      </c>
      <c r="G2839" s="14">
        <v>0.25495719999999999</v>
      </c>
      <c r="H2839" s="14">
        <v>0.31456529999999999</v>
      </c>
      <c r="R2839" s="11">
        <f t="shared" ref="R2839:R2902" si="90">1/(1+EXP(-(K$2+$M$2*E2839+$N$2*F2839+$O$2*G2839)))</f>
        <v>2.7307992418300297E-2</v>
      </c>
      <c r="Z2839" s="11">
        <f t="shared" si="89"/>
        <v>3.5249101562400478E-2</v>
      </c>
    </row>
    <row r="2840" spans="1:26" x14ac:dyDescent="0.2">
      <c r="A2840" s="45">
        <v>496</v>
      </c>
      <c r="B2840" s="45">
        <v>2000</v>
      </c>
      <c r="C2840" s="17">
        <v>0</v>
      </c>
      <c r="D2840" s="14">
        <v>0.36348619999999998</v>
      </c>
      <c r="E2840" s="14">
        <v>0.18231539999999999</v>
      </c>
      <c r="F2840" s="14">
        <v>4.3949599999999998E-2</v>
      </c>
      <c r="G2840" s="14">
        <v>0.1455496</v>
      </c>
      <c r="H2840" s="14">
        <v>0.30790420000000002</v>
      </c>
      <c r="R2840" s="11">
        <f t="shared" si="90"/>
        <v>3.2544242861765105E-2</v>
      </c>
      <c r="Z2840" s="11">
        <f t="shared" si="89"/>
        <v>4.1972644489254259E-2</v>
      </c>
    </row>
    <row r="2841" spans="1:26" x14ac:dyDescent="0.2">
      <c r="A2841" s="45">
        <v>496</v>
      </c>
      <c r="B2841" s="45">
        <v>2001</v>
      </c>
      <c r="C2841" s="17">
        <v>0</v>
      </c>
      <c r="D2841" s="14">
        <v>0.35015669999999999</v>
      </c>
      <c r="E2841" s="14">
        <v>0.14784079999999999</v>
      </c>
      <c r="F2841" s="14">
        <v>1.6526900000000001E-2</v>
      </c>
      <c r="G2841" s="14">
        <v>8.8723800000000005E-2</v>
      </c>
      <c r="H2841" s="14">
        <v>0.27798230000000002</v>
      </c>
      <c r="R2841" s="11">
        <f t="shared" si="90"/>
        <v>4.5999689182312051E-2</v>
      </c>
      <c r="Z2841" s="11">
        <f t="shared" si="89"/>
        <v>5.78545794696581E-2</v>
      </c>
    </row>
    <row r="2842" spans="1:26" x14ac:dyDescent="0.2">
      <c r="A2842" s="45">
        <v>496</v>
      </c>
      <c r="B2842" s="45">
        <v>2002</v>
      </c>
      <c r="C2842" s="17">
        <v>0</v>
      </c>
      <c r="D2842" s="14">
        <v>0.29297079999999998</v>
      </c>
      <c r="E2842" s="14">
        <v>2.3943800000000001E-2</v>
      </c>
      <c r="F2842" s="14">
        <v>4.6895699999999998E-2</v>
      </c>
      <c r="G2842" s="14">
        <v>0.1181653</v>
      </c>
      <c r="H2842" s="14">
        <v>0.32242340000000003</v>
      </c>
      <c r="R2842" s="11">
        <f t="shared" si="90"/>
        <v>4.1418767750082117E-2</v>
      </c>
      <c r="Z2842" s="11">
        <f t="shared" si="89"/>
        <v>5.3155178979611951E-2</v>
      </c>
    </row>
    <row r="2843" spans="1:26" x14ac:dyDescent="0.2">
      <c r="A2843" s="45">
        <v>496</v>
      </c>
      <c r="B2843" s="45">
        <v>2003</v>
      </c>
      <c r="C2843" s="17">
        <v>0</v>
      </c>
      <c r="D2843" s="14">
        <v>0.33489819999999998</v>
      </c>
      <c r="E2843" s="14">
        <v>4.1115499999999999E-2</v>
      </c>
      <c r="F2843" s="14">
        <v>6.0665700000000003E-2</v>
      </c>
      <c r="G2843" s="14">
        <v>0.20088780000000001</v>
      </c>
      <c r="H2843" s="14">
        <v>0.35436509999999999</v>
      </c>
      <c r="R2843" s="11">
        <f t="shared" si="90"/>
        <v>3.202586977324183E-2</v>
      </c>
      <c r="Z2843" s="11">
        <f t="shared" si="89"/>
        <v>4.1614291808741488E-2</v>
      </c>
    </row>
    <row r="2844" spans="1:26" x14ac:dyDescent="0.2">
      <c r="A2844" s="45">
        <v>496</v>
      </c>
      <c r="B2844" s="45">
        <v>2004</v>
      </c>
      <c r="C2844" s="17">
        <v>0</v>
      </c>
      <c r="D2844" s="14">
        <v>0.30743720000000002</v>
      </c>
      <c r="E2844" s="14">
        <v>4.4497700000000001E-2</v>
      </c>
      <c r="F2844" s="14">
        <v>4.7788400000000002E-2</v>
      </c>
      <c r="G2844" s="14">
        <v>0.53772889999999995</v>
      </c>
      <c r="H2844" s="14">
        <v>0.3700678</v>
      </c>
      <c r="R2844" s="11">
        <f t="shared" si="90"/>
        <v>2.089025646037054E-2</v>
      </c>
      <c r="Z2844" s="11">
        <f t="shared" si="89"/>
        <v>2.6769352278380853E-2</v>
      </c>
    </row>
    <row r="2845" spans="1:26" x14ac:dyDescent="0.2">
      <c r="A2845" s="45">
        <v>497</v>
      </c>
      <c r="B2845" s="45">
        <v>1996</v>
      </c>
      <c r="C2845" s="17">
        <v>0</v>
      </c>
      <c r="D2845" s="14">
        <v>0.38096219999999997</v>
      </c>
      <c r="E2845" s="14">
        <v>-5.1315100000000002E-2</v>
      </c>
      <c r="F2845" s="14">
        <v>3.9683900000000001E-2</v>
      </c>
      <c r="G2845" s="14">
        <v>14.348089999999999</v>
      </c>
      <c r="H2845" s="14">
        <v>0.1934495</v>
      </c>
      <c r="R2845" s="11">
        <f t="shared" si="90"/>
        <v>7.2405047844122746E-12</v>
      </c>
      <c r="Z2845" s="11">
        <f t="shared" si="89"/>
        <v>6.8184943408306605E-12</v>
      </c>
    </row>
    <row r="2846" spans="1:26" x14ac:dyDescent="0.2">
      <c r="A2846" s="45">
        <v>497</v>
      </c>
      <c r="B2846" s="45">
        <v>1997</v>
      </c>
      <c r="C2846" s="17">
        <v>0</v>
      </c>
      <c r="D2846" s="14">
        <v>0.31301289999999998</v>
      </c>
      <c r="E2846" s="14">
        <v>2.54658E-2</v>
      </c>
      <c r="F2846" s="14">
        <v>3.9613299999999997E-2</v>
      </c>
      <c r="G2846" s="14">
        <v>1.6231059999999999</v>
      </c>
      <c r="H2846" s="14">
        <v>0.1425681</v>
      </c>
      <c r="R2846" s="11">
        <f t="shared" si="90"/>
        <v>4.1357360230797578E-3</v>
      </c>
      <c r="Z2846" s="11">
        <f t="shared" si="89"/>
        <v>5.1622706366625352E-3</v>
      </c>
    </row>
    <row r="2847" spans="1:26" x14ac:dyDescent="0.2">
      <c r="A2847" s="45">
        <v>497</v>
      </c>
      <c r="B2847" s="45">
        <v>1998</v>
      </c>
      <c r="C2847" s="17">
        <v>0</v>
      </c>
      <c r="D2847" s="14">
        <v>9.1287699999999999E-2</v>
      </c>
      <c r="E2847" s="14">
        <v>4.7994299999999997E-2</v>
      </c>
      <c r="F2847" s="14">
        <v>3.4666799999999998E-2</v>
      </c>
      <c r="G2847" s="14">
        <v>0.39740730000000002</v>
      </c>
      <c r="H2847" s="14">
        <v>0.12483850000000001</v>
      </c>
      <c r="R2847" s="11">
        <f t="shared" si="90"/>
        <v>2.8640666212406393E-2</v>
      </c>
      <c r="Z2847" s="11">
        <f t="shared" si="89"/>
        <v>3.6354087793858098E-2</v>
      </c>
    </row>
    <row r="2848" spans="1:26" x14ac:dyDescent="0.2">
      <c r="A2848" s="45">
        <v>497</v>
      </c>
      <c r="B2848" s="45">
        <v>1999</v>
      </c>
      <c r="C2848" s="17">
        <v>0</v>
      </c>
      <c r="D2848" s="14">
        <v>9.6102099999999996E-2</v>
      </c>
      <c r="E2848" s="14">
        <v>1.04145E-2</v>
      </c>
      <c r="F2848" s="14">
        <v>3.5412199999999998E-2</v>
      </c>
      <c r="G2848" s="14">
        <v>0.36732019999999999</v>
      </c>
      <c r="H2848" s="14">
        <v>0.10691879999999999</v>
      </c>
      <c r="R2848" s="11">
        <f t="shared" si="90"/>
        <v>3.1454819183408173E-2</v>
      </c>
      <c r="Z2848" s="11">
        <f t="shared" si="89"/>
        <v>3.9894455656980743E-2</v>
      </c>
    </row>
    <row r="2849" spans="1:26" x14ac:dyDescent="0.2">
      <c r="A2849" s="45">
        <v>497</v>
      </c>
      <c r="B2849" s="45">
        <v>2000</v>
      </c>
      <c r="C2849" s="17">
        <v>0</v>
      </c>
      <c r="D2849" s="14">
        <v>0.13672909999999999</v>
      </c>
      <c r="E2849" s="14">
        <v>-1.3441E-2</v>
      </c>
      <c r="F2849" s="14">
        <v>5.5600200000000002E-2</v>
      </c>
      <c r="G2849" s="14">
        <v>0.69343600000000005</v>
      </c>
      <c r="H2849" s="14">
        <v>0.1192535</v>
      </c>
      <c r="R2849" s="11">
        <f t="shared" si="90"/>
        <v>1.6729053086325326E-2</v>
      </c>
      <c r="Z2849" s="11">
        <f t="shared" si="89"/>
        <v>2.1483512902902357E-2</v>
      </c>
    </row>
    <row r="2850" spans="1:26" x14ac:dyDescent="0.2">
      <c r="A2850" s="45">
        <v>497</v>
      </c>
      <c r="B2850" s="45">
        <v>2001</v>
      </c>
      <c r="C2850" s="17">
        <v>0</v>
      </c>
      <c r="D2850" s="14">
        <v>0.1273436</v>
      </c>
      <c r="E2850" s="14">
        <v>-2.0725000000000001E-3</v>
      </c>
      <c r="F2850" s="14">
        <v>3.7935400000000001E-2</v>
      </c>
      <c r="G2850" s="14">
        <v>0.51655660000000003</v>
      </c>
      <c r="H2850" s="14">
        <v>0.1249846</v>
      </c>
      <c r="R2850" s="11">
        <f t="shared" si="90"/>
        <v>2.4914090284139101E-2</v>
      </c>
      <c r="Z2850" s="11">
        <f t="shared" si="89"/>
        <v>3.1605722422587017E-2</v>
      </c>
    </row>
    <row r="2851" spans="1:26" x14ac:dyDescent="0.2">
      <c r="A2851" s="45">
        <v>497</v>
      </c>
      <c r="B2851" s="45">
        <v>2002</v>
      </c>
      <c r="C2851" s="17">
        <v>0</v>
      </c>
      <c r="D2851" s="14">
        <v>0.15044550000000001</v>
      </c>
      <c r="E2851" s="14">
        <v>-0.1367208</v>
      </c>
      <c r="F2851" s="14">
        <v>4.0346199999999999E-2</v>
      </c>
      <c r="G2851" s="14">
        <v>0.35637180000000002</v>
      </c>
      <c r="H2851" s="14">
        <v>0.1298376</v>
      </c>
      <c r="R2851" s="11">
        <f t="shared" si="90"/>
        <v>3.7857800216918001E-2</v>
      </c>
      <c r="Z2851" s="11">
        <f t="shared" si="89"/>
        <v>4.7895834431008984E-2</v>
      </c>
    </row>
    <row r="2852" spans="1:26" x14ac:dyDescent="0.2">
      <c r="A2852" s="45">
        <v>497</v>
      </c>
      <c r="B2852" s="45">
        <v>2003</v>
      </c>
      <c r="C2852" s="17">
        <v>0</v>
      </c>
      <c r="D2852" s="14">
        <v>9.6444000000000002E-2</v>
      </c>
      <c r="E2852" s="14">
        <v>-0.27635989999999999</v>
      </c>
      <c r="F2852" s="14">
        <v>3.3649100000000001E-2</v>
      </c>
      <c r="G2852" s="14">
        <v>0.40953119999999998</v>
      </c>
      <c r="H2852" s="14">
        <v>0.14355609999999999</v>
      </c>
      <c r="R2852" s="11">
        <f t="shared" si="90"/>
        <v>4.4641143959824894E-2</v>
      </c>
      <c r="Z2852" s="11">
        <f t="shared" si="89"/>
        <v>5.576659576193442E-2</v>
      </c>
    </row>
    <row r="2853" spans="1:26" x14ac:dyDescent="0.2">
      <c r="A2853" s="45">
        <v>497</v>
      </c>
      <c r="B2853" s="45">
        <v>2004</v>
      </c>
      <c r="C2853" s="17">
        <v>0</v>
      </c>
      <c r="D2853" s="14">
        <v>0.17604700000000001</v>
      </c>
      <c r="E2853" s="14">
        <v>-0.38952239999999999</v>
      </c>
      <c r="F2853" s="14">
        <v>4.16307E-2</v>
      </c>
      <c r="G2853" s="14">
        <v>0.67802320000000005</v>
      </c>
      <c r="H2853" s="14">
        <v>0.17164280000000001</v>
      </c>
      <c r="R2853" s="11">
        <f t="shared" si="90"/>
        <v>3.2590436203372368E-2</v>
      </c>
      <c r="Z2853" s="11">
        <f t="shared" si="89"/>
        <v>4.0713925721173966E-2</v>
      </c>
    </row>
    <row r="2854" spans="1:26" x14ac:dyDescent="0.2">
      <c r="A2854" s="45">
        <v>498</v>
      </c>
      <c r="B2854" s="45">
        <v>1995</v>
      </c>
      <c r="C2854" s="17">
        <v>0</v>
      </c>
      <c r="D2854" s="14">
        <v>0.29503119999999999</v>
      </c>
      <c r="E2854" s="14">
        <v>0.46886250000000002</v>
      </c>
      <c r="F2854" s="14">
        <v>7.8552200000000003E-2</v>
      </c>
      <c r="G2854" s="14">
        <v>2.4534129999999998</v>
      </c>
      <c r="H2854" s="14">
        <v>0.4181183</v>
      </c>
      <c r="R2854" s="11">
        <f t="shared" si="90"/>
        <v>4.2487073860286939E-4</v>
      </c>
      <c r="Z2854" s="11">
        <f t="shared" si="89"/>
        <v>5.4633792697464812E-4</v>
      </c>
    </row>
    <row r="2855" spans="1:26" x14ac:dyDescent="0.2">
      <c r="A2855" s="45">
        <v>498</v>
      </c>
      <c r="B2855" s="45">
        <v>1996</v>
      </c>
      <c r="C2855" s="17">
        <v>0</v>
      </c>
      <c r="D2855" s="14">
        <v>0.23492640000000001</v>
      </c>
      <c r="E2855" s="14">
        <v>0.4400135</v>
      </c>
      <c r="F2855" s="14">
        <v>7.19698E-2</v>
      </c>
      <c r="G2855" s="14">
        <v>2.1232030000000002</v>
      </c>
      <c r="H2855" s="14">
        <v>0.36065730000000001</v>
      </c>
      <c r="R2855" s="11">
        <f t="shared" si="90"/>
        <v>7.9016379373330595E-4</v>
      </c>
      <c r="Z2855" s="11">
        <f t="shared" si="89"/>
        <v>1.0168601160664404E-3</v>
      </c>
    </row>
    <row r="2856" spans="1:26" x14ac:dyDescent="0.2">
      <c r="A2856" s="45">
        <v>498</v>
      </c>
      <c r="B2856" s="45">
        <v>1997</v>
      </c>
      <c r="C2856" s="17">
        <v>0</v>
      </c>
      <c r="D2856" s="14">
        <v>0.28876800000000002</v>
      </c>
      <c r="E2856" s="14">
        <v>0.48466110000000001</v>
      </c>
      <c r="F2856" s="14">
        <v>7.6287199999999999E-2</v>
      </c>
      <c r="G2856" s="14">
        <v>3.1352380000000002</v>
      </c>
      <c r="H2856" s="14">
        <v>0.39378059999999998</v>
      </c>
      <c r="R2856" s="11">
        <f t="shared" si="90"/>
        <v>1.4268811698633753E-4</v>
      </c>
      <c r="Z2856" s="11">
        <f t="shared" si="89"/>
        <v>1.8052474634869481E-4</v>
      </c>
    </row>
    <row r="2857" spans="1:26" x14ac:dyDescent="0.2">
      <c r="A2857" s="45">
        <v>498</v>
      </c>
      <c r="B2857" s="45">
        <v>1998</v>
      </c>
      <c r="C2857" s="17">
        <v>0</v>
      </c>
      <c r="D2857" s="14">
        <v>0.2571061</v>
      </c>
      <c r="E2857" s="14">
        <v>0.49265170000000003</v>
      </c>
      <c r="F2857" s="14">
        <v>6.80534E-2</v>
      </c>
      <c r="G2857" s="14">
        <v>2.3064580000000001</v>
      </c>
      <c r="H2857" s="14">
        <v>0.3760752</v>
      </c>
      <c r="R2857" s="11">
        <f t="shared" si="90"/>
        <v>5.6409510301842639E-4</v>
      </c>
      <c r="Z2857" s="11">
        <f t="shared" si="89"/>
        <v>7.2204304196755108E-4</v>
      </c>
    </row>
    <row r="2858" spans="1:26" x14ac:dyDescent="0.2">
      <c r="A2858" s="45">
        <v>498</v>
      </c>
      <c r="B2858" s="45">
        <v>1999</v>
      </c>
      <c r="C2858" s="17">
        <v>0</v>
      </c>
      <c r="D2858" s="14">
        <v>0.2960642</v>
      </c>
      <c r="E2858" s="14">
        <v>0.51340889999999995</v>
      </c>
      <c r="F2858" s="14">
        <v>6.5611100000000006E-2</v>
      </c>
      <c r="G2858" s="14">
        <v>2.7242000000000002</v>
      </c>
      <c r="H2858" s="14">
        <v>0.3738301</v>
      </c>
      <c r="R2858" s="11">
        <f t="shared" si="90"/>
        <v>2.869028461542451E-4</v>
      </c>
      <c r="Z2858" s="11">
        <f t="shared" si="89"/>
        <v>3.6343386103914398E-4</v>
      </c>
    </row>
    <row r="2859" spans="1:26" x14ac:dyDescent="0.2">
      <c r="A2859" s="45">
        <v>498</v>
      </c>
      <c r="B2859" s="45">
        <v>2000</v>
      </c>
      <c r="C2859" s="17">
        <v>0</v>
      </c>
      <c r="D2859" s="14">
        <v>0.24284810000000001</v>
      </c>
      <c r="E2859" s="14">
        <v>0.47008420000000001</v>
      </c>
      <c r="F2859" s="14">
        <v>7.2005700000000006E-2</v>
      </c>
      <c r="G2859" s="14">
        <v>1.791194</v>
      </c>
      <c r="H2859" s="14">
        <v>0.35264800000000002</v>
      </c>
      <c r="R2859" s="11">
        <f t="shared" si="90"/>
        <v>1.2828303348150062E-3</v>
      </c>
      <c r="Z2859" s="11">
        <f t="shared" si="89"/>
        <v>1.6644912321115079E-3</v>
      </c>
    </row>
    <row r="2860" spans="1:26" x14ac:dyDescent="0.2">
      <c r="A2860" s="45">
        <v>498</v>
      </c>
      <c r="B2860" s="45">
        <v>2001</v>
      </c>
      <c r="C2860" s="17">
        <v>0</v>
      </c>
      <c r="D2860" s="14">
        <v>0.1890685</v>
      </c>
      <c r="E2860" s="14">
        <v>0.4563181</v>
      </c>
      <c r="F2860" s="14">
        <v>5.00163E-2</v>
      </c>
      <c r="G2860" s="14">
        <v>1.7882469999999999</v>
      </c>
      <c r="H2860" s="14">
        <v>0.31117070000000002</v>
      </c>
      <c r="R2860" s="11">
        <f t="shared" si="90"/>
        <v>1.567357275998758E-3</v>
      </c>
      <c r="Z2860" s="11">
        <f t="shared" si="89"/>
        <v>1.9964335399986254E-3</v>
      </c>
    </row>
    <row r="2861" spans="1:26" x14ac:dyDescent="0.2">
      <c r="A2861" s="45">
        <v>498</v>
      </c>
      <c r="B2861" s="45">
        <v>2002</v>
      </c>
      <c r="C2861" s="17">
        <v>0</v>
      </c>
      <c r="D2861" s="14">
        <v>0.17495830000000001</v>
      </c>
      <c r="E2861" s="14">
        <v>0.42638609999999999</v>
      </c>
      <c r="F2861" s="14">
        <v>4.6207999999999999E-2</v>
      </c>
      <c r="G2861" s="14">
        <v>1.7997609999999999</v>
      </c>
      <c r="H2861" s="14">
        <v>0.31550800000000001</v>
      </c>
      <c r="R2861" s="11">
        <f t="shared" si="90"/>
        <v>1.6568814472719734E-3</v>
      </c>
      <c r="Z2861" s="11">
        <f t="shared" si="89"/>
        <v>2.1011654417261712E-3</v>
      </c>
    </row>
    <row r="2862" spans="1:26" x14ac:dyDescent="0.2">
      <c r="A2862" s="45">
        <v>498</v>
      </c>
      <c r="B2862" s="45">
        <v>2003</v>
      </c>
      <c r="C2862" s="17">
        <v>0</v>
      </c>
      <c r="D2862" s="14">
        <v>0.1762881</v>
      </c>
      <c r="E2862" s="14">
        <v>0.3929436</v>
      </c>
      <c r="F2862" s="14">
        <v>5.7074300000000001E-2</v>
      </c>
      <c r="G2862" s="14">
        <v>1.4565429999999999</v>
      </c>
      <c r="H2862" s="14">
        <v>0.30075499999999999</v>
      </c>
      <c r="R2862" s="11">
        <f t="shared" si="90"/>
        <v>2.7524607010873114E-3</v>
      </c>
      <c r="Z2862" s="11">
        <f t="shared" si="89"/>
        <v>3.5431675724175277E-3</v>
      </c>
    </row>
    <row r="2863" spans="1:26" x14ac:dyDescent="0.2">
      <c r="A2863" s="45">
        <v>498</v>
      </c>
      <c r="B2863" s="45">
        <v>2004</v>
      </c>
      <c r="C2863" s="17">
        <v>0</v>
      </c>
      <c r="D2863" s="14">
        <v>0.22197120000000001</v>
      </c>
      <c r="E2863" s="14">
        <v>0.41236489999999998</v>
      </c>
      <c r="F2863" s="14">
        <v>5.9195999999999999E-2</v>
      </c>
      <c r="G2863" s="14">
        <v>2.2060680000000001</v>
      </c>
      <c r="H2863" s="14">
        <v>0.35109590000000002</v>
      </c>
      <c r="R2863" s="11">
        <f t="shared" si="90"/>
        <v>7.9835941672144056E-4</v>
      </c>
      <c r="Z2863" s="11">
        <f t="shared" si="89"/>
        <v>1.0139019521212128E-3</v>
      </c>
    </row>
    <row r="2864" spans="1:26" x14ac:dyDescent="0.2">
      <c r="A2864" s="45">
        <v>499</v>
      </c>
      <c r="B2864" s="45">
        <v>1997</v>
      </c>
      <c r="C2864" s="17">
        <v>0</v>
      </c>
      <c r="D2864" s="14">
        <v>0.2130367</v>
      </c>
      <c r="E2864" s="14">
        <v>-4.6814300000000003E-2</v>
      </c>
      <c r="F2864" s="14">
        <v>2.3685299999999999E-2</v>
      </c>
      <c r="G2864" s="14">
        <v>1.857874</v>
      </c>
      <c r="H2864" s="14">
        <v>0.15119360000000001</v>
      </c>
      <c r="R2864" s="11">
        <f t="shared" si="90"/>
        <v>3.5915807611176958E-3</v>
      </c>
      <c r="Z2864" s="11">
        <f t="shared" si="89"/>
        <v>4.3921884294338218E-3</v>
      </c>
    </row>
    <row r="2865" spans="1:26" x14ac:dyDescent="0.2">
      <c r="A2865" s="45">
        <v>499</v>
      </c>
      <c r="B2865" s="45">
        <v>1998</v>
      </c>
      <c r="C2865" s="17">
        <v>0</v>
      </c>
      <c r="D2865" s="14">
        <v>0.22322</v>
      </c>
      <c r="E2865" s="14">
        <v>-0.20497309999999999</v>
      </c>
      <c r="F2865" s="14">
        <v>2.42671E-2</v>
      </c>
      <c r="G2865" s="14">
        <v>0.53569929999999999</v>
      </c>
      <c r="H2865" s="14">
        <v>0.23232659999999999</v>
      </c>
      <c r="R2865" s="11">
        <f t="shared" si="90"/>
        <v>3.580373847335442E-2</v>
      </c>
      <c r="Z2865" s="11">
        <f t="shared" si="89"/>
        <v>4.448783461489518E-2</v>
      </c>
    </row>
    <row r="2866" spans="1:26" x14ac:dyDescent="0.2">
      <c r="A2866" s="45">
        <v>500</v>
      </c>
      <c r="B2866" s="45">
        <v>1995</v>
      </c>
      <c r="C2866" s="17">
        <v>0</v>
      </c>
      <c r="D2866" s="14">
        <v>9.3061000000000005E-2</v>
      </c>
      <c r="E2866" s="14">
        <v>-0.12866610000000001</v>
      </c>
      <c r="F2866" s="14">
        <v>4.2089399999999999E-2</v>
      </c>
      <c r="G2866" s="14">
        <v>0.19738939999999999</v>
      </c>
      <c r="H2866" s="14">
        <v>0.53146459999999995</v>
      </c>
      <c r="R2866" s="11">
        <f t="shared" si="90"/>
        <v>4.7082477787172297E-2</v>
      </c>
      <c r="Z2866" s="11">
        <f t="shared" si="89"/>
        <v>5.9707006159135323E-2</v>
      </c>
    </row>
    <row r="2867" spans="1:26" x14ac:dyDescent="0.2">
      <c r="A2867" s="45">
        <v>500</v>
      </c>
      <c r="B2867" s="45">
        <v>1996</v>
      </c>
      <c r="C2867" s="17">
        <v>1</v>
      </c>
      <c r="D2867" s="14">
        <v>0.12609960000000001</v>
      </c>
      <c r="E2867" s="14">
        <v>-0.14100260000000001</v>
      </c>
      <c r="F2867" s="14">
        <v>5.1884399999999997E-2</v>
      </c>
      <c r="G2867" s="14">
        <v>8.8891100000000001E-2</v>
      </c>
      <c r="H2867" s="14">
        <v>0.57536030000000005</v>
      </c>
      <c r="R2867" s="11">
        <f t="shared" si="90"/>
        <v>5.2394411073334486E-2</v>
      </c>
      <c r="Z2867" s="11">
        <f t="shared" si="89"/>
        <v>6.6965927282656143E-2</v>
      </c>
    </row>
    <row r="2868" spans="1:26" x14ac:dyDescent="0.2">
      <c r="A2868" s="45">
        <v>501</v>
      </c>
      <c r="B2868" s="45">
        <v>1995</v>
      </c>
      <c r="C2868" s="17">
        <v>0</v>
      </c>
      <c r="D2868" s="14">
        <v>0.1019661</v>
      </c>
      <c r="E2868" s="14">
        <v>-0.1128296</v>
      </c>
      <c r="F2868" s="14">
        <v>5.4901800000000001E-2</v>
      </c>
      <c r="G2868" s="14">
        <v>0.126668</v>
      </c>
      <c r="H2868" s="14">
        <v>0.57625020000000005</v>
      </c>
      <c r="R2868" s="11">
        <f t="shared" si="90"/>
        <v>4.6510958592573128E-2</v>
      </c>
      <c r="Z2868" s="11">
        <f t="shared" si="89"/>
        <v>5.969521557346559E-2</v>
      </c>
    </row>
    <row r="2869" spans="1:26" x14ac:dyDescent="0.2">
      <c r="A2869" s="45">
        <v>501</v>
      </c>
      <c r="B2869" s="45">
        <v>1996</v>
      </c>
      <c r="C2869" s="17">
        <v>0</v>
      </c>
      <c r="D2869" s="14">
        <v>0.10186050000000001</v>
      </c>
      <c r="E2869" s="14">
        <v>-0.13163929999999999</v>
      </c>
      <c r="F2869" s="14">
        <v>5.6128200000000003E-2</v>
      </c>
      <c r="G2869" s="14">
        <v>5.3470200000000002E-2</v>
      </c>
      <c r="H2869" s="14">
        <v>0.5211055</v>
      </c>
      <c r="R2869" s="11">
        <f t="shared" si="90"/>
        <v>5.2837338076762323E-2</v>
      </c>
      <c r="Z2869" s="11">
        <f t="shared" si="89"/>
        <v>6.7812180469723524E-2</v>
      </c>
    </row>
    <row r="2870" spans="1:26" x14ac:dyDescent="0.2">
      <c r="A2870" s="45">
        <v>501</v>
      </c>
      <c r="B2870" s="45">
        <v>1997</v>
      </c>
      <c r="C2870" s="17">
        <v>1</v>
      </c>
      <c r="D2870" s="14">
        <v>0.1104757</v>
      </c>
      <c r="E2870" s="14">
        <v>-0.1969071</v>
      </c>
      <c r="F2870" s="14">
        <v>3.14235E-2</v>
      </c>
      <c r="G2870" s="14">
        <v>5.9797299999999998E-2</v>
      </c>
      <c r="H2870" s="14">
        <v>0.51651599999999998</v>
      </c>
      <c r="R2870" s="11">
        <f t="shared" si="90"/>
        <v>6.8892945211782186E-2</v>
      </c>
      <c r="Z2870" s="11">
        <f t="shared" si="89"/>
        <v>8.6196412291360505E-2</v>
      </c>
    </row>
    <row r="2871" spans="1:26" x14ac:dyDescent="0.2">
      <c r="A2871" s="45">
        <v>502</v>
      </c>
      <c r="B2871" s="45">
        <v>1995</v>
      </c>
      <c r="C2871" s="17">
        <v>0</v>
      </c>
      <c r="D2871" s="14">
        <v>0.36062309999999997</v>
      </c>
      <c r="E2871" s="14">
        <v>0.27571089999999998</v>
      </c>
      <c r="F2871" s="14">
        <v>5.0820400000000002E-2</v>
      </c>
      <c r="G2871" s="14">
        <v>1.016335</v>
      </c>
      <c r="H2871" s="14">
        <v>0.43090620000000002</v>
      </c>
      <c r="R2871" s="11">
        <f t="shared" si="90"/>
        <v>6.8918042085203517E-3</v>
      </c>
      <c r="Z2871" s="11">
        <f t="shared" si="89"/>
        <v>8.8658915461845029E-3</v>
      </c>
    </row>
    <row r="2872" spans="1:26" x14ac:dyDescent="0.2">
      <c r="A2872" s="45">
        <v>502</v>
      </c>
      <c r="B2872" s="45">
        <v>1996</v>
      </c>
      <c r="C2872" s="17">
        <v>0</v>
      </c>
      <c r="D2872" s="14">
        <v>0.2015229</v>
      </c>
      <c r="E2872" s="14">
        <v>0.22926250000000001</v>
      </c>
      <c r="F2872" s="14">
        <v>4.8075899999999998E-2</v>
      </c>
      <c r="G2872" s="14">
        <v>0.68904679999999996</v>
      </c>
      <c r="H2872" s="14">
        <v>0.39788000000000001</v>
      </c>
      <c r="R2872" s="11">
        <f t="shared" si="90"/>
        <v>1.262399227316134E-2</v>
      </c>
      <c r="Z2872" s="11">
        <f t="shared" si="89"/>
        <v>1.626697059991028E-2</v>
      </c>
    </row>
    <row r="2873" spans="1:26" x14ac:dyDescent="0.2">
      <c r="A2873" s="45">
        <v>502</v>
      </c>
      <c r="B2873" s="45">
        <v>1997</v>
      </c>
      <c r="C2873" s="17">
        <v>0</v>
      </c>
      <c r="D2873" s="14">
        <v>0.25463239999999998</v>
      </c>
      <c r="E2873" s="14">
        <v>0.20496</v>
      </c>
      <c r="F2873" s="14">
        <v>5.3725299999999997E-2</v>
      </c>
      <c r="G2873" s="14">
        <v>1.0747640000000001</v>
      </c>
      <c r="H2873" s="14">
        <v>0.45717639999999998</v>
      </c>
      <c r="R2873" s="11">
        <f t="shared" si="90"/>
        <v>6.8001851923574271E-3</v>
      </c>
      <c r="Z2873" s="11">
        <f t="shared" si="89"/>
        <v>8.7367291465622436E-3</v>
      </c>
    </row>
    <row r="2874" spans="1:26" x14ac:dyDescent="0.2">
      <c r="A2874" s="45">
        <v>502</v>
      </c>
      <c r="B2874" s="45">
        <v>1998</v>
      </c>
      <c r="C2874" s="17">
        <v>0</v>
      </c>
      <c r="D2874" s="14">
        <v>0.2521853</v>
      </c>
      <c r="E2874" s="14">
        <v>0.1692024</v>
      </c>
      <c r="F2874" s="14">
        <v>4.4560299999999997E-2</v>
      </c>
      <c r="G2874" s="14">
        <v>0.62857189999999996</v>
      </c>
      <c r="H2874" s="14">
        <v>0.40123989999999998</v>
      </c>
      <c r="R2874" s="11">
        <f t="shared" si="90"/>
        <v>1.555602133339342E-2</v>
      </c>
      <c r="Z2874" s="11">
        <f t="shared" si="89"/>
        <v>1.995724617311628E-2</v>
      </c>
    </row>
    <row r="2875" spans="1:26" x14ac:dyDescent="0.2">
      <c r="A2875" s="45">
        <v>502</v>
      </c>
      <c r="B2875" s="45">
        <v>1999</v>
      </c>
      <c r="C2875" s="17">
        <v>0</v>
      </c>
      <c r="D2875" s="14">
        <v>0.22588040000000001</v>
      </c>
      <c r="E2875" s="14">
        <v>0.1982227</v>
      </c>
      <c r="F2875" s="14">
        <v>4.6490400000000001E-2</v>
      </c>
      <c r="G2875" s="14">
        <v>0.3984316</v>
      </c>
      <c r="H2875" s="14">
        <v>0.48102250000000002</v>
      </c>
      <c r="R2875" s="11">
        <f t="shared" si="90"/>
        <v>2.1071977188525531E-2</v>
      </c>
      <c r="Z2875" s="11">
        <f t="shared" si="89"/>
        <v>2.7192528247150047E-2</v>
      </c>
    </row>
    <row r="2876" spans="1:26" x14ac:dyDescent="0.2">
      <c r="A2876" s="45">
        <v>502</v>
      </c>
      <c r="B2876" s="45">
        <v>2000</v>
      </c>
      <c r="C2876" s="17">
        <v>0</v>
      </c>
      <c r="D2876" s="14">
        <v>0.17603469999999999</v>
      </c>
      <c r="E2876" s="14">
        <v>0.1513217</v>
      </c>
      <c r="F2876" s="14">
        <v>1.9569799999999998E-2</v>
      </c>
      <c r="G2876" s="14">
        <v>0.30587730000000002</v>
      </c>
      <c r="H2876" s="14">
        <v>0.50000880000000003</v>
      </c>
      <c r="R2876" s="11">
        <f t="shared" si="90"/>
        <v>3.2062339854611106E-2</v>
      </c>
      <c r="Z2876" s="11">
        <f t="shared" si="89"/>
        <v>4.0393607252688896E-2</v>
      </c>
    </row>
    <row r="2877" spans="1:26" x14ac:dyDescent="0.2">
      <c r="A2877" s="45">
        <v>502</v>
      </c>
      <c r="B2877" s="45">
        <v>2001</v>
      </c>
      <c r="C2877" s="17">
        <v>0</v>
      </c>
      <c r="D2877" s="14">
        <v>0.25146869999999999</v>
      </c>
      <c r="E2877" s="14">
        <v>0.1708422</v>
      </c>
      <c r="F2877" s="14">
        <v>5.0400199999999999E-2</v>
      </c>
      <c r="G2877" s="14">
        <v>0.57455000000000001</v>
      </c>
      <c r="H2877" s="14">
        <v>0.56543840000000001</v>
      </c>
      <c r="R2877" s="11">
        <f t="shared" si="90"/>
        <v>1.6132771952489976E-2</v>
      </c>
      <c r="Z2877" s="11">
        <f t="shared" si="89"/>
        <v>2.0816357131590052E-2</v>
      </c>
    </row>
    <row r="2878" spans="1:26" x14ac:dyDescent="0.2">
      <c r="A2878" s="45">
        <v>502</v>
      </c>
      <c r="B2878" s="45">
        <v>2002</v>
      </c>
      <c r="C2878" s="17">
        <v>0</v>
      </c>
      <c r="D2878" s="14">
        <v>0.26073160000000001</v>
      </c>
      <c r="E2878" s="14">
        <v>0.1737503</v>
      </c>
      <c r="F2878" s="14">
        <v>6.4119999999999996E-2</v>
      </c>
      <c r="G2878" s="14">
        <v>0.47892689999999999</v>
      </c>
      <c r="H2878" s="14">
        <v>0.56152299999999999</v>
      </c>
      <c r="R2878" s="11">
        <f t="shared" si="90"/>
        <v>1.6753910436110405E-2</v>
      </c>
      <c r="Z2878" s="11">
        <f t="shared" si="89"/>
        <v>2.1900153373253756E-2</v>
      </c>
    </row>
    <row r="2879" spans="1:26" x14ac:dyDescent="0.2">
      <c r="A2879" s="45">
        <v>502</v>
      </c>
      <c r="B2879" s="45">
        <v>2004</v>
      </c>
      <c r="C2879" s="17">
        <v>0</v>
      </c>
      <c r="D2879" s="14">
        <v>0.38205499999999998</v>
      </c>
      <c r="E2879" s="14">
        <v>8.7405899999999995E-2</v>
      </c>
      <c r="F2879" s="14">
        <v>7.1598400000000006E-2</v>
      </c>
      <c r="G2879" s="14">
        <v>1.3580209999999999</v>
      </c>
      <c r="H2879" s="14">
        <v>0.46027669999999998</v>
      </c>
      <c r="R2879" s="11">
        <f t="shared" si="90"/>
        <v>4.4631798023189199E-3</v>
      </c>
      <c r="Z2879" s="11">
        <f t="shared" si="89"/>
        <v>5.7631036297164659E-3</v>
      </c>
    </row>
    <row r="2880" spans="1:26" x14ac:dyDescent="0.2">
      <c r="A2880" s="45">
        <v>503</v>
      </c>
      <c r="B2880" s="45">
        <v>1995</v>
      </c>
      <c r="C2880" s="17">
        <v>0</v>
      </c>
      <c r="D2880" s="14">
        <v>-0.16358839999999999</v>
      </c>
      <c r="E2880" s="14">
        <v>0.14118449999999999</v>
      </c>
      <c r="F2880" s="14">
        <v>5.9749799999999999E-2</v>
      </c>
      <c r="G2880" s="14">
        <v>0.71395200000000003</v>
      </c>
      <c r="H2880" s="14">
        <v>0.1197001</v>
      </c>
      <c r="R2880" s="11">
        <f t="shared" si="90"/>
        <v>1.2561798789230409E-2</v>
      </c>
      <c r="Z2880" s="11">
        <f t="shared" si="89"/>
        <v>1.6282978718277913E-2</v>
      </c>
    </row>
    <row r="2881" spans="1:26" x14ac:dyDescent="0.2">
      <c r="A2881" s="45">
        <v>503</v>
      </c>
      <c r="B2881" s="45">
        <v>1996</v>
      </c>
      <c r="C2881" s="17">
        <v>0</v>
      </c>
      <c r="D2881" s="14">
        <v>3.8979999999999999E-4</v>
      </c>
      <c r="E2881" s="14">
        <v>0.16402800000000001</v>
      </c>
      <c r="F2881" s="14">
        <v>6.3515199999999994E-2</v>
      </c>
      <c r="G2881" s="14">
        <v>0.94515289999999996</v>
      </c>
      <c r="H2881" s="14">
        <v>0.19361</v>
      </c>
      <c r="R2881" s="11">
        <f t="shared" si="90"/>
        <v>8.193161371293757E-3</v>
      </c>
      <c r="Z2881" s="11">
        <f t="shared" si="89"/>
        <v>1.0621309752671514E-2</v>
      </c>
    </row>
    <row r="2882" spans="1:26" x14ac:dyDescent="0.2">
      <c r="A2882" s="45">
        <v>504</v>
      </c>
      <c r="B2882" s="45">
        <v>2001</v>
      </c>
      <c r="C2882" s="17">
        <v>0</v>
      </c>
      <c r="D2882" s="14">
        <v>6.4459699999999995E-2</v>
      </c>
      <c r="E2882" s="14">
        <v>9.4142799999999999E-2</v>
      </c>
      <c r="F2882" s="14">
        <v>1.9846200000000001E-2</v>
      </c>
      <c r="G2882" s="14">
        <v>0.51657580000000003</v>
      </c>
      <c r="H2882" s="14">
        <v>0.12971489999999999</v>
      </c>
      <c r="R2882" s="11">
        <f t="shared" si="90"/>
        <v>2.5030158410441376E-2</v>
      </c>
      <c r="Z2882" s="11">
        <f t="shared" ref="Z2882:Z2945" si="91">1/(1+EXP(-(U$2+$V$2*E2882+$W$2*F2882+$X$2*G2882)))</f>
        <v>3.1399375256438204E-2</v>
      </c>
    </row>
    <row r="2883" spans="1:26" x14ac:dyDescent="0.2">
      <c r="A2883" s="45">
        <v>504</v>
      </c>
      <c r="B2883" s="45">
        <v>2002</v>
      </c>
      <c r="C2883" s="17">
        <v>0</v>
      </c>
      <c r="D2883" s="14">
        <v>-1.7726100000000002E-2</v>
      </c>
      <c r="E2883" s="14">
        <v>6.46954E-2</v>
      </c>
      <c r="F2883" s="14">
        <v>5.2690099999999997E-2</v>
      </c>
      <c r="G2883" s="14">
        <v>0.45254810000000001</v>
      </c>
      <c r="H2883" s="14">
        <v>0.126468</v>
      </c>
      <c r="R2883" s="11">
        <f t="shared" si="90"/>
        <v>2.2309204370818941E-2</v>
      </c>
      <c r="Z2883" s="11">
        <f t="shared" si="91"/>
        <v>2.8759369035569297E-2</v>
      </c>
    </row>
    <row r="2884" spans="1:26" x14ac:dyDescent="0.2">
      <c r="A2884" s="45">
        <v>504</v>
      </c>
      <c r="B2884" s="45">
        <v>2003</v>
      </c>
      <c r="C2884" s="17">
        <v>0</v>
      </c>
      <c r="D2884" s="14">
        <v>5.3652600000000002E-2</v>
      </c>
      <c r="E2884" s="14">
        <v>0.1045615</v>
      </c>
      <c r="F2884" s="14">
        <v>6.1128599999999998E-2</v>
      </c>
      <c r="G2884" s="14">
        <v>0.59847830000000002</v>
      </c>
      <c r="H2884" s="14">
        <v>0.1234804</v>
      </c>
      <c r="R2884" s="11">
        <f t="shared" si="90"/>
        <v>1.5700868258914015E-2</v>
      </c>
      <c r="Z2884" s="11">
        <f t="shared" si="91"/>
        <v>2.0381003199861875E-2</v>
      </c>
    </row>
    <row r="2885" spans="1:26" x14ac:dyDescent="0.2">
      <c r="A2885" s="45">
        <v>505</v>
      </c>
      <c r="B2885" s="45">
        <v>1995</v>
      </c>
      <c r="C2885" s="17">
        <v>0</v>
      </c>
      <c r="D2885" s="14">
        <v>0.2260904</v>
      </c>
      <c r="E2885" s="14">
        <v>0.2495743</v>
      </c>
      <c r="F2885" s="14">
        <v>7.2957999999999995E-2</v>
      </c>
      <c r="G2885" s="14">
        <v>1.2500389999999999</v>
      </c>
      <c r="H2885" s="14">
        <v>0.33552520000000002</v>
      </c>
      <c r="R2885" s="11">
        <f t="shared" si="90"/>
        <v>4.1437040871573037E-3</v>
      </c>
      <c r="Z2885" s="11">
        <f t="shared" si="91"/>
        <v>5.3994683452675768E-3</v>
      </c>
    </row>
    <row r="2886" spans="1:26" x14ac:dyDescent="0.2">
      <c r="A2886" s="45">
        <v>505</v>
      </c>
      <c r="B2886" s="45">
        <v>1996</v>
      </c>
      <c r="C2886" s="17">
        <v>0</v>
      </c>
      <c r="D2886" s="14">
        <v>0.27133889999999999</v>
      </c>
      <c r="E2886" s="14">
        <v>0.30711889999999997</v>
      </c>
      <c r="F2886" s="14">
        <v>6.0703699999999999E-2</v>
      </c>
      <c r="G2886" s="14">
        <v>1.7234799999999999</v>
      </c>
      <c r="H2886" s="14">
        <v>0.35185270000000002</v>
      </c>
      <c r="R2886" s="11">
        <f t="shared" si="90"/>
        <v>1.9810725152167321E-3</v>
      </c>
      <c r="Z2886" s="11">
        <f t="shared" si="91"/>
        <v>2.5359193689937953E-3</v>
      </c>
    </row>
    <row r="2887" spans="1:26" x14ac:dyDescent="0.2">
      <c r="A2887" s="45">
        <v>505</v>
      </c>
      <c r="B2887" s="45">
        <v>1997</v>
      </c>
      <c r="C2887" s="17">
        <v>0</v>
      </c>
      <c r="D2887" s="14">
        <v>0.2373941</v>
      </c>
      <c r="E2887" s="14">
        <v>0.29138459999999999</v>
      </c>
      <c r="F2887" s="14">
        <v>5.7174000000000003E-2</v>
      </c>
      <c r="G2887" s="14">
        <v>1.6601699999999999</v>
      </c>
      <c r="H2887" s="14">
        <v>0.40041729999999998</v>
      </c>
      <c r="R2887" s="11">
        <f t="shared" si="90"/>
        <v>2.3055423288250083E-3</v>
      </c>
      <c r="Z2887" s="11">
        <f t="shared" si="91"/>
        <v>2.9450044408891535E-3</v>
      </c>
    </row>
    <row r="2888" spans="1:26" x14ac:dyDescent="0.2">
      <c r="A2888" s="45">
        <v>505</v>
      </c>
      <c r="B2888" s="45">
        <v>1998</v>
      </c>
      <c r="C2888" s="17">
        <v>0</v>
      </c>
      <c r="D2888" s="14">
        <v>0.2597102</v>
      </c>
      <c r="E2888" s="14">
        <v>0.34212559999999997</v>
      </c>
      <c r="F2888" s="14">
        <v>7.1871000000000004E-2</v>
      </c>
      <c r="G2888" s="14">
        <v>1.8283959999999999</v>
      </c>
      <c r="H2888" s="14">
        <v>0.3732664</v>
      </c>
      <c r="R2888" s="11">
        <f t="shared" si="90"/>
        <v>1.4575266564058652E-3</v>
      </c>
      <c r="Z2888" s="11">
        <f t="shared" si="91"/>
        <v>1.8810572634482328E-3</v>
      </c>
    </row>
    <row r="2889" spans="1:26" x14ac:dyDescent="0.2">
      <c r="A2889" s="45">
        <v>505</v>
      </c>
      <c r="B2889" s="45">
        <v>1999</v>
      </c>
      <c r="C2889" s="17">
        <v>0</v>
      </c>
      <c r="D2889" s="14">
        <v>0.18602920000000001</v>
      </c>
      <c r="E2889" s="14">
        <v>0.22649549999999999</v>
      </c>
      <c r="F2889" s="14">
        <v>6.1175199999999999E-2</v>
      </c>
      <c r="G2889" s="14">
        <v>1.0349660000000001</v>
      </c>
      <c r="H2889" s="14">
        <v>0.31718649999999998</v>
      </c>
      <c r="R2889" s="11">
        <f t="shared" si="90"/>
        <v>6.617057717782226E-3</v>
      </c>
      <c r="Z2889" s="11">
        <f t="shared" si="91"/>
        <v>8.5672320399447586E-3</v>
      </c>
    </row>
    <row r="2890" spans="1:26" x14ac:dyDescent="0.2">
      <c r="A2890" s="45">
        <v>505</v>
      </c>
      <c r="B2890" s="45">
        <v>2000</v>
      </c>
      <c r="C2890" s="17">
        <v>0</v>
      </c>
      <c r="D2890" s="14">
        <v>0.2106731</v>
      </c>
      <c r="E2890" s="14">
        <v>0.2454141</v>
      </c>
      <c r="F2890" s="14">
        <v>4.24772E-2</v>
      </c>
      <c r="G2890" s="14">
        <v>0.75083330000000004</v>
      </c>
      <c r="H2890" s="14">
        <v>0.2884603</v>
      </c>
      <c r="R2890" s="11">
        <f t="shared" si="90"/>
        <v>1.1697486959046674E-2</v>
      </c>
      <c r="Z2890" s="11">
        <f t="shared" si="91"/>
        <v>1.4997256759206809E-2</v>
      </c>
    </row>
    <row r="2891" spans="1:26" x14ac:dyDescent="0.2">
      <c r="A2891" s="45">
        <v>505</v>
      </c>
      <c r="B2891" s="45">
        <v>2001</v>
      </c>
      <c r="C2891" s="17">
        <v>0</v>
      </c>
      <c r="D2891" s="14">
        <v>0.19381509999999999</v>
      </c>
      <c r="E2891" s="14">
        <v>0.26714199999999999</v>
      </c>
      <c r="F2891" s="14">
        <v>4.8076199999999999E-2</v>
      </c>
      <c r="G2891" s="14">
        <v>1.349413</v>
      </c>
      <c r="H2891" s="14">
        <v>0.28289379999999997</v>
      </c>
      <c r="R2891" s="11">
        <f t="shared" si="90"/>
        <v>4.2065898779636724E-3</v>
      </c>
      <c r="Z2891" s="11">
        <f t="shared" si="91"/>
        <v>5.3627719128777791E-3</v>
      </c>
    </row>
    <row r="2892" spans="1:26" x14ac:dyDescent="0.2">
      <c r="A2892" s="45">
        <v>505</v>
      </c>
      <c r="B2892" s="45">
        <v>2002</v>
      </c>
      <c r="C2892" s="17">
        <v>0</v>
      </c>
      <c r="D2892" s="14">
        <v>0.14780299999999999</v>
      </c>
      <c r="E2892" s="14">
        <v>0.28354580000000001</v>
      </c>
      <c r="F2892" s="14">
        <v>4.5126300000000001E-2</v>
      </c>
      <c r="G2892" s="14">
        <v>1.2381120000000001</v>
      </c>
      <c r="H2892" s="14">
        <v>0.2770936</v>
      </c>
      <c r="R2892" s="11">
        <f t="shared" si="90"/>
        <v>5.017597030791931E-3</v>
      </c>
      <c r="Z2892" s="11">
        <f t="shared" si="91"/>
        <v>6.3990363714037275E-3</v>
      </c>
    </row>
    <row r="2893" spans="1:26" x14ac:dyDescent="0.2">
      <c r="A2893" s="45">
        <v>505</v>
      </c>
      <c r="B2893" s="45">
        <v>2003</v>
      </c>
      <c r="C2893" s="17">
        <v>0</v>
      </c>
      <c r="D2893" s="14">
        <v>0.1505495</v>
      </c>
      <c r="E2893" s="14">
        <v>0.3164689</v>
      </c>
      <c r="F2893" s="14">
        <v>5.32129E-2</v>
      </c>
      <c r="G2893" s="14">
        <v>1.53243</v>
      </c>
      <c r="H2893" s="14">
        <v>0.1740476</v>
      </c>
      <c r="R2893" s="11">
        <f t="shared" si="90"/>
        <v>2.8111306134691698E-3</v>
      </c>
      <c r="Z2893" s="11">
        <f t="shared" si="91"/>
        <v>3.5918412962662109E-3</v>
      </c>
    </row>
    <row r="2894" spans="1:26" x14ac:dyDescent="0.2">
      <c r="A2894" s="45">
        <v>505</v>
      </c>
      <c r="B2894" s="45">
        <v>2004</v>
      </c>
      <c r="C2894" s="17">
        <v>0</v>
      </c>
      <c r="D2894" s="14">
        <v>0.12781310000000001</v>
      </c>
      <c r="E2894" s="14">
        <v>0.34129510000000002</v>
      </c>
      <c r="F2894" s="14">
        <v>5.57186E-2</v>
      </c>
      <c r="G2894" s="14">
        <v>2.6543800000000002</v>
      </c>
      <c r="H2894" s="14">
        <v>0.23677970000000001</v>
      </c>
      <c r="R2894" s="11">
        <f t="shared" si="90"/>
        <v>4.4569606671330435E-4</v>
      </c>
      <c r="Z2894" s="11">
        <f t="shared" si="91"/>
        <v>5.5756818909369658E-4</v>
      </c>
    </row>
    <row r="2895" spans="1:26" x14ac:dyDescent="0.2">
      <c r="A2895" s="45">
        <v>506</v>
      </c>
      <c r="B2895" s="45">
        <v>1995</v>
      </c>
      <c r="C2895" s="17">
        <v>0</v>
      </c>
      <c r="D2895" s="14">
        <v>-4.9394899999999999E-2</v>
      </c>
      <c r="E2895" s="14">
        <v>0.21078710000000001</v>
      </c>
      <c r="F2895" s="14">
        <v>2.8296700000000001E-2</v>
      </c>
      <c r="G2895" s="14">
        <v>0.60396890000000003</v>
      </c>
      <c r="H2895" s="14">
        <v>0.17656079999999999</v>
      </c>
      <c r="R2895" s="11">
        <f t="shared" si="90"/>
        <v>1.7313671632441616E-2</v>
      </c>
      <c r="Z2895" s="11">
        <f t="shared" si="91"/>
        <v>2.1955611394410234E-2</v>
      </c>
    </row>
    <row r="2896" spans="1:26" x14ac:dyDescent="0.2">
      <c r="A2896" s="45">
        <v>506</v>
      </c>
      <c r="B2896" s="45">
        <v>1996</v>
      </c>
      <c r="C2896" s="17">
        <v>0</v>
      </c>
      <c r="D2896" s="14">
        <v>7.2786000000000003E-2</v>
      </c>
      <c r="E2896" s="14">
        <v>0.25945439999999997</v>
      </c>
      <c r="F2896" s="14">
        <v>5.4440299999999997E-2</v>
      </c>
      <c r="G2896" s="14">
        <v>0.86456949999999999</v>
      </c>
      <c r="H2896" s="14">
        <v>0.18915580000000001</v>
      </c>
      <c r="R2896" s="11">
        <f t="shared" si="90"/>
        <v>8.7148601234031137E-3</v>
      </c>
      <c r="Z2896" s="11">
        <f t="shared" si="91"/>
        <v>1.1269162295874727E-2</v>
      </c>
    </row>
    <row r="2897" spans="1:26" x14ac:dyDescent="0.2">
      <c r="A2897" s="45">
        <v>506</v>
      </c>
      <c r="B2897" s="45">
        <v>1997</v>
      </c>
      <c r="C2897" s="17">
        <v>0</v>
      </c>
      <c r="D2897" s="14">
        <v>6.3964199999999999E-2</v>
      </c>
      <c r="E2897" s="14">
        <v>0.26105109999999998</v>
      </c>
      <c r="F2897" s="14">
        <v>4.7990100000000001E-2</v>
      </c>
      <c r="G2897" s="14">
        <v>0.99056250000000001</v>
      </c>
      <c r="H2897" s="14">
        <v>8.5174700000000006E-2</v>
      </c>
      <c r="R2897" s="11">
        <f t="shared" si="90"/>
        <v>7.4988357525077581E-3</v>
      </c>
      <c r="Z2897" s="11">
        <f t="shared" si="91"/>
        <v>9.6235968989963391E-3</v>
      </c>
    </row>
    <row r="2898" spans="1:26" x14ac:dyDescent="0.2">
      <c r="A2898" s="45">
        <v>506</v>
      </c>
      <c r="B2898" s="45">
        <v>1998</v>
      </c>
      <c r="C2898" s="17">
        <v>0</v>
      </c>
      <c r="D2898" s="14">
        <v>6.6778000000000002E-3</v>
      </c>
      <c r="E2898" s="14">
        <v>0.1202406</v>
      </c>
      <c r="F2898" s="14">
        <v>-1.8819900000000001E-2</v>
      </c>
      <c r="G2898" s="14">
        <v>0.41586899999999999</v>
      </c>
      <c r="H2898" s="14">
        <v>8.7064000000000002E-2</v>
      </c>
      <c r="R2898" s="11">
        <f t="shared" si="90"/>
        <v>3.8034181953349629E-2</v>
      </c>
      <c r="Z2898" s="11">
        <f t="shared" si="91"/>
        <v>4.6273158882672499E-2</v>
      </c>
    </row>
    <row r="2899" spans="1:26" x14ac:dyDescent="0.2">
      <c r="A2899" s="45">
        <v>507</v>
      </c>
      <c r="B2899" s="45">
        <v>2000</v>
      </c>
      <c r="C2899" s="17">
        <v>0</v>
      </c>
      <c r="D2899" s="14">
        <v>-0.1218457</v>
      </c>
      <c r="E2899" s="14">
        <v>0.2130251</v>
      </c>
      <c r="F2899" s="14">
        <v>3.41488E-2</v>
      </c>
      <c r="G2899" s="14">
        <v>0.71872539999999996</v>
      </c>
      <c r="H2899" s="14">
        <v>0.1086577</v>
      </c>
      <c r="R2899" s="11">
        <f t="shared" si="90"/>
        <v>1.3765425197886805E-2</v>
      </c>
      <c r="Z2899" s="11">
        <f t="shared" si="91"/>
        <v>1.75132965756493E-2</v>
      </c>
    </row>
    <row r="2900" spans="1:26" x14ac:dyDescent="0.2">
      <c r="A2900" s="45">
        <v>507</v>
      </c>
      <c r="B2900" s="45">
        <v>2001</v>
      </c>
      <c r="C2900" s="17">
        <v>0</v>
      </c>
      <c r="D2900" s="14">
        <v>-8.3804500000000004E-2</v>
      </c>
      <c r="E2900" s="14">
        <v>0.19011320000000001</v>
      </c>
      <c r="F2900" s="14">
        <v>2.31887E-2</v>
      </c>
      <c r="G2900" s="14">
        <v>0.66505329999999996</v>
      </c>
      <c r="H2900" s="14">
        <v>8.3177000000000001E-2</v>
      </c>
      <c r="R2900" s="11">
        <f t="shared" si="90"/>
        <v>1.6869778993492707E-2</v>
      </c>
      <c r="Z2900" s="11">
        <f t="shared" si="91"/>
        <v>2.1265021046645124E-2</v>
      </c>
    </row>
    <row r="2901" spans="1:26" x14ac:dyDescent="0.2">
      <c r="A2901" s="45">
        <v>507</v>
      </c>
      <c r="B2901" s="45">
        <v>2002</v>
      </c>
      <c r="C2901" s="17">
        <v>0</v>
      </c>
      <c r="D2901" s="14">
        <v>-0.1038092</v>
      </c>
      <c r="E2901" s="14">
        <v>0.2196023</v>
      </c>
      <c r="F2901" s="14">
        <v>2.0898300000000002E-2</v>
      </c>
      <c r="G2901" s="14">
        <v>0.64927780000000002</v>
      </c>
      <c r="H2901" s="14">
        <v>0.13154830000000001</v>
      </c>
      <c r="R2901" s="11">
        <f t="shared" si="90"/>
        <v>1.6879451396368806E-2</v>
      </c>
      <c r="Z2901" s="11">
        <f t="shared" si="91"/>
        <v>2.1266348260074706E-2</v>
      </c>
    </row>
    <row r="2902" spans="1:26" x14ac:dyDescent="0.2">
      <c r="A2902" s="45">
        <v>507</v>
      </c>
      <c r="B2902" s="45">
        <v>2003</v>
      </c>
      <c r="C2902" s="17">
        <v>0</v>
      </c>
      <c r="D2902" s="14">
        <v>-4.5700999999999997E-3</v>
      </c>
      <c r="E2902" s="14">
        <v>0.19174540000000001</v>
      </c>
      <c r="F2902" s="14">
        <v>1.6259599999999999E-2</v>
      </c>
      <c r="G2902" s="14">
        <v>0.75968219999999997</v>
      </c>
      <c r="H2902" s="14">
        <v>0.1364263</v>
      </c>
      <c r="R2902" s="11">
        <f t="shared" si="90"/>
        <v>1.5322907600448831E-2</v>
      </c>
      <c r="Z2902" s="11">
        <f t="shared" si="91"/>
        <v>1.9177531776684933E-2</v>
      </c>
    </row>
    <row r="2903" spans="1:26" x14ac:dyDescent="0.2">
      <c r="A2903" s="45">
        <v>507</v>
      </c>
      <c r="B2903" s="45">
        <v>2004</v>
      </c>
      <c r="C2903" s="17">
        <v>0</v>
      </c>
      <c r="D2903" s="14">
        <v>5.1322300000000001E-2</v>
      </c>
      <c r="E2903" s="14">
        <v>0.18925520000000001</v>
      </c>
      <c r="F2903" s="14">
        <v>2.3394600000000002E-2</v>
      </c>
      <c r="G2903" s="14">
        <v>0.74444759999999999</v>
      </c>
      <c r="H2903" s="14">
        <v>0.14580070000000001</v>
      </c>
      <c r="R2903" s="11">
        <f t="shared" ref="R2903:R2966" si="92">1/(1+EXP(-(K$2+$M$2*E2903+$N$2*F2903+$O$2*G2903)))</f>
        <v>1.4888884099841859E-2</v>
      </c>
      <c r="Z2903" s="11">
        <f t="shared" si="91"/>
        <v>1.8748259248969938E-2</v>
      </c>
    </row>
    <row r="2904" spans="1:26" x14ac:dyDescent="0.2">
      <c r="A2904" s="45">
        <v>508</v>
      </c>
      <c r="B2904" s="45">
        <v>1995</v>
      </c>
      <c r="C2904" s="17">
        <v>0</v>
      </c>
      <c r="D2904" s="14">
        <v>5.4159600000000002E-2</v>
      </c>
      <c r="E2904" s="14">
        <v>0.38334099999999999</v>
      </c>
      <c r="F2904" s="14">
        <v>5.4561699999999998E-2</v>
      </c>
      <c r="G2904" s="14">
        <v>2.0906470000000001</v>
      </c>
      <c r="H2904" s="14">
        <v>0.29899569999999998</v>
      </c>
      <c r="R2904" s="11">
        <f t="shared" si="92"/>
        <v>1.0384911994249027E-3</v>
      </c>
      <c r="Z2904" s="11">
        <f t="shared" si="91"/>
        <v>1.3158169526002897E-3</v>
      </c>
    </row>
    <row r="2905" spans="1:26" x14ac:dyDescent="0.2">
      <c r="A2905" s="45">
        <v>508</v>
      </c>
      <c r="B2905" s="45">
        <v>1996</v>
      </c>
      <c r="C2905" s="17">
        <v>0</v>
      </c>
      <c r="D2905" s="14">
        <v>7.3647500000000005E-2</v>
      </c>
      <c r="E2905" s="14">
        <v>0.38185920000000001</v>
      </c>
      <c r="F2905" s="14">
        <v>3.6211399999999998E-2</v>
      </c>
      <c r="G2905" s="14">
        <v>1.907802</v>
      </c>
      <c r="H2905" s="14">
        <v>0.26288099999999998</v>
      </c>
      <c r="R2905" s="11">
        <f t="shared" si="92"/>
        <v>1.6120634411377437E-3</v>
      </c>
      <c r="Z2905" s="11">
        <f t="shared" si="91"/>
        <v>2.0198171277985384E-3</v>
      </c>
    </row>
    <row r="2906" spans="1:26" x14ac:dyDescent="0.2">
      <c r="A2906" s="45">
        <v>508</v>
      </c>
      <c r="B2906" s="45">
        <v>1997</v>
      </c>
      <c r="C2906" s="17">
        <v>0</v>
      </c>
      <c r="D2906" s="14">
        <v>0.1066392</v>
      </c>
      <c r="E2906" s="14">
        <v>0.33555059999999998</v>
      </c>
      <c r="F2906" s="14">
        <v>3.3212699999999998E-2</v>
      </c>
      <c r="G2906" s="14">
        <v>1.0480210000000001</v>
      </c>
      <c r="H2906" s="14">
        <v>0.26312930000000001</v>
      </c>
      <c r="R2906" s="11">
        <f t="shared" si="92"/>
        <v>6.9147173641752871E-3</v>
      </c>
      <c r="Z2906" s="11">
        <f t="shared" si="91"/>
        <v>8.7807338019003939E-3</v>
      </c>
    </row>
    <row r="2907" spans="1:26" x14ac:dyDescent="0.2">
      <c r="A2907" s="45">
        <v>508</v>
      </c>
      <c r="B2907" s="45">
        <v>1998</v>
      </c>
      <c r="C2907" s="17">
        <v>0</v>
      </c>
      <c r="D2907" s="14">
        <v>0.1431134</v>
      </c>
      <c r="E2907" s="14">
        <v>0.33559919999999999</v>
      </c>
      <c r="F2907" s="14">
        <v>3.7760700000000001E-2</v>
      </c>
      <c r="G2907" s="14">
        <v>0.65907910000000003</v>
      </c>
      <c r="H2907" s="14">
        <v>0.29739660000000001</v>
      </c>
      <c r="R2907" s="11">
        <f t="shared" si="92"/>
        <v>1.2324083341087895E-2</v>
      </c>
      <c r="Z2907" s="11">
        <f t="shared" si="91"/>
        <v>1.5817164967685E-2</v>
      </c>
    </row>
    <row r="2908" spans="1:26" x14ac:dyDescent="0.2">
      <c r="A2908" s="45">
        <v>508</v>
      </c>
      <c r="B2908" s="45">
        <v>1999</v>
      </c>
      <c r="C2908" s="17">
        <v>0</v>
      </c>
      <c r="D2908" s="14">
        <v>0.1085515</v>
      </c>
      <c r="E2908" s="14">
        <v>0.34615230000000002</v>
      </c>
      <c r="F2908" s="14">
        <v>2.3389699999999999E-2</v>
      </c>
      <c r="G2908" s="14">
        <v>0.30108489999999999</v>
      </c>
      <c r="H2908" s="14">
        <v>0.29844100000000001</v>
      </c>
      <c r="R2908" s="11">
        <f t="shared" si="92"/>
        <v>2.380674247981571E-2</v>
      </c>
      <c r="Z2908" s="11">
        <f t="shared" si="91"/>
        <v>3.0349870371830581E-2</v>
      </c>
    </row>
    <row r="2909" spans="1:26" x14ac:dyDescent="0.2">
      <c r="A2909" s="45">
        <v>508</v>
      </c>
      <c r="B2909" s="45">
        <v>2000</v>
      </c>
      <c r="C2909" s="17">
        <v>0</v>
      </c>
      <c r="D2909" s="14">
        <v>9.0835799999999994E-2</v>
      </c>
      <c r="E2909" s="14">
        <v>0.33762110000000001</v>
      </c>
      <c r="F2909" s="14">
        <v>4.2015700000000003E-2</v>
      </c>
      <c r="G2909" s="14">
        <v>0.23150490000000001</v>
      </c>
      <c r="H2909" s="14">
        <v>0.31480399999999997</v>
      </c>
      <c r="R2909" s="11">
        <f t="shared" si="92"/>
        <v>2.321664521564076E-2</v>
      </c>
      <c r="Z2909" s="11">
        <f t="shared" si="91"/>
        <v>3.0080405602475303E-2</v>
      </c>
    </row>
    <row r="2910" spans="1:26" x14ac:dyDescent="0.2">
      <c r="A2910" s="45">
        <v>508</v>
      </c>
      <c r="B2910" s="45">
        <v>2001</v>
      </c>
      <c r="C2910" s="17">
        <v>0</v>
      </c>
      <c r="D2910" s="14">
        <v>7.9007999999999995E-2</v>
      </c>
      <c r="E2910" s="14">
        <v>0.3487615</v>
      </c>
      <c r="F2910" s="14">
        <v>4.7296400000000002E-2</v>
      </c>
      <c r="G2910" s="14">
        <v>0.73770000000000002</v>
      </c>
      <c r="H2910" s="14">
        <v>0.30944179999999999</v>
      </c>
      <c r="R2910" s="11">
        <f t="shared" si="92"/>
        <v>9.9075230261243021E-3</v>
      </c>
      <c r="Z2910" s="11">
        <f t="shared" si="91"/>
        <v>1.2806863957418918E-2</v>
      </c>
    </row>
    <row r="2911" spans="1:26" x14ac:dyDescent="0.2">
      <c r="A2911" s="45">
        <v>508</v>
      </c>
      <c r="B2911" s="45">
        <v>2002</v>
      </c>
      <c r="C2911" s="17">
        <v>0</v>
      </c>
      <c r="D2911" s="14">
        <v>0.1111163</v>
      </c>
      <c r="E2911" s="14">
        <v>0.37760729999999998</v>
      </c>
      <c r="F2911" s="14">
        <v>2.3861199999999999E-2</v>
      </c>
      <c r="G2911" s="14">
        <v>0.50806099999999998</v>
      </c>
      <c r="H2911" s="14">
        <v>0.28265810000000002</v>
      </c>
      <c r="R2911" s="11">
        <f t="shared" si="92"/>
        <v>1.6414565369542403E-2</v>
      </c>
      <c r="Z2911" s="11">
        <f t="shared" si="91"/>
        <v>2.0906234528884834E-2</v>
      </c>
    </row>
    <row r="2912" spans="1:26" x14ac:dyDescent="0.2">
      <c r="A2912" s="45">
        <v>508</v>
      </c>
      <c r="B2912" s="45">
        <v>2003</v>
      </c>
      <c r="C2912" s="17">
        <v>0</v>
      </c>
      <c r="D2912" s="14">
        <v>8.35312E-2</v>
      </c>
      <c r="E2912" s="14">
        <v>0.34326820000000002</v>
      </c>
      <c r="F2912" s="14">
        <v>3.9615699999999997E-2</v>
      </c>
      <c r="G2912" s="14">
        <v>0.9803752</v>
      </c>
      <c r="H2912" s="14">
        <v>0.33280690000000002</v>
      </c>
      <c r="R2912" s="11">
        <f t="shared" si="92"/>
        <v>7.2332734519163647E-3</v>
      </c>
      <c r="Z2912" s="11">
        <f t="shared" si="91"/>
        <v>9.2484058168227686E-3</v>
      </c>
    </row>
    <row r="2913" spans="1:26" x14ac:dyDescent="0.2">
      <c r="A2913" s="45">
        <v>509</v>
      </c>
      <c r="B2913" s="45">
        <v>1995</v>
      </c>
      <c r="C2913" s="17">
        <v>0</v>
      </c>
      <c r="D2913" s="14">
        <v>3.0145100000000001E-2</v>
      </c>
      <c r="E2913" s="14">
        <v>0.34179110000000001</v>
      </c>
      <c r="F2913" s="14">
        <v>7.0397500000000002E-2</v>
      </c>
      <c r="G2913" s="14">
        <v>2.467692</v>
      </c>
      <c r="H2913" s="14">
        <v>0.39319549999999998</v>
      </c>
      <c r="R2913" s="11">
        <f t="shared" si="92"/>
        <v>5.332103637394344E-4</v>
      </c>
      <c r="Z2913" s="11">
        <f t="shared" si="91"/>
        <v>6.7789413047491935E-4</v>
      </c>
    </row>
    <row r="2914" spans="1:26" x14ac:dyDescent="0.2">
      <c r="A2914" s="45">
        <v>509</v>
      </c>
      <c r="B2914" s="45">
        <v>1996</v>
      </c>
      <c r="C2914" s="17">
        <v>0</v>
      </c>
      <c r="D2914" s="14">
        <v>2.66535E-2</v>
      </c>
      <c r="E2914" s="14">
        <v>0.37332140000000003</v>
      </c>
      <c r="F2914" s="14">
        <v>5.3398300000000003E-2</v>
      </c>
      <c r="G2914" s="14">
        <v>2.5717919999999999</v>
      </c>
      <c r="H2914" s="14">
        <v>0.2891801</v>
      </c>
      <c r="R2914" s="11">
        <f t="shared" si="92"/>
        <v>4.9432523827948847E-4</v>
      </c>
      <c r="Z2914" s="11">
        <f t="shared" si="91"/>
        <v>6.1902328168779636E-4</v>
      </c>
    </row>
    <row r="2915" spans="1:26" x14ac:dyDescent="0.2">
      <c r="A2915" s="45">
        <v>509</v>
      </c>
      <c r="B2915" s="45">
        <v>1997</v>
      </c>
      <c r="C2915" s="17">
        <v>0</v>
      </c>
      <c r="D2915" s="14">
        <v>0.1269092</v>
      </c>
      <c r="E2915" s="14">
        <v>0.56236489999999995</v>
      </c>
      <c r="F2915" s="14">
        <v>5.0024600000000002E-2</v>
      </c>
      <c r="G2915" s="14">
        <v>4.1654059999999999</v>
      </c>
      <c r="H2915" s="14">
        <v>0.33981210000000001</v>
      </c>
      <c r="R2915" s="11">
        <f t="shared" si="92"/>
        <v>3.0453377371687408E-5</v>
      </c>
      <c r="Z2915" s="11">
        <f t="shared" si="91"/>
        <v>3.696180862234576E-5</v>
      </c>
    </row>
    <row r="2916" spans="1:26" x14ac:dyDescent="0.2">
      <c r="A2916" s="45">
        <v>509</v>
      </c>
      <c r="B2916" s="45">
        <v>1998</v>
      </c>
      <c r="C2916" s="17">
        <v>0</v>
      </c>
      <c r="D2916" s="14">
        <v>-0.12133969999999999</v>
      </c>
      <c r="E2916" s="14">
        <v>0.55216489999999996</v>
      </c>
      <c r="F2916" s="14">
        <v>5.9307400000000003E-2</v>
      </c>
      <c r="G2916" s="14">
        <v>3.724091</v>
      </c>
      <c r="H2916" s="14">
        <v>0.3504429</v>
      </c>
      <c r="R2916" s="11">
        <f t="shared" si="92"/>
        <v>5.7975687954632165E-5</v>
      </c>
      <c r="Z2916" s="11">
        <f t="shared" si="91"/>
        <v>7.1570484203214952E-5</v>
      </c>
    </row>
    <row r="2917" spans="1:26" x14ac:dyDescent="0.2">
      <c r="A2917" s="45">
        <v>509</v>
      </c>
      <c r="B2917" s="45">
        <v>1999</v>
      </c>
      <c r="C2917" s="17">
        <v>0</v>
      </c>
      <c r="D2917" s="14">
        <v>5.3069199999999997E-2</v>
      </c>
      <c r="E2917" s="14">
        <v>0.78125290000000003</v>
      </c>
      <c r="F2917" s="14">
        <v>7.0263800000000001E-2</v>
      </c>
      <c r="G2917" s="14">
        <v>4.8290819999999997</v>
      </c>
      <c r="H2917" s="14">
        <v>0.35120570000000001</v>
      </c>
      <c r="R2917" s="11">
        <f t="shared" si="92"/>
        <v>6.5432131142714142E-6</v>
      </c>
      <c r="Z2917" s="11">
        <f t="shared" si="91"/>
        <v>8.0172811021035419E-6</v>
      </c>
    </row>
    <row r="2918" spans="1:26" x14ac:dyDescent="0.2">
      <c r="A2918" s="45">
        <v>509</v>
      </c>
      <c r="B2918" s="45">
        <v>2000</v>
      </c>
      <c r="C2918" s="17">
        <v>0</v>
      </c>
      <c r="D2918" s="14">
        <v>8.1803399999999998E-2</v>
      </c>
      <c r="E2918" s="14">
        <v>0.8054055</v>
      </c>
      <c r="F2918" s="14">
        <v>0.10075000000000001</v>
      </c>
      <c r="G2918" s="14">
        <v>6.479133</v>
      </c>
      <c r="H2918" s="14">
        <v>0.46929890000000002</v>
      </c>
      <c r="R2918" s="11">
        <f t="shared" si="92"/>
        <v>3.5698679308892595E-7</v>
      </c>
      <c r="Z2918" s="11">
        <f t="shared" si="91"/>
        <v>4.3283312038296295E-7</v>
      </c>
    </row>
    <row r="2919" spans="1:26" x14ac:dyDescent="0.2">
      <c r="A2919" s="45">
        <v>509</v>
      </c>
      <c r="B2919" s="45">
        <v>2001</v>
      </c>
      <c r="C2919" s="17">
        <v>0</v>
      </c>
      <c r="D2919" s="14">
        <v>6.5770300000000004E-2</v>
      </c>
      <c r="E2919" s="14">
        <v>0.50171410000000005</v>
      </c>
      <c r="F2919" s="14">
        <v>7.9122300000000007E-2</v>
      </c>
      <c r="G2919" s="14">
        <v>6.5529149999999996</v>
      </c>
      <c r="H2919" s="14">
        <v>0.3507982</v>
      </c>
      <c r="R2919" s="11">
        <f t="shared" si="92"/>
        <v>5.8680631909016781E-7</v>
      </c>
      <c r="Z2919" s="11">
        <f t="shared" si="91"/>
        <v>6.906173212245164E-7</v>
      </c>
    </row>
    <row r="2920" spans="1:26" x14ac:dyDescent="0.2">
      <c r="A2920" s="45">
        <v>509</v>
      </c>
      <c r="B2920" s="45">
        <v>2003</v>
      </c>
      <c r="C2920" s="17">
        <v>0</v>
      </c>
      <c r="D2920" s="14">
        <v>4.9956800000000003E-2</v>
      </c>
      <c r="E2920" s="14">
        <v>0.62580380000000002</v>
      </c>
      <c r="F2920" s="14">
        <v>9.0931300000000007E-2</v>
      </c>
      <c r="G2920" s="14">
        <v>5.9738610000000003</v>
      </c>
      <c r="H2920" s="14">
        <v>0.33558159999999998</v>
      </c>
      <c r="R2920" s="11">
        <f t="shared" si="92"/>
        <v>1.1216784982021477E-6</v>
      </c>
      <c r="Z2920" s="11">
        <f t="shared" si="91"/>
        <v>1.355813752455893E-6</v>
      </c>
    </row>
    <row r="2921" spans="1:26" x14ac:dyDescent="0.2">
      <c r="A2921" s="45">
        <v>509</v>
      </c>
      <c r="B2921" s="45">
        <v>2004</v>
      </c>
      <c r="C2921" s="17">
        <v>0</v>
      </c>
      <c r="D2921" s="14">
        <v>0.1073972</v>
      </c>
      <c r="E2921" s="14">
        <v>0.66643379999999997</v>
      </c>
      <c r="F2921" s="14">
        <v>8.6019700000000004E-2</v>
      </c>
      <c r="G2921" s="14">
        <v>6.1150320000000002</v>
      </c>
      <c r="H2921" s="14">
        <v>0.32794089999999998</v>
      </c>
      <c r="R2921" s="11">
        <f t="shared" si="92"/>
        <v>8.7815558209347595E-7</v>
      </c>
      <c r="Z2921" s="11">
        <f t="shared" si="91"/>
        <v>1.055381175380284E-6</v>
      </c>
    </row>
    <row r="2922" spans="1:26" x14ac:dyDescent="0.2">
      <c r="A2922" s="45">
        <v>510</v>
      </c>
      <c r="B2922" s="45">
        <v>1995</v>
      </c>
      <c r="C2922" s="17">
        <v>0</v>
      </c>
      <c r="D2922" s="14">
        <v>0.21094969999999999</v>
      </c>
      <c r="E2922" s="14">
        <v>-0.46342680000000003</v>
      </c>
      <c r="F2922" s="14">
        <v>7.4765399999999996E-2</v>
      </c>
      <c r="G2922" s="14">
        <v>0.49512119999999998</v>
      </c>
      <c r="H2922" s="14">
        <v>0.59917750000000003</v>
      </c>
      <c r="R2922" s="11">
        <f t="shared" si="92"/>
        <v>3.708618390978486E-2</v>
      </c>
      <c r="Z2922" s="11">
        <f t="shared" si="91"/>
        <v>4.7557943245197236E-2</v>
      </c>
    </row>
    <row r="2923" spans="1:26" x14ac:dyDescent="0.2">
      <c r="A2923" s="45">
        <v>510</v>
      </c>
      <c r="B2923" s="45">
        <v>1996</v>
      </c>
      <c r="C2923" s="17">
        <v>0</v>
      </c>
      <c r="D2923" s="14">
        <v>9.6296400000000004E-2</v>
      </c>
      <c r="E2923" s="14">
        <v>-0.80477010000000004</v>
      </c>
      <c r="F2923" s="14">
        <v>5.3580599999999999E-2</v>
      </c>
      <c r="G2923" s="14">
        <v>0.4066767</v>
      </c>
      <c r="H2923" s="14">
        <v>0.71397549999999999</v>
      </c>
      <c r="R2923" s="11">
        <f t="shared" si="92"/>
        <v>7.9438835247475068E-2</v>
      </c>
      <c r="Z2923" s="11">
        <f t="shared" si="91"/>
        <v>9.8192204036523428E-2</v>
      </c>
    </row>
    <row r="2924" spans="1:26" x14ac:dyDescent="0.2">
      <c r="A2924" s="45">
        <v>510</v>
      </c>
      <c r="B2924" s="45">
        <v>1997</v>
      </c>
      <c r="C2924" s="17">
        <v>0</v>
      </c>
      <c r="D2924" s="14">
        <v>8.3901100000000006E-2</v>
      </c>
      <c r="E2924" s="14">
        <v>-1.0244059999999999</v>
      </c>
      <c r="F2924" s="14">
        <v>7.4526200000000001E-2</v>
      </c>
      <c r="G2924" s="14">
        <v>0.18556039999999999</v>
      </c>
      <c r="H2924" s="14">
        <v>0.67760739999999997</v>
      </c>
      <c r="R2924" s="11">
        <f t="shared" si="92"/>
        <v>0.12501025425124443</v>
      </c>
      <c r="Z2924" s="11">
        <f t="shared" si="91"/>
        <v>0.15462403758579168</v>
      </c>
    </row>
    <row r="2925" spans="1:26" x14ac:dyDescent="0.2">
      <c r="A2925" s="45">
        <v>511</v>
      </c>
      <c r="B2925" s="45">
        <v>2002</v>
      </c>
      <c r="C2925" s="17">
        <v>0</v>
      </c>
      <c r="D2925" s="14">
        <v>0.2395109</v>
      </c>
      <c r="E2925" s="14">
        <v>0.2810802</v>
      </c>
      <c r="F2925" s="14">
        <v>5.6000099999999997E-2</v>
      </c>
      <c r="G2925" s="14">
        <v>0.65496529999999997</v>
      </c>
      <c r="H2925" s="14">
        <v>0.2275498</v>
      </c>
      <c r="R2925" s="11">
        <f t="shared" si="92"/>
        <v>1.1613910413887669E-2</v>
      </c>
      <c r="Z2925" s="11">
        <f t="shared" si="91"/>
        <v>1.5103444004838099E-2</v>
      </c>
    </row>
    <row r="2926" spans="1:26" x14ac:dyDescent="0.2">
      <c r="A2926" s="45">
        <v>511</v>
      </c>
      <c r="B2926" s="45">
        <v>2003</v>
      </c>
      <c r="C2926" s="17">
        <v>0</v>
      </c>
      <c r="D2926" s="14">
        <v>0.22029899999999999</v>
      </c>
      <c r="E2926" s="14">
        <v>0.28352759999999999</v>
      </c>
      <c r="F2926" s="14">
        <v>4.3788599999999997E-2</v>
      </c>
      <c r="G2926" s="14">
        <v>0.54332139999999995</v>
      </c>
      <c r="H2926" s="14">
        <v>0.20013839999999999</v>
      </c>
      <c r="R2926" s="11">
        <f t="shared" si="92"/>
        <v>1.5189679617981856E-2</v>
      </c>
      <c r="Z2926" s="11">
        <f t="shared" si="91"/>
        <v>1.958822353349229E-2</v>
      </c>
    </row>
    <row r="2927" spans="1:26" x14ac:dyDescent="0.2">
      <c r="A2927" s="45">
        <v>511</v>
      </c>
      <c r="B2927" s="45">
        <v>2004</v>
      </c>
      <c r="C2927" s="17">
        <v>0</v>
      </c>
      <c r="D2927" s="14">
        <v>0.26157999999999998</v>
      </c>
      <c r="E2927" s="14">
        <v>0.2748004</v>
      </c>
      <c r="F2927" s="14">
        <v>3.8847600000000003E-2</v>
      </c>
      <c r="G2927" s="14">
        <v>0.51609369999999999</v>
      </c>
      <c r="H2927" s="14">
        <v>0.21653600000000001</v>
      </c>
      <c r="R2927" s="11">
        <f t="shared" si="92"/>
        <v>1.6688107064274517E-2</v>
      </c>
      <c r="Z2927" s="11">
        <f t="shared" si="91"/>
        <v>2.1432296518171291E-2</v>
      </c>
    </row>
    <row r="2928" spans="1:26" x14ac:dyDescent="0.2">
      <c r="A2928" s="45">
        <v>512</v>
      </c>
      <c r="B2928" s="45">
        <v>1995</v>
      </c>
      <c r="C2928" s="17">
        <v>0</v>
      </c>
      <c r="D2928" s="14">
        <v>0.1175322</v>
      </c>
      <c r="E2928" s="14">
        <v>0.57557789999999998</v>
      </c>
      <c r="F2928" s="14">
        <v>8.8684700000000005E-2</v>
      </c>
      <c r="G2928" s="14">
        <v>5.5771949999999997</v>
      </c>
      <c r="H2928" s="14">
        <v>0.24915780000000001</v>
      </c>
      <c r="R2928" s="11">
        <f t="shared" si="92"/>
        <v>2.3116229555722105E-6</v>
      </c>
      <c r="Z2928" s="11">
        <f t="shared" si="91"/>
        <v>2.8086311113186927E-6</v>
      </c>
    </row>
    <row r="2929" spans="1:26" x14ac:dyDescent="0.2">
      <c r="A2929" s="45">
        <v>512</v>
      </c>
      <c r="B2929" s="45">
        <v>1996</v>
      </c>
      <c r="C2929" s="17">
        <v>0</v>
      </c>
      <c r="D2929" s="14">
        <v>8.3185700000000001E-2</v>
      </c>
      <c r="E2929" s="14">
        <v>0.5841092</v>
      </c>
      <c r="F2929" s="14">
        <v>8.9909000000000003E-2</v>
      </c>
      <c r="G2929" s="14">
        <v>6.970256</v>
      </c>
      <c r="H2929" s="14">
        <v>0.25032529999999997</v>
      </c>
      <c r="R2929" s="11">
        <f t="shared" si="92"/>
        <v>2.455585283436871E-7</v>
      </c>
      <c r="Z2929" s="11">
        <f t="shared" si="91"/>
        <v>2.8971627346591117E-7</v>
      </c>
    </row>
    <row r="2930" spans="1:26" x14ac:dyDescent="0.2">
      <c r="A2930" s="45">
        <v>512</v>
      </c>
      <c r="B2930" s="45">
        <v>1997</v>
      </c>
      <c r="C2930" s="17">
        <v>0</v>
      </c>
      <c r="D2930" s="14">
        <v>0.13573950000000001</v>
      </c>
      <c r="E2930" s="14">
        <v>0.63183920000000005</v>
      </c>
      <c r="F2930" s="14">
        <v>8.1319699999999995E-2</v>
      </c>
      <c r="G2930" s="14">
        <v>13.06629</v>
      </c>
      <c r="H2930" s="14">
        <v>0.23695920000000001</v>
      </c>
      <c r="R2930" s="11">
        <f t="shared" si="92"/>
        <v>1.4820217301235998E-11</v>
      </c>
      <c r="Z2930" s="11">
        <f t="shared" si="91"/>
        <v>1.5206329467119589E-11</v>
      </c>
    </row>
    <row r="2931" spans="1:26" x14ac:dyDescent="0.2">
      <c r="A2931" s="45">
        <v>512</v>
      </c>
      <c r="B2931" s="45">
        <v>1998</v>
      </c>
      <c r="C2931" s="17">
        <v>0</v>
      </c>
      <c r="D2931" s="14">
        <v>0.1740525</v>
      </c>
      <c r="E2931" s="14">
        <v>0.64163800000000004</v>
      </c>
      <c r="F2931" s="14">
        <v>8.4804199999999996E-2</v>
      </c>
      <c r="G2931" s="14">
        <v>17.12415</v>
      </c>
      <c r="H2931" s="14">
        <v>0.2303374</v>
      </c>
      <c r="R2931" s="11">
        <f t="shared" si="92"/>
        <v>2.2088232117657203E-14</v>
      </c>
      <c r="Z2931" s="11">
        <f t="shared" si="91"/>
        <v>2.0792599711394182E-14</v>
      </c>
    </row>
    <row r="2932" spans="1:26" x14ac:dyDescent="0.2">
      <c r="A2932" s="45">
        <v>512</v>
      </c>
      <c r="B2932" s="45">
        <v>1999</v>
      </c>
      <c r="C2932" s="17">
        <v>0</v>
      </c>
      <c r="D2932" s="14">
        <v>0.13769239999999999</v>
      </c>
      <c r="E2932" s="14">
        <v>0.66951119999999997</v>
      </c>
      <c r="F2932" s="14">
        <v>0.12585360000000001</v>
      </c>
      <c r="G2932" s="14">
        <v>10.77158</v>
      </c>
      <c r="H2932" s="14">
        <v>0.40687190000000001</v>
      </c>
      <c r="R2932" s="11">
        <f t="shared" si="92"/>
        <v>3.8062843715333639E-10</v>
      </c>
      <c r="Z2932" s="11">
        <f t="shared" si="91"/>
        <v>4.2661045299781046E-10</v>
      </c>
    </row>
    <row r="2933" spans="1:26" x14ac:dyDescent="0.2">
      <c r="A2933" s="45">
        <v>512</v>
      </c>
      <c r="B2933" s="45">
        <v>2000</v>
      </c>
      <c r="C2933" s="17">
        <v>0</v>
      </c>
      <c r="D2933" s="14">
        <v>0.17898359999999999</v>
      </c>
      <c r="E2933" s="14">
        <v>0.55915930000000003</v>
      </c>
      <c r="F2933" s="14">
        <v>0.1018922</v>
      </c>
      <c r="G2933" s="14">
        <v>16.67388</v>
      </c>
      <c r="H2933" s="14">
        <v>0.28188570000000002</v>
      </c>
      <c r="R2933" s="11">
        <f t="shared" si="92"/>
        <v>4.451518880607682E-14</v>
      </c>
      <c r="Z2933" s="11">
        <f t="shared" si="91"/>
        <v>4.2797431755514777E-14</v>
      </c>
    </row>
    <row r="2934" spans="1:26" x14ac:dyDescent="0.2">
      <c r="A2934" s="45">
        <v>512</v>
      </c>
      <c r="B2934" s="45">
        <v>2001</v>
      </c>
      <c r="C2934" s="17">
        <v>0</v>
      </c>
      <c r="D2934" s="14">
        <v>0.1576079</v>
      </c>
      <c r="E2934" s="14">
        <v>0.6121316</v>
      </c>
      <c r="F2934" s="14">
        <v>0.1040456</v>
      </c>
      <c r="G2934" s="14">
        <v>12.05288</v>
      </c>
      <c r="H2934" s="14">
        <v>0.2290469</v>
      </c>
      <c r="R2934" s="11">
        <f t="shared" si="92"/>
        <v>6.3932383774994607E-11</v>
      </c>
      <c r="Z2934" s="11">
        <f t="shared" si="91"/>
        <v>6.829352782648457E-11</v>
      </c>
    </row>
    <row r="2935" spans="1:26" x14ac:dyDescent="0.2">
      <c r="A2935" s="45">
        <v>512</v>
      </c>
      <c r="B2935" s="45">
        <v>2002</v>
      </c>
      <c r="C2935" s="17">
        <v>0</v>
      </c>
      <c r="D2935" s="14">
        <v>0.1605596</v>
      </c>
      <c r="E2935" s="14">
        <v>0.65037789999999995</v>
      </c>
      <c r="F2935" s="14">
        <v>0.112193</v>
      </c>
      <c r="G2935" s="14">
        <v>7.1677710000000001</v>
      </c>
      <c r="H2935" s="14">
        <v>0.23428389999999999</v>
      </c>
      <c r="R2935" s="11">
        <f t="shared" si="92"/>
        <v>1.3620615352167838E-7</v>
      </c>
      <c r="Z2935" s="11">
        <f t="shared" si="91"/>
        <v>1.6332211422145081E-7</v>
      </c>
    </row>
    <row r="2936" spans="1:26" x14ac:dyDescent="0.2">
      <c r="A2936" s="45">
        <v>512</v>
      </c>
      <c r="B2936" s="45">
        <v>2003</v>
      </c>
      <c r="C2936" s="17">
        <v>0</v>
      </c>
      <c r="D2936" s="14">
        <v>7.5074399999999999E-2</v>
      </c>
      <c r="E2936" s="14">
        <v>0.28512379999999998</v>
      </c>
      <c r="F2936" s="14">
        <v>4.5853999999999999E-2</v>
      </c>
      <c r="G2936" s="14">
        <v>5.2845680000000002</v>
      </c>
      <c r="H2936" s="14">
        <v>0.1620259</v>
      </c>
      <c r="R2936" s="11">
        <f t="shared" si="92"/>
        <v>7.9185215723184967E-6</v>
      </c>
      <c r="Z2936" s="11">
        <f t="shared" si="91"/>
        <v>9.2565472892066762E-6</v>
      </c>
    </row>
    <row r="2937" spans="1:26" x14ac:dyDescent="0.2">
      <c r="A2937" s="45">
        <v>512</v>
      </c>
      <c r="B2937" s="45">
        <v>2004</v>
      </c>
      <c r="C2937" s="17">
        <v>0</v>
      </c>
      <c r="D2937" s="14">
        <v>0.1354542</v>
      </c>
      <c r="E2937" s="14">
        <v>0.32737749999999999</v>
      </c>
      <c r="F2937" s="14">
        <v>6.9381499999999999E-2</v>
      </c>
      <c r="G2937" s="14">
        <v>3.6836820000000001</v>
      </c>
      <c r="H2937" s="14">
        <v>0.1590656</v>
      </c>
      <c r="R2937" s="11">
        <f t="shared" si="92"/>
        <v>7.9095847187523572E-5</v>
      </c>
      <c r="Z2937" s="11">
        <f t="shared" si="91"/>
        <v>9.7783611974970654E-5</v>
      </c>
    </row>
    <row r="2938" spans="1:26" x14ac:dyDescent="0.2">
      <c r="A2938" s="45">
        <v>513</v>
      </c>
      <c r="B2938" s="45">
        <v>1995</v>
      </c>
      <c r="C2938" s="17">
        <v>0</v>
      </c>
      <c r="D2938" s="14">
        <v>0.22749659999999999</v>
      </c>
      <c r="E2938" s="14">
        <v>0.51594249999999997</v>
      </c>
      <c r="F2938" s="14">
        <v>8.5109199999999996E-2</v>
      </c>
      <c r="G2938" s="14">
        <v>2.2071290000000001</v>
      </c>
      <c r="H2938" s="14">
        <v>0.26772390000000001</v>
      </c>
      <c r="R2938" s="11">
        <f t="shared" si="92"/>
        <v>5.5736707683951361E-4</v>
      </c>
      <c r="Z2938" s="11">
        <f t="shared" si="91"/>
        <v>7.2563121028433543E-4</v>
      </c>
    </row>
    <row r="2939" spans="1:26" x14ac:dyDescent="0.2">
      <c r="A2939" s="45">
        <v>513</v>
      </c>
      <c r="B2939" s="45">
        <v>1996</v>
      </c>
      <c r="C2939" s="17">
        <v>0</v>
      </c>
      <c r="D2939" s="14">
        <v>0.16765630000000001</v>
      </c>
      <c r="E2939" s="14">
        <v>0.51564759999999998</v>
      </c>
      <c r="F2939" s="14">
        <v>7.77944E-2</v>
      </c>
      <c r="G2939" s="14">
        <v>2.148542</v>
      </c>
      <c r="H2939" s="14">
        <v>0.23700940000000001</v>
      </c>
      <c r="R2939" s="11">
        <f t="shared" si="92"/>
        <v>6.4900250205140466E-4</v>
      </c>
      <c r="Z2939" s="11">
        <f t="shared" si="91"/>
        <v>8.4093540908332951E-4</v>
      </c>
    </row>
    <row r="2940" spans="1:26" x14ac:dyDescent="0.2">
      <c r="A2940" s="45">
        <v>513</v>
      </c>
      <c r="B2940" s="45">
        <v>1997</v>
      </c>
      <c r="C2940" s="17">
        <v>0</v>
      </c>
      <c r="D2940" s="14">
        <v>9.1721999999999998E-2</v>
      </c>
      <c r="E2940" s="14">
        <v>0.46357179999999998</v>
      </c>
      <c r="F2940" s="14">
        <v>5.83054E-2</v>
      </c>
      <c r="G2940" s="14">
        <v>1.520618</v>
      </c>
      <c r="H2940" s="14">
        <v>0.20217769999999999</v>
      </c>
      <c r="R2940" s="11">
        <f t="shared" si="92"/>
        <v>2.2219276179903714E-3</v>
      </c>
      <c r="Z2940" s="11">
        <f t="shared" si="91"/>
        <v>2.8664289039724011E-3</v>
      </c>
    </row>
    <row r="2941" spans="1:26" x14ac:dyDescent="0.2">
      <c r="A2941" s="45">
        <v>513</v>
      </c>
      <c r="B2941" s="45">
        <v>1998</v>
      </c>
      <c r="C2941" s="17">
        <v>0</v>
      </c>
      <c r="D2941" s="14">
        <v>8.8458099999999998E-2</v>
      </c>
      <c r="E2941" s="14">
        <v>0.47214929999999999</v>
      </c>
      <c r="F2941" s="14">
        <v>2.5732499999999998E-2</v>
      </c>
      <c r="G2941" s="14">
        <v>1.237098</v>
      </c>
      <c r="H2941" s="14">
        <v>0.17295469999999999</v>
      </c>
      <c r="R2941" s="11">
        <f t="shared" si="92"/>
        <v>4.4638970303565711E-3</v>
      </c>
      <c r="Z2941" s="11">
        <f t="shared" si="91"/>
        <v>5.6407377759635172E-3</v>
      </c>
    </row>
    <row r="2942" spans="1:26" x14ac:dyDescent="0.2">
      <c r="A2942" s="45">
        <v>513</v>
      </c>
      <c r="B2942" s="45">
        <v>1999</v>
      </c>
      <c r="C2942" s="17">
        <v>0</v>
      </c>
      <c r="D2942" s="14">
        <v>4.6462999999999997E-2</v>
      </c>
      <c r="E2942" s="14">
        <v>0.23798459999999999</v>
      </c>
      <c r="F2942" s="14">
        <v>3.9110399999999997E-2</v>
      </c>
      <c r="G2942" s="14">
        <v>1.0582530000000001</v>
      </c>
      <c r="H2942" s="14">
        <v>0.14097519999999999</v>
      </c>
      <c r="R2942" s="11">
        <f t="shared" si="92"/>
        <v>7.4742944654500503E-3</v>
      </c>
      <c r="Z2942" s="11">
        <f t="shared" si="91"/>
        <v>9.5017726369269941E-3</v>
      </c>
    </row>
    <row r="2943" spans="1:26" x14ac:dyDescent="0.2">
      <c r="A2943" s="45">
        <v>513</v>
      </c>
      <c r="B2943" s="45">
        <v>2000</v>
      </c>
      <c r="C2943" s="17">
        <v>0</v>
      </c>
      <c r="D2943" s="14">
        <v>4.7779599999999998E-2</v>
      </c>
      <c r="E2943" s="14">
        <v>0.2245848</v>
      </c>
      <c r="F2943" s="14">
        <v>2.6497799999999998E-2</v>
      </c>
      <c r="G2943" s="14">
        <v>0.96887489999999998</v>
      </c>
      <c r="H2943" s="14">
        <v>0.17117060000000001</v>
      </c>
      <c r="R2943" s="11">
        <f t="shared" si="92"/>
        <v>9.6990760041986215E-3</v>
      </c>
      <c r="Z2943" s="11">
        <f t="shared" si="91"/>
        <v>1.2215555031003997E-2</v>
      </c>
    </row>
    <row r="2944" spans="1:26" x14ac:dyDescent="0.2">
      <c r="A2944" s="45">
        <v>513</v>
      </c>
      <c r="B2944" s="45">
        <v>2001</v>
      </c>
      <c r="C2944" s="17">
        <v>0</v>
      </c>
      <c r="D2944" s="14">
        <v>8.4611900000000004E-2</v>
      </c>
      <c r="E2944" s="14">
        <v>0.1990295</v>
      </c>
      <c r="F2944" s="14">
        <v>4.8365400000000003E-2</v>
      </c>
      <c r="G2944" s="14">
        <v>0.54852999999999996</v>
      </c>
      <c r="H2944" s="14">
        <v>0.1488756</v>
      </c>
      <c r="R2944" s="11">
        <f t="shared" si="92"/>
        <v>1.6400913651931519E-2</v>
      </c>
      <c r="Z2944" s="11">
        <f t="shared" si="91"/>
        <v>2.1158003021304678E-2</v>
      </c>
    </row>
    <row r="2945" spans="1:26" x14ac:dyDescent="0.2">
      <c r="A2945" s="45">
        <v>513</v>
      </c>
      <c r="B2945" s="45">
        <v>2002</v>
      </c>
      <c r="C2945" s="17">
        <v>0</v>
      </c>
      <c r="D2945" s="14">
        <v>0.1118079</v>
      </c>
      <c r="E2945" s="14">
        <v>0.13663459999999999</v>
      </c>
      <c r="F2945" s="14">
        <v>2.88921E-2</v>
      </c>
      <c r="G2945" s="14">
        <v>0.71160630000000002</v>
      </c>
      <c r="H2945" s="14">
        <v>0.16983760000000001</v>
      </c>
      <c r="R2945" s="11">
        <f t="shared" si="92"/>
        <v>1.6186365569353236E-2</v>
      </c>
      <c r="Z2945" s="11">
        <f t="shared" si="91"/>
        <v>2.0443599690703411E-2</v>
      </c>
    </row>
    <row r="2946" spans="1:26" x14ac:dyDescent="0.2">
      <c r="A2946" s="45">
        <v>513</v>
      </c>
      <c r="B2946" s="45">
        <v>2003</v>
      </c>
      <c r="C2946" s="17">
        <v>0</v>
      </c>
      <c r="D2946" s="14">
        <v>0.1416684</v>
      </c>
      <c r="E2946" s="14">
        <v>0.14516409999999999</v>
      </c>
      <c r="F2946" s="14">
        <v>6.2881199999999998E-2</v>
      </c>
      <c r="G2946" s="14">
        <v>1.649713</v>
      </c>
      <c r="H2946" s="14">
        <v>0.18980739999999999</v>
      </c>
      <c r="R2946" s="11">
        <f t="shared" si="92"/>
        <v>2.7689576428155788E-3</v>
      </c>
      <c r="Z2946" s="11">
        <f t="shared" ref="Z2946:Z3009" si="93">1/(1+EXP(-(U$2+$V$2*E2946+$W$2*F2946+$X$2*G2946)))</f>
        <v>3.5361319166692553E-3</v>
      </c>
    </row>
    <row r="2947" spans="1:26" x14ac:dyDescent="0.2">
      <c r="A2947" s="45">
        <v>513</v>
      </c>
      <c r="B2947" s="45">
        <v>2004</v>
      </c>
      <c r="C2947" s="17">
        <v>0</v>
      </c>
      <c r="D2947" s="14">
        <v>0.19737270000000001</v>
      </c>
      <c r="E2947" s="14">
        <v>0.25238630000000001</v>
      </c>
      <c r="F2947" s="14">
        <v>9.0243199999999996E-2</v>
      </c>
      <c r="G2947" s="14">
        <v>2.2440980000000001</v>
      </c>
      <c r="H2947" s="14">
        <v>0.26364880000000002</v>
      </c>
      <c r="R2947" s="11">
        <f t="shared" si="92"/>
        <v>7.397238746099556E-4</v>
      </c>
      <c r="Z2947" s="11">
        <f t="shared" si="93"/>
        <v>9.5757655664944683E-4</v>
      </c>
    </row>
    <row r="2948" spans="1:26" x14ac:dyDescent="0.2">
      <c r="A2948" s="45">
        <v>514</v>
      </c>
      <c r="B2948" s="45">
        <v>2000</v>
      </c>
      <c r="C2948" s="17">
        <v>0</v>
      </c>
      <c r="D2948" s="14">
        <v>1.67952E-2</v>
      </c>
      <c r="E2948" s="14">
        <v>3.37603E-2</v>
      </c>
      <c r="F2948" s="14">
        <v>4.5730800000000002E-2</v>
      </c>
      <c r="G2948" s="14">
        <v>0.85800869999999996</v>
      </c>
      <c r="H2948" s="14">
        <v>0.12587409999999999</v>
      </c>
      <c r="R2948" s="11">
        <f t="shared" si="92"/>
        <v>1.305187536157478E-2</v>
      </c>
      <c r="Z2948" s="11">
        <f t="shared" si="93"/>
        <v>1.6613349156792304E-2</v>
      </c>
    </row>
    <row r="2949" spans="1:26" x14ac:dyDescent="0.2">
      <c r="A2949" s="45">
        <v>514</v>
      </c>
      <c r="B2949" s="45">
        <v>2001</v>
      </c>
      <c r="C2949" s="17">
        <v>0</v>
      </c>
      <c r="D2949" s="14">
        <v>-2.9445999999999999E-3</v>
      </c>
      <c r="E2949" s="14">
        <v>5.1396600000000001E-2</v>
      </c>
      <c r="F2949" s="14">
        <v>2.9228500000000001E-2</v>
      </c>
      <c r="G2949" s="14">
        <v>0.6116374</v>
      </c>
      <c r="H2949" s="14">
        <v>0.1152541</v>
      </c>
      <c r="R2949" s="11">
        <f t="shared" si="92"/>
        <v>2.1316843024205528E-2</v>
      </c>
      <c r="Z2949" s="11">
        <f t="shared" si="93"/>
        <v>2.6874959209015805E-2</v>
      </c>
    </row>
    <row r="2950" spans="1:26" x14ac:dyDescent="0.2">
      <c r="A2950" s="45">
        <v>514</v>
      </c>
      <c r="B2950" s="45">
        <v>2002</v>
      </c>
      <c r="C2950" s="17">
        <v>0</v>
      </c>
      <c r="D2950" s="14">
        <v>-2.9298999999999999E-2</v>
      </c>
      <c r="E2950" s="14">
        <v>3.7110400000000002E-2</v>
      </c>
      <c r="F2950" s="14">
        <v>3.9970400000000003E-2</v>
      </c>
      <c r="G2950" s="14">
        <v>0.60527399999999998</v>
      </c>
      <c r="H2950" s="14">
        <v>0.12429220000000001</v>
      </c>
      <c r="R2950" s="11">
        <f t="shared" si="92"/>
        <v>2.019888053286617E-2</v>
      </c>
      <c r="Z2950" s="11">
        <f t="shared" si="93"/>
        <v>2.5683835444288945E-2</v>
      </c>
    </row>
    <row r="2951" spans="1:26" x14ac:dyDescent="0.2">
      <c r="A2951" s="45">
        <v>514</v>
      </c>
      <c r="B2951" s="45">
        <v>2003</v>
      </c>
      <c r="C2951" s="17">
        <v>0</v>
      </c>
      <c r="D2951" s="14">
        <v>-4.4558999999999996E-3</v>
      </c>
      <c r="E2951" s="14">
        <v>6.4236600000000005E-2</v>
      </c>
      <c r="F2951" s="14">
        <v>5.1058699999999999E-2</v>
      </c>
      <c r="G2951" s="14">
        <v>0.6827664</v>
      </c>
      <c r="H2951" s="14">
        <v>0.1139854</v>
      </c>
      <c r="R2951" s="11">
        <f t="shared" si="92"/>
        <v>1.5776183552586989E-2</v>
      </c>
      <c r="Z2951" s="11">
        <f t="shared" si="93"/>
        <v>2.0249037985281559E-2</v>
      </c>
    </row>
    <row r="2952" spans="1:26" x14ac:dyDescent="0.2">
      <c r="A2952" s="45">
        <v>514</v>
      </c>
      <c r="B2952" s="45">
        <v>2004</v>
      </c>
      <c r="C2952" s="17">
        <v>0</v>
      </c>
      <c r="D2952" s="14">
        <v>1.09027E-2</v>
      </c>
      <c r="E2952" s="14">
        <v>7.2898099999999993E-2</v>
      </c>
      <c r="F2952" s="14">
        <v>3.07073E-2</v>
      </c>
      <c r="G2952" s="14">
        <v>0.91868249999999996</v>
      </c>
      <c r="H2952" s="14">
        <v>0.1010592</v>
      </c>
      <c r="R2952" s="11">
        <f t="shared" si="92"/>
        <v>1.2628273459919442E-2</v>
      </c>
      <c r="Z2952" s="11">
        <f t="shared" si="93"/>
        <v>1.5882492299531332E-2</v>
      </c>
    </row>
    <row r="2953" spans="1:26" x14ac:dyDescent="0.2">
      <c r="A2953" s="45">
        <v>515</v>
      </c>
      <c r="B2953" s="45">
        <v>1995</v>
      </c>
      <c r="C2953" s="17">
        <v>0</v>
      </c>
      <c r="D2953" s="14">
        <v>-5.5183000000000003E-3</v>
      </c>
      <c r="E2953" s="14">
        <v>0.1026589</v>
      </c>
      <c r="F2953" s="14">
        <v>5.2058899999999998E-2</v>
      </c>
      <c r="G2953" s="14">
        <v>0.73564130000000005</v>
      </c>
      <c r="H2953" s="14">
        <v>8.0764900000000001E-2</v>
      </c>
      <c r="R2953" s="11">
        <f t="shared" si="92"/>
        <v>1.3633735127815166E-2</v>
      </c>
      <c r="Z2953" s="11">
        <f t="shared" si="93"/>
        <v>1.7526707776805896E-2</v>
      </c>
    </row>
    <row r="2954" spans="1:26" x14ac:dyDescent="0.2">
      <c r="A2954" s="45">
        <v>515</v>
      </c>
      <c r="B2954" s="45">
        <v>1996</v>
      </c>
      <c r="C2954" s="17">
        <v>0</v>
      </c>
      <c r="D2954" s="14">
        <v>4.3090000000000001E-4</v>
      </c>
      <c r="E2954" s="14">
        <v>0.1121973</v>
      </c>
      <c r="F2954" s="14">
        <v>5.4764E-2</v>
      </c>
      <c r="G2954" s="14">
        <v>0.97578719999999997</v>
      </c>
      <c r="H2954" s="14">
        <v>8.0954799999999993E-2</v>
      </c>
      <c r="R2954" s="11">
        <f t="shared" si="92"/>
        <v>9.0161313820557899E-3</v>
      </c>
      <c r="Z2954" s="11">
        <f t="shared" si="93"/>
        <v>1.1574673481094247E-2</v>
      </c>
    </row>
    <row r="2955" spans="1:26" x14ac:dyDescent="0.2">
      <c r="A2955" s="45">
        <v>515</v>
      </c>
      <c r="B2955" s="45">
        <v>1997</v>
      </c>
      <c r="C2955" s="17">
        <v>0</v>
      </c>
      <c r="D2955" s="14">
        <v>-4.8530999999999999E-3</v>
      </c>
      <c r="E2955" s="14">
        <v>0.1146027</v>
      </c>
      <c r="F2955" s="14">
        <v>4.7222300000000002E-2</v>
      </c>
      <c r="G2955" s="14">
        <v>1.3978330000000001</v>
      </c>
      <c r="H2955" s="14">
        <v>8.9884099999999995E-2</v>
      </c>
      <c r="R2955" s="11">
        <f t="shared" si="92"/>
        <v>4.8911550311136025E-3</v>
      </c>
      <c r="Z2955" s="11">
        <f t="shared" si="93"/>
        <v>6.1911260647471607E-3</v>
      </c>
    </row>
    <row r="2956" spans="1:26" x14ac:dyDescent="0.2">
      <c r="A2956" s="45">
        <v>516</v>
      </c>
      <c r="B2956" s="45">
        <v>1995</v>
      </c>
      <c r="C2956" s="17">
        <v>0</v>
      </c>
      <c r="D2956" s="14">
        <v>7.7103000000000005E-2</v>
      </c>
      <c r="E2956" s="14">
        <v>0.23050109999999999</v>
      </c>
      <c r="F2956" s="14">
        <v>5.6592200000000002E-2</v>
      </c>
      <c r="G2956" s="14">
        <v>1.321358</v>
      </c>
      <c r="H2956" s="14">
        <v>0.107289</v>
      </c>
      <c r="R2956" s="11">
        <f t="shared" si="92"/>
        <v>4.333561487247878E-3</v>
      </c>
      <c r="Z2956" s="11">
        <f t="shared" si="93"/>
        <v>5.5594025481423299E-3</v>
      </c>
    </row>
    <row r="2957" spans="1:26" x14ac:dyDescent="0.2">
      <c r="A2957" s="45">
        <v>516</v>
      </c>
      <c r="B2957" s="45">
        <v>1996</v>
      </c>
      <c r="C2957" s="17">
        <v>0</v>
      </c>
      <c r="D2957" s="14">
        <v>7.4228600000000006E-2</v>
      </c>
      <c r="E2957" s="14">
        <v>0.2354638</v>
      </c>
      <c r="F2957" s="14">
        <v>5.7719100000000002E-2</v>
      </c>
      <c r="G2957" s="14">
        <v>0.96247519999999998</v>
      </c>
      <c r="H2957" s="14">
        <v>6.7580799999999996E-2</v>
      </c>
      <c r="R2957" s="11">
        <f t="shared" si="92"/>
        <v>7.5297212880655415E-3</v>
      </c>
      <c r="Z2957" s="11">
        <f t="shared" si="93"/>
        <v>9.7372721126664733E-3</v>
      </c>
    </row>
    <row r="2958" spans="1:26" x14ac:dyDescent="0.2">
      <c r="A2958" s="45">
        <v>516</v>
      </c>
      <c r="B2958" s="45">
        <v>1997</v>
      </c>
      <c r="C2958" s="17">
        <v>0</v>
      </c>
      <c r="D2958" s="14">
        <v>4.66624E-2</v>
      </c>
      <c r="E2958" s="14">
        <v>0.1941862</v>
      </c>
      <c r="F2958" s="14">
        <v>4.3776099999999998E-2</v>
      </c>
      <c r="G2958" s="14">
        <v>0.84179130000000002</v>
      </c>
      <c r="H2958" s="14">
        <v>8.0291500000000002E-2</v>
      </c>
      <c r="R2958" s="11">
        <f t="shared" si="92"/>
        <v>1.079873832827742E-2</v>
      </c>
      <c r="Z2958" s="11">
        <f t="shared" si="93"/>
        <v>1.3811784726032825E-2</v>
      </c>
    </row>
    <row r="2959" spans="1:26" x14ac:dyDescent="0.2">
      <c r="A2959" s="45">
        <v>516</v>
      </c>
      <c r="B2959" s="45">
        <v>1998</v>
      </c>
      <c r="C2959" s="17">
        <v>0</v>
      </c>
      <c r="D2959" s="14">
        <v>1.00184E-2</v>
      </c>
      <c r="E2959" s="14">
        <v>0.15796089999999999</v>
      </c>
      <c r="F2959" s="14">
        <v>8.6738000000000006E-3</v>
      </c>
      <c r="G2959" s="14">
        <v>0.70823959999999997</v>
      </c>
      <c r="H2959" s="14">
        <v>8.4429299999999999E-2</v>
      </c>
      <c r="R2959" s="11">
        <f t="shared" si="92"/>
        <v>1.8502319109093397E-2</v>
      </c>
      <c r="Z2959" s="11">
        <f t="shared" si="93"/>
        <v>2.2997266548236653E-2</v>
      </c>
    </row>
    <row r="2960" spans="1:26" x14ac:dyDescent="0.2">
      <c r="A2960" s="45">
        <v>516</v>
      </c>
      <c r="B2960" s="45">
        <v>1999</v>
      </c>
      <c r="C2960" s="17">
        <v>0</v>
      </c>
      <c r="D2960" s="14">
        <v>4.91785E-2</v>
      </c>
      <c r="E2960" s="14">
        <v>0.1629408</v>
      </c>
      <c r="F2960" s="14">
        <v>3.6035699999999997E-2</v>
      </c>
      <c r="G2960" s="14">
        <v>0.7414307</v>
      </c>
      <c r="H2960" s="14">
        <v>7.6252500000000001E-2</v>
      </c>
      <c r="R2960" s="11">
        <f t="shared" si="92"/>
        <v>1.4061033571091093E-2</v>
      </c>
      <c r="Z2960" s="11">
        <f t="shared" si="93"/>
        <v>1.7876162582825143E-2</v>
      </c>
    </row>
    <row r="2961" spans="1:26" x14ac:dyDescent="0.2">
      <c r="A2961" s="45">
        <v>516</v>
      </c>
      <c r="B2961" s="45">
        <v>2000</v>
      </c>
      <c r="C2961" s="17">
        <v>0</v>
      </c>
      <c r="D2961" s="14">
        <v>3.4545600000000003E-2</v>
      </c>
      <c r="E2961" s="14">
        <v>0.1253648</v>
      </c>
      <c r="F2961" s="14">
        <v>2.5348699999999998E-2</v>
      </c>
      <c r="G2961" s="14">
        <v>0.50520310000000002</v>
      </c>
      <c r="H2961" s="14">
        <v>7.3162500000000005E-2</v>
      </c>
      <c r="R2961" s="11">
        <f t="shared" si="92"/>
        <v>2.3348118017706868E-2</v>
      </c>
      <c r="Z2961" s="11">
        <f t="shared" si="93"/>
        <v>2.9468494385857996E-2</v>
      </c>
    </row>
    <row r="2962" spans="1:26" x14ac:dyDescent="0.2">
      <c r="A2962" s="45">
        <v>516</v>
      </c>
      <c r="B2962" s="45">
        <v>2001</v>
      </c>
      <c r="C2962" s="17">
        <v>0</v>
      </c>
      <c r="D2962" s="14">
        <v>1.1039500000000001E-2</v>
      </c>
      <c r="E2962" s="14">
        <v>0.14176359999999999</v>
      </c>
      <c r="F2962" s="14">
        <v>3.8502300000000003E-2</v>
      </c>
      <c r="G2962" s="14">
        <v>0.29631079999999999</v>
      </c>
      <c r="H2962" s="14">
        <v>8.6634900000000001E-2</v>
      </c>
      <c r="R2962" s="11">
        <f t="shared" si="92"/>
        <v>2.847653640361264E-2</v>
      </c>
      <c r="Z2962" s="11">
        <f t="shared" si="93"/>
        <v>3.6447677172939549E-2</v>
      </c>
    </row>
    <row r="2963" spans="1:26" x14ac:dyDescent="0.2">
      <c r="A2963" s="45">
        <v>516</v>
      </c>
      <c r="B2963" s="45">
        <v>2003</v>
      </c>
      <c r="C2963" s="17">
        <v>0</v>
      </c>
      <c r="D2963" s="14">
        <v>4.1386300000000001E-2</v>
      </c>
      <c r="E2963" s="14">
        <v>0.14560129999999999</v>
      </c>
      <c r="F2963" s="14">
        <v>4.0747999999999999E-2</v>
      </c>
      <c r="G2963" s="14">
        <v>2.9726279999999998</v>
      </c>
      <c r="H2963" s="14">
        <v>0.12434240000000001</v>
      </c>
      <c r="R2963" s="11">
        <f t="shared" si="92"/>
        <v>4.0214639921153057E-4</v>
      </c>
      <c r="Z2963" s="11">
        <f t="shared" si="93"/>
        <v>4.9019355267812602E-4</v>
      </c>
    </row>
    <row r="2964" spans="1:26" x14ac:dyDescent="0.2">
      <c r="A2964" s="45">
        <v>516</v>
      </c>
      <c r="B2964" s="45">
        <v>2004</v>
      </c>
      <c r="C2964" s="17">
        <v>0</v>
      </c>
      <c r="D2964" s="14">
        <v>3.7390399999999997E-2</v>
      </c>
      <c r="E2964" s="14">
        <v>-8.5824899999999996E-2</v>
      </c>
      <c r="F2964" s="14">
        <v>8.4075700000000003E-2</v>
      </c>
      <c r="G2964" s="14">
        <v>3.2889659999999998</v>
      </c>
      <c r="H2964" s="14">
        <v>0.14975340000000001</v>
      </c>
      <c r="R2964" s="11">
        <f t="shared" si="92"/>
        <v>2.405146740106691E-4</v>
      </c>
      <c r="Z2964" s="11">
        <f t="shared" si="93"/>
        <v>2.9928956976379355E-4</v>
      </c>
    </row>
    <row r="2965" spans="1:26" x14ac:dyDescent="0.2">
      <c r="A2965" s="45">
        <v>517</v>
      </c>
      <c r="B2965" s="45">
        <v>1995</v>
      </c>
      <c r="C2965" s="17">
        <v>0</v>
      </c>
      <c r="D2965" s="14">
        <v>0.12588679999999999</v>
      </c>
      <c r="E2965" s="14">
        <v>0.164351</v>
      </c>
      <c r="F2965" s="14">
        <v>5.4196899999999999E-2</v>
      </c>
      <c r="G2965" s="14">
        <v>0.53546769999999999</v>
      </c>
      <c r="H2965" s="14">
        <v>0.40418999999999999</v>
      </c>
      <c r="R2965" s="11">
        <f t="shared" si="92"/>
        <v>1.6802396556544488E-2</v>
      </c>
      <c r="Z2965" s="11">
        <f t="shared" si="93"/>
        <v>2.1755773410879496E-2</v>
      </c>
    </row>
    <row r="2966" spans="1:26" x14ac:dyDescent="0.2">
      <c r="A2966" s="45">
        <v>517</v>
      </c>
      <c r="B2966" s="45">
        <v>1996</v>
      </c>
      <c r="C2966" s="17">
        <v>0</v>
      </c>
      <c r="D2966" s="14">
        <v>8.8505E-2</v>
      </c>
      <c r="E2966" s="14">
        <v>0.15073549999999999</v>
      </c>
      <c r="F2966" s="14">
        <v>5.3894200000000003E-2</v>
      </c>
      <c r="G2966" s="14">
        <v>0.6041048</v>
      </c>
      <c r="H2966" s="14">
        <v>0.3859262</v>
      </c>
      <c r="R2966" s="11">
        <f t="shared" si="92"/>
        <v>1.542151893678257E-2</v>
      </c>
      <c r="Z2966" s="11">
        <f t="shared" si="93"/>
        <v>1.9932543880581719E-2</v>
      </c>
    </row>
    <row r="2967" spans="1:26" x14ac:dyDescent="0.2">
      <c r="A2967" s="45">
        <v>517</v>
      </c>
      <c r="B2967" s="45">
        <v>1997</v>
      </c>
      <c r="C2967" s="17">
        <v>0</v>
      </c>
      <c r="D2967" s="14">
        <v>0.1588784</v>
      </c>
      <c r="E2967" s="14">
        <v>0.2381267</v>
      </c>
      <c r="F2967" s="14">
        <v>6.1144299999999999E-2</v>
      </c>
      <c r="G2967" s="14">
        <v>1.1230929999999999</v>
      </c>
      <c r="H2967" s="14">
        <v>0.40283029999999997</v>
      </c>
      <c r="R2967" s="11">
        <f t="shared" ref="R2967:R3030" si="94">1/(1+EXP(-(K$2+$M$2*E2967+$N$2*F2967+$O$2*G2967)))</f>
        <v>5.6604861840721145E-3</v>
      </c>
      <c r="Z2967" s="11">
        <f t="shared" si="93"/>
        <v>7.3194241668938769E-3</v>
      </c>
    </row>
    <row r="2968" spans="1:26" x14ac:dyDescent="0.2">
      <c r="A2968" s="45">
        <v>517</v>
      </c>
      <c r="B2968" s="45">
        <v>1998</v>
      </c>
      <c r="C2968" s="17">
        <v>0</v>
      </c>
      <c r="D2968" s="14">
        <v>0.29212739999999998</v>
      </c>
      <c r="E2968" s="14">
        <v>0.40609050000000002</v>
      </c>
      <c r="F2968" s="14">
        <v>3.2899299999999999E-2</v>
      </c>
      <c r="G2968" s="14">
        <v>1.5328630000000001</v>
      </c>
      <c r="H2968" s="14">
        <v>0.27490690000000001</v>
      </c>
      <c r="R2968" s="11">
        <f t="shared" si="94"/>
        <v>2.9007950254658489E-3</v>
      </c>
      <c r="Z2968" s="11">
        <f t="shared" si="93"/>
        <v>3.656474527835686E-3</v>
      </c>
    </row>
    <row r="2969" spans="1:26" x14ac:dyDescent="0.2">
      <c r="A2969" s="45">
        <v>517</v>
      </c>
      <c r="B2969" s="45">
        <v>1999</v>
      </c>
      <c r="C2969" s="17">
        <v>0</v>
      </c>
      <c r="D2969" s="14">
        <v>0.22017149999999999</v>
      </c>
      <c r="E2969" s="14">
        <v>9.0263800000000005E-2</v>
      </c>
      <c r="F2969" s="14">
        <v>1.84222E-2</v>
      </c>
      <c r="G2969" s="14">
        <v>2.9420329999999999</v>
      </c>
      <c r="H2969" s="14">
        <v>0.30712709999999999</v>
      </c>
      <c r="R2969" s="11">
        <f t="shared" si="94"/>
        <v>5.4701408292826296E-4</v>
      </c>
      <c r="Z2969" s="11">
        <f t="shared" si="93"/>
        <v>6.5387511581831994E-4</v>
      </c>
    </row>
    <row r="2970" spans="1:26" x14ac:dyDescent="0.2">
      <c r="A2970" s="45">
        <v>517</v>
      </c>
      <c r="B2970" s="45">
        <v>2000</v>
      </c>
      <c r="C2970" s="17">
        <v>0</v>
      </c>
      <c r="D2970" s="14">
        <v>8.4274399999999999E-2</v>
      </c>
      <c r="E2970" s="14">
        <v>0.61129359999999999</v>
      </c>
      <c r="F2970" s="14">
        <v>1.04127E-2</v>
      </c>
      <c r="G2970" s="14">
        <v>2.8748049999999998</v>
      </c>
      <c r="H2970" s="14">
        <v>0.34586749999999999</v>
      </c>
      <c r="R2970" s="11">
        <f t="shared" si="94"/>
        <v>3.0439670410602936E-4</v>
      </c>
      <c r="Z2970" s="11">
        <f t="shared" si="93"/>
        <v>3.6855516814540923E-4</v>
      </c>
    </row>
    <row r="2971" spans="1:26" x14ac:dyDescent="0.2">
      <c r="A2971" s="45">
        <v>517</v>
      </c>
      <c r="B2971" s="45">
        <v>2001</v>
      </c>
      <c r="C2971" s="17">
        <v>0</v>
      </c>
      <c r="D2971" s="14">
        <v>3.7126800000000001E-2</v>
      </c>
      <c r="E2971" s="14">
        <v>0.50368429999999997</v>
      </c>
      <c r="F2971" s="14">
        <v>2.2277499999999999E-2</v>
      </c>
      <c r="G2971" s="14">
        <v>2.1225459999999998</v>
      </c>
      <c r="H2971" s="14">
        <v>0.26444250000000002</v>
      </c>
      <c r="R2971" s="11">
        <f t="shared" si="94"/>
        <v>1.0726821499499222E-3</v>
      </c>
      <c r="Z2971" s="11">
        <f t="shared" si="93"/>
        <v>1.3282097717649561E-3</v>
      </c>
    </row>
    <row r="2972" spans="1:26" x14ac:dyDescent="0.2">
      <c r="A2972" s="45">
        <v>517</v>
      </c>
      <c r="B2972" s="45">
        <v>2002</v>
      </c>
      <c r="C2972" s="17">
        <v>0</v>
      </c>
      <c r="D2972" s="14">
        <v>0.1026436</v>
      </c>
      <c r="E2972" s="14">
        <v>0.4809717</v>
      </c>
      <c r="F2972" s="14">
        <v>5.31511E-2</v>
      </c>
      <c r="G2972" s="14">
        <v>1.1948460000000001</v>
      </c>
      <c r="H2972" s="14">
        <v>0.35305130000000001</v>
      </c>
      <c r="R2972" s="11">
        <f t="shared" si="94"/>
        <v>3.7881670195922773E-3</v>
      </c>
      <c r="Z2972" s="11">
        <f t="shared" si="93"/>
        <v>4.9020177899478197E-3</v>
      </c>
    </row>
    <row r="2973" spans="1:26" x14ac:dyDescent="0.2">
      <c r="A2973" s="45">
        <v>517</v>
      </c>
      <c r="B2973" s="45">
        <v>2003</v>
      </c>
      <c r="C2973" s="17">
        <v>0</v>
      </c>
      <c r="D2973" s="14">
        <v>0.10994370000000001</v>
      </c>
      <c r="E2973" s="14">
        <v>0.49798690000000001</v>
      </c>
      <c r="F2973" s="14">
        <v>4.6975299999999998E-2</v>
      </c>
      <c r="G2973" s="14">
        <v>1.9043620000000001</v>
      </c>
      <c r="H2973" s="14">
        <v>0.39055400000000001</v>
      </c>
      <c r="R2973" s="11">
        <f t="shared" si="94"/>
        <v>1.25658760761432E-3</v>
      </c>
      <c r="Z2973" s="11">
        <f t="shared" si="93"/>
        <v>1.5949474075826989E-3</v>
      </c>
    </row>
    <row r="2974" spans="1:26" x14ac:dyDescent="0.2">
      <c r="A2974" s="45">
        <v>517</v>
      </c>
      <c r="B2974" s="45">
        <v>2004</v>
      </c>
      <c r="C2974" s="17">
        <v>0</v>
      </c>
      <c r="D2974" s="14">
        <v>0.1593917</v>
      </c>
      <c r="E2974" s="14">
        <v>0.54629919999999998</v>
      </c>
      <c r="F2974" s="14">
        <v>6.9252400000000006E-2</v>
      </c>
      <c r="G2974" s="14">
        <v>1.631761</v>
      </c>
      <c r="H2974" s="14">
        <v>0.38823669999999999</v>
      </c>
      <c r="R2974" s="11">
        <f t="shared" si="94"/>
        <v>1.5130317878135461E-3</v>
      </c>
      <c r="Z2974" s="11">
        <f t="shared" si="93"/>
        <v>1.9706360434318055E-3</v>
      </c>
    </row>
    <row r="2975" spans="1:26" x14ac:dyDescent="0.2">
      <c r="A2975" s="45">
        <v>518</v>
      </c>
      <c r="B2975" s="45">
        <v>1995</v>
      </c>
      <c r="C2975" s="17">
        <v>0</v>
      </c>
      <c r="D2975" s="14">
        <v>0.39366289999999998</v>
      </c>
      <c r="E2975" s="14">
        <v>0.2134276</v>
      </c>
      <c r="F2975" s="14">
        <v>4.5381199999999997E-2</v>
      </c>
      <c r="G2975" s="14">
        <v>0.63743989999999995</v>
      </c>
      <c r="H2975" s="14">
        <v>0.52823790000000004</v>
      </c>
      <c r="R2975" s="11">
        <f t="shared" si="94"/>
        <v>1.430649286483663E-2</v>
      </c>
      <c r="Z2975" s="11">
        <f t="shared" si="93"/>
        <v>1.8396749787037509E-2</v>
      </c>
    </row>
    <row r="2976" spans="1:26" x14ac:dyDescent="0.2">
      <c r="A2976" s="45">
        <v>518</v>
      </c>
      <c r="B2976" s="45">
        <v>1996</v>
      </c>
      <c r="C2976" s="17">
        <v>0</v>
      </c>
      <c r="D2976" s="14">
        <v>0.41392519999999999</v>
      </c>
      <c r="E2976" s="14">
        <v>0.24319170000000001</v>
      </c>
      <c r="F2976" s="14">
        <v>6.0360200000000003E-2</v>
      </c>
      <c r="G2976" s="14">
        <v>1.012397</v>
      </c>
      <c r="H2976" s="14">
        <v>0.61009650000000004</v>
      </c>
      <c r="R2976" s="11">
        <f t="shared" si="94"/>
        <v>6.7378283969653412E-3</v>
      </c>
      <c r="Z2976" s="11">
        <f t="shared" si="93"/>
        <v>8.7267537844967682E-3</v>
      </c>
    </row>
    <row r="2977" spans="1:26" x14ac:dyDescent="0.2">
      <c r="A2977" s="45">
        <v>518</v>
      </c>
      <c r="B2977" s="45">
        <v>1997</v>
      </c>
      <c r="C2977" s="17">
        <v>0</v>
      </c>
      <c r="D2977" s="14">
        <v>0.42025220000000002</v>
      </c>
      <c r="E2977" s="14">
        <v>0.1441846</v>
      </c>
      <c r="F2977" s="14">
        <v>3.8826399999999997E-2</v>
      </c>
      <c r="G2977" s="14">
        <v>0.7610439</v>
      </c>
      <c r="H2977" s="14">
        <v>0.5450467</v>
      </c>
      <c r="R2977" s="11">
        <f t="shared" si="94"/>
        <v>1.3700961064095159E-2</v>
      </c>
      <c r="Z2977" s="11">
        <f t="shared" si="93"/>
        <v>1.7440889150473659E-2</v>
      </c>
    </row>
    <row r="2978" spans="1:26" x14ac:dyDescent="0.2">
      <c r="A2978" s="45">
        <v>518</v>
      </c>
      <c r="B2978" s="45">
        <v>1998</v>
      </c>
      <c r="C2978" s="17">
        <v>0</v>
      </c>
      <c r="D2978" s="14">
        <v>0.38080229999999998</v>
      </c>
      <c r="E2978" s="14">
        <v>0.15521670000000001</v>
      </c>
      <c r="F2978" s="14">
        <v>5.2719799999999997E-2</v>
      </c>
      <c r="G2978" s="14">
        <v>0.40562300000000001</v>
      </c>
      <c r="H2978" s="14">
        <v>0.5145364</v>
      </c>
      <c r="R2978" s="11">
        <f t="shared" si="94"/>
        <v>2.1097614360453026E-2</v>
      </c>
      <c r="Z2978" s="11">
        <f t="shared" si="93"/>
        <v>2.7317556370343523E-2</v>
      </c>
    </row>
    <row r="2979" spans="1:26" x14ac:dyDescent="0.2">
      <c r="A2979" s="45">
        <v>518</v>
      </c>
      <c r="B2979" s="45">
        <v>1999</v>
      </c>
      <c r="C2979" s="17">
        <v>0</v>
      </c>
      <c r="D2979" s="14">
        <v>0.48855660000000001</v>
      </c>
      <c r="E2979" s="14">
        <v>0.16932069999999999</v>
      </c>
      <c r="F2979" s="14">
        <v>5.3875300000000001E-2</v>
      </c>
      <c r="G2979" s="14">
        <v>0.46748590000000001</v>
      </c>
      <c r="H2979" s="14">
        <v>0.46211930000000001</v>
      </c>
      <c r="R2979" s="11">
        <f t="shared" si="94"/>
        <v>1.8603866682463912E-2</v>
      </c>
      <c r="Z2979" s="11">
        <f t="shared" si="93"/>
        <v>2.4108320590873686E-2</v>
      </c>
    </row>
    <row r="2980" spans="1:26" x14ac:dyDescent="0.2">
      <c r="A2980" s="45">
        <v>518</v>
      </c>
      <c r="B2980" s="45">
        <v>2000</v>
      </c>
      <c r="C2980" s="17">
        <v>0</v>
      </c>
      <c r="D2980" s="14">
        <v>0.44629540000000001</v>
      </c>
      <c r="E2980" s="14">
        <v>0.1932461</v>
      </c>
      <c r="F2980" s="14">
        <v>5.4884000000000002E-2</v>
      </c>
      <c r="G2980" s="14">
        <v>0.80189370000000004</v>
      </c>
      <c r="H2980" s="14">
        <v>0.5610349</v>
      </c>
      <c r="R2980" s="11">
        <f t="shared" si="94"/>
        <v>1.0546343161148048E-2</v>
      </c>
      <c r="Z2980" s="11">
        <f t="shared" si="93"/>
        <v>1.3623004358414065E-2</v>
      </c>
    </row>
    <row r="2981" spans="1:26" x14ac:dyDescent="0.2">
      <c r="A2981" s="45">
        <v>518</v>
      </c>
      <c r="B2981" s="45">
        <v>2001</v>
      </c>
      <c r="C2981" s="17">
        <v>0</v>
      </c>
      <c r="D2981" s="14">
        <v>0.44854100000000002</v>
      </c>
      <c r="E2981" s="14">
        <v>0.20064699999999999</v>
      </c>
      <c r="F2981" s="14">
        <v>4.62119E-2</v>
      </c>
      <c r="G2981" s="14">
        <v>0.80128429999999995</v>
      </c>
      <c r="H2981" s="14">
        <v>0.48945430000000001</v>
      </c>
      <c r="R2981" s="11">
        <f t="shared" si="94"/>
        <v>1.1186533350799532E-2</v>
      </c>
      <c r="Z2981" s="11">
        <f t="shared" si="93"/>
        <v>1.4350140248372976E-2</v>
      </c>
    </row>
    <row r="2982" spans="1:26" x14ac:dyDescent="0.2">
      <c r="A2982" s="45">
        <v>518</v>
      </c>
      <c r="B2982" s="45">
        <v>2002</v>
      </c>
      <c r="C2982" s="17">
        <v>0</v>
      </c>
      <c r="D2982" s="14">
        <v>0.44408180000000003</v>
      </c>
      <c r="E2982" s="14">
        <v>0.2041607</v>
      </c>
      <c r="F2982" s="14">
        <v>5.26014E-2</v>
      </c>
      <c r="G2982" s="14">
        <v>0.68794860000000002</v>
      </c>
      <c r="H2982" s="14">
        <v>0.45032420000000001</v>
      </c>
      <c r="R2982" s="11">
        <f t="shared" si="94"/>
        <v>1.2649556279673556E-2</v>
      </c>
      <c r="Z2982" s="11">
        <f t="shared" si="93"/>
        <v>1.6345925404126771E-2</v>
      </c>
    </row>
    <row r="2983" spans="1:26" x14ac:dyDescent="0.2">
      <c r="A2983" s="45">
        <v>518</v>
      </c>
      <c r="B2983" s="45">
        <v>2003</v>
      </c>
      <c r="C2983" s="17">
        <v>0</v>
      </c>
      <c r="D2983" s="14">
        <v>0.24388170000000001</v>
      </c>
      <c r="E2983" s="14">
        <v>0.10484250000000001</v>
      </c>
      <c r="F2983" s="14">
        <v>2.7929599999999999E-2</v>
      </c>
      <c r="G2983" s="14">
        <v>0.63824769999999997</v>
      </c>
      <c r="H2983" s="14">
        <v>0.28587560000000001</v>
      </c>
      <c r="R2983" s="11">
        <f t="shared" si="94"/>
        <v>1.9143969714823735E-2</v>
      </c>
      <c r="Z2983" s="11">
        <f t="shared" si="93"/>
        <v>2.4153785877984897E-2</v>
      </c>
    </row>
    <row r="2984" spans="1:26" x14ac:dyDescent="0.2">
      <c r="A2984" s="45">
        <v>518</v>
      </c>
      <c r="B2984" s="45">
        <v>2004</v>
      </c>
      <c r="C2984" s="17">
        <v>0</v>
      </c>
      <c r="D2984" s="14">
        <v>0.20891409999999999</v>
      </c>
      <c r="E2984" s="14">
        <v>0.1258367</v>
      </c>
      <c r="F2984" s="14">
        <v>4.36461E-2</v>
      </c>
      <c r="G2984" s="14">
        <v>0.98527880000000001</v>
      </c>
      <c r="H2984" s="14">
        <v>0.29692879999999999</v>
      </c>
      <c r="R2984" s="11">
        <f t="shared" si="94"/>
        <v>9.5113942097202388E-3</v>
      </c>
      <c r="Z2984" s="11">
        <f t="shared" si="93"/>
        <v>1.2102420802289834E-2</v>
      </c>
    </row>
    <row r="2985" spans="1:26" x14ac:dyDescent="0.2">
      <c r="A2985" s="45">
        <v>519</v>
      </c>
      <c r="B2985" s="45">
        <v>2000</v>
      </c>
      <c r="C2985" s="17">
        <v>0</v>
      </c>
      <c r="D2985" s="14">
        <v>-0.36379879999999998</v>
      </c>
      <c r="E2985" s="14">
        <v>0.20690410000000001</v>
      </c>
      <c r="F2985" s="14">
        <v>2.7797100000000002E-2</v>
      </c>
      <c r="G2985" s="14">
        <v>0.2356801</v>
      </c>
      <c r="H2985" s="14">
        <v>0.54510239999999999</v>
      </c>
      <c r="R2985" s="11">
        <f t="shared" si="94"/>
        <v>3.1000873634021108E-2</v>
      </c>
      <c r="Z2985" s="11">
        <f t="shared" si="93"/>
        <v>3.9451988113798651E-2</v>
      </c>
    </row>
    <row r="2986" spans="1:26" x14ac:dyDescent="0.2">
      <c r="A2986" s="45">
        <v>519</v>
      </c>
      <c r="B2986" s="45">
        <v>2001</v>
      </c>
      <c r="C2986" s="17">
        <v>0</v>
      </c>
      <c r="D2986" s="14">
        <v>-9.4114000000000003E-2</v>
      </c>
      <c r="E2986" s="14">
        <v>8.8844999999999993E-2</v>
      </c>
      <c r="F2986" s="14">
        <v>2.8983399999999999E-2</v>
      </c>
      <c r="G2986" s="14">
        <v>0.17309720000000001</v>
      </c>
      <c r="H2986" s="14">
        <v>0.64482660000000003</v>
      </c>
      <c r="R2986" s="11">
        <f t="shared" si="94"/>
        <v>3.9912092885714956E-2</v>
      </c>
      <c r="Z2986" s="11">
        <f t="shared" si="93"/>
        <v>5.0583951217650795E-2</v>
      </c>
    </row>
    <row r="2987" spans="1:26" x14ac:dyDescent="0.2">
      <c r="A2987" s="45">
        <v>520</v>
      </c>
      <c r="B2987" s="45">
        <v>1995</v>
      </c>
      <c r="C2987" s="17">
        <v>0</v>
      </c>
      <c r="D2987" s="14">
        <v>2.4453699999999998E-2</v>
      </c>
      <c r="E2987" s="14">
        <v>0.17966270000000001</v>
      </c>
      <c r="F2987" s="14">
        <v>3.6829800000000003E-2</v>
      </c>
      <c r="G2987" s="14">
        <v>1.078689</v>
      </c>
      <c r="H2987" s="14">
        <v>8.3244700000000005E-2</v>
      </c>
      <c r="R2987" s="11">
        <f t="shared" si="94"/>
        <v>8.0156935572713774E-3</v>
      </c>
      <c r="Z2987" s="11">
        <f t="shared" si="93"/>
        <v>1.0145065406362687E-2</v>
      </c>
    </row>
    <row r="2988" spans="1:26" x14ac:dyDescent="0.2">
      <c r="A2988" s="45">
        <v>520</v>
      </c>
      <c r="B2988" s="45">
        <v>1996</v>
      </c>
      <c r="C2988" s="17">
        <v>0</v>
      </c>
      <c r="D2988" s="14">
        <v>2.8691700000000001E-2</v>
      </c>
      <c r="E2988" s="14">
        <v>0.16439889999999999</v>
      </c>
      <c r="F2988" s="14">
        <v>2.2403599999999999E-2</v>
      </c>
      <c r="G2988" s="14">
        <v>1.109583</v>
      </c>
      <c r="H2988" s="14">
        <v>0.118701</v>
      </c>
      <c r="R2988" s="11">
        <f t="shared" si="94"/>
        <v>8.7496922122440798E-3</v>
      </c>
      <c r="Z2988" s="11">
        <f t="shared" si="93"/>
        <v>1.0930125270130684E-2</v>
      </c>
    </row>
    <row r="2989" spans="1:26" x14ac:dyDescent="0.2">
      <c r="A2989" s="45">
        <v>520</v>
      </c>
      <c r="B2989" s="45">
        <v>1997</v>
      </c>
      <c r="C2989" s="17">
        <v>0</v>
      </c>
      <c r="D2989" s="14">
        <v>1.0463200000000001E-2</v>
      </c>
      <c r="E2989" s="14">
        <v>0.16935349999999999</v>
      </c>
      <c r="F2989" s="14">
        <v>3.37743E-2</v>
      </c>
      <c r="G2989" s="14">
        <v>1.277204</v>
      </c>
      <c r="H2989" s="14">
        <v>0.12609100000000001</v>
      </c>
      <c r="R2989" s="11">
        <f t="shared" si="94"/>
        <v>6.08861504915564E-3</v>
      </c>
      <c r="Z2989" s="11">
        <f t="shared" si="93"/>
        <v>7.6549230358877946E-3</v>
      </c>
    </row>
    <row r="2990" spans="1:26" x14ac:dyDescent="0.2">
      <c r="A2990" s="45">
        <v>520</v>
      </c>
      <c r="B2990" s="45">
        <v>1998</v>
      </c>
      <c r="C2990" s="17">
        <v>0</v>
      </c>
      <c r="D2990" s="14">
        <v>-1.35353E-2</v>
      </c>
      <c r="E2990" s="14">
        <v>0.18035680000000001</v>
      </c>
      <c r="F2990" s="14">
        <v>1.14123E-2</v>
      </c>
      <c r="G2990" s="14">
        <v>1.537512</v>
      </c>
      <c r="H2990" s="14">
        <v>0.11446539999999999</v>
      </c>
      <c r="R2990" s="11">
        <f t="shared" si="94"/>
        <v>4.7390098195365963E-3</v>
      </c>
      <c r="Z2990" s="11">
        <f t="shared" si="93"/>
        <v>5.8215128686654538E-3</v>
      </c>
    </row>
    <row r="2991" spans="1:26" x14ac:dyDescent="0.2">
      <c r="A2991" s="45">
        <v>520</v>
      </c>
      <c r="B2991" s="45">
        <v>1999</v>
      </c>
      <c r="C2991" s="17">
        <v>0</v>
      </c>
      <c r="D2991" s="14">
        <v>1.7437500000000002E-2</v>
      </c>
      <c r="E2991" s="14">
        <v>0.1865385</v>
      </c>
      <c r="F2991" s="14">
        <v>2.7906299999999998E-2</v>
      </c>
      <c r="G2991" s="14">
        <v>1.2721579999999999</v>
      </c>
      <c r="H2991" s="14">
        <v>0.10073699999999999</v>
      </c>
      <c r="R2991" s="11">
        <f t="shared" si="94"/>
        <v>6.2728305324003392E-3</v>
      </c>
      <c r="Z2991" s="11">
        <f t="shared" si="93"/>
        <v>7.8540620614780711E-3</v>
      </c>
    </row>
    <row r="2992" spans="1:26" x14ac:dyDescent="0.2">
      <c r="A2992" s="45">
        <v>520</v>
      </c>
      <c r="B2992" s="45">
        <v>2000</v>
      </c>
      <c r="C2992" s="17">
        <v>0</v>
      </c>
      <c r="D2992" s="14">
        <v>1.2399200000000001E-2</v>
      </c>
      <c r="E2992" s="14">
        <v>0.1785853</v>
      </c>
      <c r="F2992" s="14">
        <v>2.4744599999999999E-2</v>
      </c>
      <c r="G2992" s="14">
        <v>1.0993219999999999</v>
      </c>
      <c r="H2992" s="14">
        <v>0.12149020000000001</v>
      </c>
      <c r="R2992" s="11">
        <f t="shared" si="94"/>
        <v>8.5524368505459254E-3</v>
      </c>
      <c r="Z2992" s="11">
        <f t="shared" si="93"/>
        <v>1.0712090627386008E-2</v>
      </c>
    </row>
    <row r="2993" spans="1:26" x14ac:dyDescent="0.2">
      <c r="A2993" s="45">
        <v>520</v>
      </c>
      <c r="B2993" s="45">
        <v>2001</v>
      </c>
      <c r="C2993" s="17">
        <v>0</v>
      </c>
      <c r="D2993" s="14">
        <v>4.24883E-2</v>
      </c>
      <c r="E2993" s="14">
        <v>0.19497639999999999</v>
      </c>
      <c r="F2993" s="14">
        <v>1.6494700000000001E-2</v>
      </c>
      <c r="G2993" s="14">
        <v>1.24777</v>
      </c>
      <c r="H2993" s="14">
        <v>0.1105903</v>
      </c>
      <c r="R2993" s="11">
        <f t="shared" si="94"/>
        <v>7.0520685896963741E-3</v>
      </c>
      <c r="Z2993" s="11">
        <f t="shared" si="93"/>
        <v>8.7536755609545977E-3</v>
      </c>
    </row>
    <row r="2994" spans="1:26" x14ac:dyDescent="0.2">
      <c r="A2994" s="45">
        <v>520</v>
      </c>
      <c r="B2994" s="45">
        <v>2002</v>
      </c>
      <c r="C2994" s="17">
        <v>0</v>
      </c>
      <c r="D2994" s="14">
        <v>7.8417000000000001E-3</v>
      </c>
      <c r="E2994" s="14">
        <v>0.1917769</v>
      </c>
      <c r="F2994" s="14">
        <v>1.3256799999999999E-2</v>
      </c>
      <c r="G2994" s="14">
        <v>1.4103129999999999</v>
      </c>
      <c r="H2994" s="14">
        <v>0.1119508</v>
      </c>
      <c r="R2994" s="11">
        <f t="shared" si="94"/>
        <v>5.6197498536625411E-3</v>
      </c>
      <c r="Z2994" s="11">
        <f t="shared" si="93"/>
        <v>6.9343609783886736E-3</v>
      </c>
    </row>
    <row r="2995" spans="1:26" x14ac:dyDescent="0.2">
      <c r="A2995" s="45">
        <v>520</v>
      </c>
      <c r="B2995" s="45">
        <v>2003</v>
      </c>
      <c r="C2995" s="17">
        <v>0</v>
      </c>
      <c r="D2995" s="14">
        <v>-0.14477110000000001</v>
      </c>
      <c r="E2995" s="14">
        <v>0.1478534</v>
      </c>
      <c r="F2995" s="14">
        <v>1.8856399999999999E-2</v>
      </c>
      <c r="G2995" s="14">
        <v>0.83495889999999995</v>
      </c>
      <c r="H2995" s="14">
        <v>0.1030546</v>
      </c>
      <c r="R2995" s="11">
        <f t="shared" si="94"/>
        <v>1.4204677725594387E-2</v>
      </c>
      <c r="Z2995" s="11">
        <f t="shared" si="93"/>
        <v>1.7765036801706505E-2</v>
      </c>
    </row>
    <row r="2996" spans="1:26" x14ac:dyDescent="0.2">
      <c r="A2996" s="45">
        <v>520</v>
      </c>
      <c r="B2996" s="45">
        <v>2004</v>
      </c>
      <c r="C2996" s="17">
        <v>0</v>
      </c>
      <c r="D2996" s="14">
        <v>3.4569200000000001E-2</v>
      </c>
      <c r="E2996" s="14">
        <v>0.14941989999999999</v>
      </c>
      <c r="F2996" s="14">
        <v>3.7144200000000002E-2</v>
      </c>
      <c r="G2996" s="14">
        <v>1.2142550000000001</v>
      </c>
      <c r="H2996" s="14">
        <v>0.1079642</v>
      </c>
      <c r="R2996" s="11">
        <f t="shared" si="94"/>
        <v>6.7403221787089677E-3</v>
      </c>
      <c r="Z2996" s="11">
        <f t="shared" si="93"/>
        <v>8.5020155041027664E-3</v>
      </c>
    </row>
    <row r="2997" spans="1:26" x14ac:dyDescent="0.2">
      <c r="A2997" s="45">
        <v>521</v>
      </c>
      <c r="B2997" s="45">
        <v>1995</v>
      </c>
      <c r="C2997" s="17">
        <v>0</v>
      </c>
      <c r="D2997" s="14">
        <v>0.49060959999999998</v>
      </c>
      <c r="E2997" s="14">
        <v>0.19035350000000001</v>
      </c>
      <c r="F2997" s="14">
        <v>8.6960999999999997E-2</v>
      </c>
      <c r="G2997" s="14">
        <v>1.7443390000000001</v>
      </c>
      <c r="H2997" s="14">
        <v>0.48893920000000002</v>
      </c>
      <c r="R2997" s="11">
        <f t="shared" si="94"/>
        <v>1.8409533756887704E-3</v>
      </c>
      <c r="Z2997" s="11">
        <f t="shared" si="93"/>
        <v>2.3971047690617112E-3</v>
      </c>
    </row>
    <row r="2998" spans="1:26" x14ac:dyDescent="0.2">
      <c r="A2998" s="45">
        <v>521</v>
      </c>
      <c r="B2998" s="45">
        <v>1996</v>
      </c>
      <c r="C2998" s="17">
        <v>0</v>
      </c>
      <c r="D2998" s="14">
        <v>0.34279710000000002</v>
      </c>
      <c r="E2998" s="14">
        <v>0.24357000000000001</v>
      </c>
      <c r="F2998" s="14">
        <v>7.6279E-2</v>
      </c>
      <c r="G2998" s="14">
        <v>3.1929259999999999</v>
      </c>
      <c r="H2998" s="14">
        <v>0.54494149999999997</v>
      </c>
      <c r="R2998" s="11">
        <f t="shared" si="94"/>
        <v>1.8480567939547395E-4</v>
      </c>
      <c r="Z2998" s="11">
        <f t="shared" si="93"/>
        <v>2.3158842531660457E-4</v>
      </c>
    </row>
    <row r="2999" spans="1:26" x14ac:dyDescent="0.2">
      <c r="A2999" s="45">
        <v>521</v>
      </c>
      <c r="B2999" s="45">
        <v>1997</v>
      </c>
      <c r="C2999" s="17">
        <v>0</v>
      </c>
      <c r="D2999" s="14">
        <v>0.45434219999999997</v>
      </c>
      <c r="E2999" s="14">
        <v>0.27821439999999997</v>
      </c>
      <c r="F2999" s="14">
        <v>9.28813E-2</v>
      </c>
      <c r="G2999" s="14">
        <v>6.9822660000000001</v>
      </c>
      <c r="H2999" s="14">
        <v>0.50909450000000001</v>
      </c>
      <c r="R2999" s="11">
        <f t="shared" si="94"/>
        <v>3.6701322655339331E-7</v>
      </c>
      <c r="Z2999" s="11">
        <f t="shared" si="93"/>
        <v>4.2942693073951941E-7</v>
      </c>
    </row>
    <row r="3000" spans="1:26" x14ac:dyDescent="0.2">
      <c r="A3000" s="45">
        <v>521</v>
      </c>
      <c r="B3000" s="45">
        <v>1998</v>
      </c>
      <c r="C3000" s="17">
        <v>0</v>
      </c>
      <c r="D3000" s="14">
        <v>0.4186938</v>
      </c>
      <c r="E3000" s="14">
        <v>0.33461819999999998</v>
      </c>
      <c r="F3000" s="14">
        <v>9.4684400000000002E-2</v>
      </c>
      <c r="G3000" s="14">
        <v>3.4058679999999999</v>
      </c>
      <c r="H3000" s="14">
        <v>0.54316989999999998</v>
      </c>
      <c r="R3000" s="11">
        <f t="shared" si="94"/>
        <v>9.952761974694514E-5</v>
      </c>
      <c r="Z3000" s="11">
        <f t="shared" si="93"/>
        <v>1.2642261390700336E-4</v>
      </c>
    </row>
    <row r="3001" spans="1:26" x14ac:dyDescent="0.2">
      <c r="A3001" s="45">
        <v>521</v>
      </c>
      <c r="B3001" s="45">
        <v>1999</v>
      </c>
      <c r="C3001" s="17">
        <v>0</v>
      </c>
      <c r="D3001" s="14">
        <v>0.38211430000000002</v>
      </c>
      <c r="E3001" s="14">
        <v>0.42770979999999997</v>
      </c>
      <c r="F3001" s="14">
        <v>0.1023202</v>
      </c>
      <c r="G3001" s="14">
        <v>3.632933</v>
      </c>
      <c r="H3001" s="14">
        <v>0.61486339999999995</v>
      </c>
      <c r="R3001" s="11">
        <f t="shared" si="94"/>
        <v>5.6951041326164208E-5</v>
      </c>
      <c r="Z3001" s="11">
        <f t="shared" si="93"/>
        <v>7.2664136813891549E-5</v>
      </c>
    </row>
    <row r="3002" spans="1:26" x14ac:dyDescent="0.2">
      <c r="A3002" s="45">
        <v>521</v>
      </c>
      <c r="B3002" s="45">
        <v>2000</v>
      </c>
      <c r="C3002" s="17">
        <v>0</v>
      </c>
      <c r="D3002" s="14">
        <v>0.4851374</v>
      </c>
      <c r="E3002" s="14">
        <v>0.48872759999999998</v>
      </c>
      <c r="F3002" s="14">
        <v>0.11380220000000001</v>
      </c>
      <c r="G3002" s="14">
        <v>6.1529769999999999</v>
      </c>
      <c r="H3002" s="14">
        <v>0.62455110000000003</v>
      </c>
      <c r="R3002" s="11">
        <f t="shared" si="94"/>
        <v>8.5706133169994603E-7</v>
      </c>
      <c r="Z3002" s="11">
        <f t="shared" si="93"/>
        <v>1.0464822144858462E-6</v>
      </c>
    </row>
    <row r="3003" spans="1:26" x14ac:dyDescent="0.2">
      <c r="A3003" s="45">
        <v>521</v>
      </c>
      <c r="B3003" s="45">
        <v>2001</v>
      </c>
      <c r="C3003" s="17">
        <v>0</v>
      </c>
      <c r="D3003" s="14">
        <v>0.50354100000000002</v>
      </c>
      <c r="E3003" s="14">
        <v>0.52360530000000005</v>
      </c>
      <c r="F3003" s="14">
        <v>0.11195090000000001</v>
      </c>
      <c r="G3003" s="14">
        <v>6.7592239999999997</v>
      </c>
      <c r="H3003" s="14">
        <v>0.58191280000000001</v>
      </c>
      <c r="R3003" s="11">
        <f t="shared" si="94"/>
        <v>3.1466043657422188E-7</v>
      </c>
      <c r="Z3003" s="11">
        <f t="shared" si="93"/>
        <v>3.7898699129289433E-7</v>
      </c>
    </row>
    <row r="3004" spans="1:26" x14ac:dyDescent="0.2">
      <c r="A3004" s="45">
        <v>521</v>
      </c>
      <c r="B3004" s="45">
        <v>2002</v>
      </c>
      <c r="C3004" s="17">
        <v>0</v>
      </c>
      <c r="D3004" s="14">
        <v>0.46209929999999999</v>
      </c>
      <c r="E3004" s="14">
        <v>0.59645049999999999</v>
      </c>
      <c r="F3004" s="14">
        <v>0.1160277</v>
      </c>
      <c r="G3004" s="14">
        <v>4.6172839999999997</v>
      </c>
      <c r="H3004" s="14">
        <v>0.57062460000000004</v>
      </c>
      <c r="R3004" s="11">
        <f t="shared" si="94"/>
        <v>8.3193571334866659E-6</v>
      </c>
      <c r="Z3004" s="11">
        <f t="shared" si="93"/>
        <v>1.0565537802042437E-5</v>
      </c>
    </row>
    <row r="3005" spans="1:26" x14ac:dyDescent="0.2">
      <c r="A3005" s="45">
        <v>521</v>
      </c>
      <c r="B3005" s="45">
        <v>2003</v>
      </c>
      <c r="C3005" s="17">
        <v>0</v>
      </c>
      <c r="D3005" s="14">
        <v>0.43534529999999999</v>
      </c>
      <c r="E3005" s="14">
        <v>0.63472090000000003</v>
      </c>
      <c r="F3005" s="14">
        <v>9.28789E-2</v>
      </c>
      <c r="G3005" s="14">
        <v>5.6627000000000001</v>
      </c>
      <c r="H3005" s="14">
        <v>0.56309370000000003</v>
      </c>
      <c r="R3005" s="11">
        <f t="shared" si="94"/>
        <v>1.7898741431418197E-6</v>
      </c>
      <c r="Z3005" s="11">
        <f t="shared" si="93"/>
        <v>2.1825087538600431E-6</v>
      </c>
    </row>
    <row r="3006" spans="1:26" x14ac:dyDescent="0.2">
      <c r="A3006" s="45">
        <v>521</v>
      </c>
      <c r="B3006" s="45">
        <v>2004</v>
      </c>
      <c r="C3006" s="17">
        <v>0</v>
      </c>
      <c r="D3006" s="14">
        <v>0.38170530000000003</v>
      </c>
      <c r="E3006" s="14">
        <v>0.64361619999999997</v>
      </c>
      <c r="F3006" s="14">
        <v>6.7264299999999999E-2</v>
      </c>
      <c r="G3006" s="14">
        <v>3.86246</v>
      </c>
      <c r="H3006" s="14">
        <v>0.5153259</v>
      </c>
      <c r="R3006" s="11">
        <f t="shared" si="94"/>
        <v>3.8203215621462695E-5</v>
      </c>
      <c r="Z3006" s="11">
        <f t="shared" si="93"/>
        <v>4.7474504767242523E-5</v>
      </c>
    </row>
    <row r="3007" spans="1:26" x14ac:dyDescent="0.2">
      <c r="A3007" s="45">
        <v>522</v>
      </c>
      <c r="B3007" s="45">
        <v>1995</v>
      </c>
      <c r="C3007" s="17">
        <v>0</v>
      </c>
      <c r="D3007" s="14">
        <v>0.42150330000000003</v>
      </c>
      <c r="E3007" s="14">
        <v>0.91222329999999996</v>
      </c>
      <c r="F3007" s="14">
        <v>-2.1582500000000001E-2</v>
      </c>
      <c r="G3007" s="14">
        <v>9.4726689999999998</v>
      </c>
      <c r="H3007" s="14">
        <v>0.1261099</v>
      </c>
      <c r="R3007" s="11">
        <f t="shared" si="94"/>
        <v>6.8925916438812546E-9</v>
      </c>
      <c r="Z3007" s="11">
        <f t="shared" si="93"/>
        <v>7.1033366716246417E-9</v>
      </c>
    </row>
    <row r="3008" spans="1:26" x14ac:dyDescent="0.2">
      <c r="A3008" s="45">
        <v>522</v>
      </c>
      <c r="B3008" s="45">
        <v>1996</v>
      </c>
      <c r="C3008" s="17">
        <v>0</v>
      </c>
      <c r="D3008" s="14">
        <v>0.38514369999999998</v>
      </c>
      <c r="E3008" s="14">
        <v>0.94619540000000002</v>
      </c>
      <c r="F3008" s="14">
        <v>-1.2193600000000001E-2</v>
      </c>
      <c r="G3008" s="14">
        <v>11.274330000000001</v>
      </c>
      <c r="H3008" s="14">
        <v>0.17096819999999999</v>
      </c>
      <c r="R3008" s="11">
        <f t="shared" si="94"/>
        <v>3.4466998858840684E-10</v>
      </c>
      <c r="Z3008" s="11">
        <f t="shared" si="93"/>
        <v>3.44429846202702E-10</v>
      </c>
    </row>
    <row r="3009" spans="1:26" x14ac:dyDescent="0.2">
      <c r="A3009" s="45">
        <v>522</v>
      </c>
      <c r="B3009" s="45">
        <v>1997</v>
      </c>
      <c r="C3009" s="17">
        <v>0</v>
      </c>
      <c r="D3009" s="14">
        <v>0.39377000000000001</v>
      </c>
      <c r="E3009" s="14">
        <v>0.92232329999999996</v>
      </c>
      <c r="F3009" s="14">
        <v>-2.3463700000000001E-2</v>
      </c>
      <c r="G3009" s="14">
        <v>15.499090000000001</v>
      </c>
      <c r="H3009" s="14">
        <v>0.12338349999999999</v>
      </c>
      <c r="R3009" s="11">
        <f t="shared" si="94"/>
        <v>4.6528510146128597E-13</v>
      </c>
      <c r="Z3009" s="11">
        <f t="shared" si="93"/>
        <v>4.1941557508205513E-13</v>
      </c>
    </row>
    <row r="3010" spans="1:26" x14ac:dyDescent="0.2">
      <c r="A3010" s="45">
        <v>522</v>
      </c>
      <c r="B3010" s="45">
        <v>1998</v>
      </c>
      <c r="C3010" s="17">
        <v>0</v>
      </c>
      <c r="D3010" s="14">
        <v>0.435249</v>
      </c>
      <c r="E3010" s="14">
        <v>0.81560869999999996</v>
      </c>
      <c r="F3010" s="14">
        <v>-3.5151500000000002E-2</v>
      </c>
      <c r="G3010" s="14">
        <v>13.82662</v>
      </c>
      <c r="H3010" s="14">
        <v>0.1015773</v>
      </c>
      <c r="R3010" s="11">
        <f t="shared" si="94"/>
        <v>8.5744787734352268E-12</v>
      </c>
      <c r="Z3010" s="11">
        <f t="shared" ref="Z3010:Z3073" si="95">1/(1+EXP(-(U$2+$V$2*E3010+$W$2*F3010+$X$2*G3010)))</f>
        <v>7.9136875410499552E-12</v>
      </c>
    </row>
    <row r="3011" spans="1:26" x14ac:dyDescent="0.2">
      <c r="A3011" s="45">
        <v>523</v>
      </c>
      <c r="B3011" s="45">
        <v>1995</v>
      </c>
      <c r="C3011" s="17">
        <v>0</v>
      </c>
      <c r="D3011" s="14">
        <v>0.43208210000000002</v>
      </c>
      <c r="E3011" s="14">
        <v>0.26420189999999999</v>
      </c>
      <c r="F3011" s="14">
        <v>5.3215600000000002E-2</v>
      </c>
      <c r="G3011" s="14">
        <v>0.88852710000000001</v>
      </c>
      <c r="H3011" s="14">
        <v>0.70881079999999996</v>
      </c>
      <c r="R3011" s="11">
        <f t="shared" si="94"/>
        <v>8.4152590424762825E-3</v>
      </c>
      <c r="Z3011" s="11">
        <f t="shared" si="95"/>
        <v>1.0867989377808177E-2</v>
      </c>
    </row>
    <row r="3012" spans="1:26" x14ac:dyDescent="0.2">
      <c r="A3012" s="45">
        <v>523</v>
      </c>
      <c r="B3012" s="45">
        <v>1996</v>
      </c>
      <c r="C3012" s="17">
        <v>0</v>
      </c>
      <c r="D3012" s="14">
        <v>0.52912329999999996</v>
      </c>
      <c r="E3012" s="14">
        <v>0.2687445</v>
      </c>
      <c r="F3012" s="14">
        <v>4.9548399999999999E-2</v>
      </c>
      <c r="G3012" s="14">
        <v>1.0770690000000001</v>
      </c>
      <c r="H3012" s="14">
        <v>0.69042720000000002</v>
      </c>
      <c r="R3012" s="11">
        <f t="shared" si="94"/>
        <v>6.3876039067589929E-3</v>
      </c>
      <c r="Z3012" s="11">
        <f t="shared" si="95"/>
        <v>8.1971445341315133E-3</v>
      </c>
    </row>
    <row r="3013" spans="1:26" x14ac:dyDescent="0.2">
      <c r="A3013" s="45">
        <v>523</v>
      </c>
      <c r="B3013" s="45">
        <v>1997</v>
      </c>
      <c r="C3013" s="17">
        <v>0</v>
      </c>
      <c r="D3013" s="14">
        <v>0.51820869999999997</v>
      </c>
      <c r="E3013" s="14">
        <v>0.20940339999999999</v>
      </c>
      <c r="F3013" s="14">
        <v>4.1921100000000003E-2</v>
      </c>
      <c r="G3013" s="14">
        <v>0.57750820000000003</v>
      </c>
      <c r="H3013" s="14">
        <v>0.47893400000000003</v>
      </c>
      <c r="R3013" s="11">
        <f t="shared" si="94"/>
        <v>1.6244925816031153E-2</v>
      </c>
      <c r="Z3013" s="11">
        <f t="shared" si="95"/>
        <v>2.0843854446062703E-2</v>
      </c>
    </row>
    <row r="3014" spans="1:26" x14ac:dyDescent="0.2">
      <c r="A3014" s="45">
        <v>523</v>
      </c>
      <c r="B3014" s="45">
        <v>1998</v>
      </c>
      <c r="C3014" s="17">
        <v>0</v>
      </c>
      <c r="D3014" s="14">
        <v>0.51981379999999999</v>
      </c>
      <c r="E3014" s="14">
        <v>0.24331610000000001</v>
      </c>
      <c r="F3014" s="14">
        <v>5.3012900000000002E-2</v>
      </c>
      <c r="G3014" s="14">
        <v>0.29506749999999998</v>
      </c>
      <c r="H3014" s="14">
        <v>0.62153210000000003</v>
      </c>
      <c r="R3014" s="11">
        <f t="shared" si="94"/>
        <v>2.2063194793612882E-2</v>
      </c>
      <c r="Z3014" s="11">
        <f t="shared" si="95"/>
        <v>2.8717915045253527E-2</v>
      </c>
    </row>
    <row r="3015" spans="1:26" x14ac:dyDescent="0.2">
      <c r="A3015" s="45">
        <v>523</v>
      </c>
      <c r="B3015" s="45">
        <v>1999</v>
      </c>
      <c r="C3015" s="17">
        <v>0</v>
      </c>
      <c r="D3015" s="14">
        <v>0.49211899999999997</v>
      </c>
      <c r="E3015" s="14">
        <v>0.25513849999999999</v>
      </c>
      <c r="F3015" s="14">
        <v>4.0005800000000001E-2</v>
      </c>
      <c r="G3015" s="14">
        <v>0.56143330000000002</v>
      </c>
      <c r="H3015" s="14">
        <v>0.64494370000000001</v>
      </c>
      <c r="R3015" s="11">
        <f t="shared" si="94"/>
        <v>1.5841425377735221E-2</v>
      </c>
      <c r="Z3015" s="11">
        <f t="shared" si="95"/>
        <v>2.0335488151045463E-2</v>
      </c>
    </row>
    <row r="3016" spans="1:26" x14ac:dyDescent="0.2">
      <c r="A3016" s="45">
        <v>523</v>
      </c>
      <c r="B3016" s="45">
        <v>2000</v>
      </c>
      <c r="C3016" s="17">
        <v>0</v>
      </c>
      <c r="D3016" s="14">
        <v>0.53083599999999997</v>
      </c>
      <c r="E3016" s="14">
        <v>0.23965159999999999</v>
      </c>
      <c r="F3016" s="14">
        <v>4.9205199999999998E-2</v>
      </c>
      <c r="G3016" s="14">
        <v>0.49844959999999999</v>
      </c>
      <c r="H3016" s="14">
        <v>0.63514590000000004</v>
      </c>
      <c r="R3016" s="11">
        <f t="shared" si="94"/>
        <v>1.6628702734858256E-2</v>
      </c>
      <c r="Z3016" s="11">
        <f t="shared" si="95"/>
        <v>2.1517348018221995E-2</v>
      </c>
    </row>
    <row r="3017" spans="1:26" x14ac:dyDescent="0.2">
      <c r="A3017" s="45">
        <v>523</v>
      </c>
      <c r="B3017" s="45">
        <v>2001</v>
      </c>
      <c r="C3017" s="17">
        <v>0</v>
      </c>
      <c r="D3017" s="14">
        <v>0.46382770000000001</v>
      </c>
      <c r="E3017" s="14">
        <v>0.29152749999999999</v>
      </c>
      <c r="F3017" s="14">
        <v>4.2100899999999997E-2</v>
      </c>
      <c r="G3017" s="14">
        <v>0.81203060000000005</v>
      </c>
      <c r="H3017" s="14">
        <v>0.56687379999999998</v>
      </c>
      <c r="R3017" s="11">
        <f t="shared" si="94"/>
        <v>9.9697670545448522E-3</v>
      </c>
      <c r="Z3017" s="11">
        <f t="shared" si="95"/>
        <v>1.2787513946175175E-2</v>
      </c>
    </row>
    <row r="3018" spans="1:26" x14ac:dyDescent="0.2">
      <c r="A3018" s="45">
        <v>523</v>
      </c>
      <c r="B3018" s="45">
        <v>2002</v>
      </c>
      <c r="C3018" s="17">
        <v>0</v>
      </c>
      <c r="D3018" s="14">
        <v>0.54489860000000001</v>
      </c>
      <c r="E3018" s="14">
        <v>0.30551719999999999</v>
      </c>
      <c r="F3018" s="14">
        <v>2.5456800000000002E-2</v>
      </c>
      <c r="G3018" s="14">
        <v>0.59563169999999999</v>
      </c>
      <c r="H3018" s="14">
        <v>0.36054069999999999</v>
      </c>
      <c r="R3018" s="11">
        <f t="shared" si="94"/>
        <v>1.5665107431285411E-2</v>
      </c>
      <c r="Z3018" s="11">
        <f t="shared" si="95"/>
        <v>1.9895483789118137E-2</v>
      </c>
    </row>
    <row r="3019" spans="1:26" x14ac:dyDescent="0.2">
      <c r="A3019" s="45">
        <v>523</v>
      </c>
      <c r="B3019" s="45">
        <v>2003</v>
      </c>
      <c r="C3019" s="17">
        <v>0</v>
      </c>
      <c r="D3019" s="14">
        <v>0.37588909999999998</v>
      </c>
      <c r="E3019" s="14">
        <v>0.3239071</v>
      </c>
      <c r="F3019" s="14">
        <v>4.6143799999999999E-2</v>
      </c>
      <c r="G3019" s="14">
        <v>0.88204590000000005</v>
      </c>
      <c r="H3019" s="14">
        <v>0.52145280000000005</v>
      </c>
      <c r="R3019" s="11">
        <f t="shared" si="94"/>
        <v>8.250684167686078E-3</v>
      </c>
      <c r="Z3019" s="11">
        <f t="shared" si="95"/>
        <v>1.0617997415382725E-2</v>
      </c>
    </row>
    <row r="3020" spans="1:26" x14ac:dyDescent="0.2">
      <c r="A3020" s="45">
        <v>523</v>
      </c>
      <c r="B3020" s="45">
        <v>2004</v>
      </c>
      <c r="C3020" s="17">
        <v>0</v>
      </c>
      <c r="D3020" s="14">
        <v>0.243369</v>
      </c>
      <c r="E3020" s="14">
        <v>0.30814639999999999</v>
      </c>
      <c r="F3020" s="14">
        <v>4.9934800000000001E-2</v>
      </c>
      <c r="G3020" s="14">
        <v>1.198536</v>
      </c>
      <c r="H3020" s="14">
        <v>0.4620282</v>
      </c>
      <c r="R3020" s="11">
        <f t="shared" si="94"/>
        <v>4.9621627239381126E-3</v>
      </c>
      <c r="Z3020" s="11">
        <f t="shared" si="95"/>
        <v>6.36410524314171E-3</v>
      </c>
    </row>
    <row r="3021" spans="1:26" x14ac:dyDescent="0.2">
      <c r="A3021" s="45">
        <v>524</v>
      </c>
      <c r="B3021" s="45">
        <v>1995</v>
      </c>
      <c r="C3021" s="17">
        <v>0</v>
      </c>
      <c r="D3021" s="14">
        <v>-0.1386249</v>
      </c>
      <c r="E3021" s="14">
        <v>0.30923220000000001</v>
      </c>
      <c r="F3021" s="14">
        <v>4.9806000000000003E-2</v>
      </c>
      <c r="G3021" s="14">
        <v>1.2447079999999999</v>
      </c>
      <c r="H3021" s="14">
        <v>0.13989299999999999</v>
      </c>
      <c r="R3021" s="11">
        <f t="shared" si="94"/>
        <v>4.6092647090925009E-3</v>
      </c>
      <c r="Z3021" s="11">
        <f t="shared" si="95"/>
        <v>5.9057225406429657E-3</v>
      </c>
    </row>
    <row r="3022" spans="1:26" x14ac:dyDescent="0.2">
      <c r="A3022" s="45">
        <v>524</v>
      </c>
      <c r="B3022" s="45">
        <v>1996</v>
      </c>
      <c r="C3022" s="17">
        <v>0</v>
      </c>
      <c r="D3022" s="14">
        <v>-9.44131E-2</v>
      </c>
      <c r="E3022" s="14">
        <v>0.33252739999999997</v>
      </c>
      <c r="F3022" s="14">
        <v>4.0160300000000003E-2</v>
      </c>
      <c r="G3022" s="14">
        <v>1.3890469999999999</v>
      </c>
      <c r="H3022" s="14">
        <v>0.1603048</v>
      </c>
      <c r="R3022" s="11">
        <f t="shared" si="94"/>
        <v>3.8271515395995759E-3</v>
      </c>
      <c r="Z3022" s="11">
        <f t="shared" si="95"/>
        <v>4.8547560680524274E-3</v>
      </c>
    </row>
    <row r="3023" spans="1:26" x14ac:dyDescent="0.2">
      <c r="A3023" s="45">
        <v>524</v>
      </c>
      <c r="B3023" s="45">
        <v>1997</v>
      </c>
      <c r="C3023" s="17">
        <v>0</v>
      </c>
      <c r="D3023" s="14">
        <v>-8.1852599999999998E-2</v>
      </c>
      <c r="E3023" s="14">
        <v>0.36477080000000001</v>
      </c>
      <c r="F3023" s="14">
        <v>6.1790699999999997E-2</v>
      </c>
      <c r="G3023" s="14">
        <v>2.1073569999999999</v>
      </c>
      <c r="H3023" s="14">
        <v>0.1518456</v>
      </c>
      <c r="R3023" s="11">
        <f t="shared" si="94"/>
        <v>9.8056550113663314E-4</v>
      </c>
      <c r="Z3023" s="11">
        <f t="shared" si="95"/>
        <v>1.2485632265333282E-3</v>
      </c>
    </row>
    <row r="3024" spans="1:26" x14ac:dyDescent="0.2">
      <c r="A3024" s="45">
        <v>524</v>
      </c>
      <c r="B3024" s="45">
        <v>1998</v>
      </c>
      <c r="C3024" s="17">
        <v>0</v>
      </c>
      <c r="D3024" s="14">
        <v>6.2607000000000001E-3</v>
      </c>
      <c r="E3024" s="14">
        <v>0.42233379999999998</v>
      </c>
      <c r="F3024" s="14">
        <v>6.4237199999999994E-2</v>
      </c>
      <c r="G3024" s="14">
        <v>3.019714</v>
      </c>
      <c r="H3024" s="14">
        <v>0.16529569999999999</v>
      </c>
      <c r="R3024" s="11">
        <f t="shared" si="94"/>
        <v>2.0679115265617921E-4</v>
      </c>
      <c r="Z3024" s="11">
        <f t="shared" si="95"/>
        <v>2.5915639414107261E-4</v>
      </c>
    </row>
    <row r="3025" spans="1:26" x14ac:dyDescent="0.2">
      <c r="A3025" s="45">
        <v>524</v>
      </c>
      <c r="B3025" s="45">
        <v>1999</v>
      </c>
      <c r="C3025" s="17">
        <v>0</v>
      </c>
      <c r="D3025" s="14">
        <v>9.8268599999999998E-2</v>
      </c>
      <c r="E3025" s="14">
        <v>0.4356795</v>
      </c>
      <c r="F3025" s="14">
        <v>6.6972000000000004E-2</v>
      </c>
      <c r="G3025" s="14">
        <v>1.975449</v>
      </c>
      <c r="H3025" s="14">
        <v>0.1615876</v>
      </c>
      <c r="R3025" s="11">
        <f t="shared" si="94"/>
        <v>1.0470400781026831E-3</v>
      </c>
      <c r="Z3025" s="11">
        <f t="shared" si="95"/>
        <v>1.3460008598529629E-3</v>
      </c>
    </row>
    <row r="3026" spans="1:26" x14ac:dyDescent="0.2">
      <c r="A3026" s="45">
        <v>524</v>
      </c>
      <c r="B3026" s="45">
        <v>2000</v>
      </c>
      <c r="C3026" s="17">
        <v>0</v>
      </c>
      <c r="D3026" s="14">
        <v>5.4095999999999997E-3</v>
      </c>
      <c r="E3026" s="14">
        <v>0.49179729999999999</v>
      </c>
      <c r="F3026" s="14">
        <v>6.0823599999999998E-2</v>
      </c>
      <c r="G3026" s="14">
        <v>1.320859</v>
      </c>
      <c r="H3026" s="14">
        <v>0.153277</v>
      </c>
      <c r="R3026" s="11">
        <f t="shared" si="94"/>
        <v>2.8716157851082472E-3</v>
      </c>
      <c r="Z3026" s="11">
        <f t="shared" si="95"/>
        <v>3.7313900330700703E-3</v>
      </c>
    </row>
    <row r="3027" spans="1:26" x14ac:dyDescent="0.2">
      <c r="A3027" s="45">
        <v>524</v>
      </c>
      <c r="B3027" s="45">
        <v>2001</v>
      </c>
      <c r="C3027" s="17">
        <v>0</v>
      </c>
      <c r="D3027" s="14">
        <v>-3.91793E-2</v>
      </c>
      <c r="E3027" s="14">
        <v>0.45847840000000001</v>
      </c>
      <c r="F3027" s="14">
        <v>5.1042900000000002E-2</v>
      </c>
      <c r="G3027" s="14">
        <v>1.2669699999999999</v>
      </c>
      <c r="H3027" s="14">
        <v>0.1563959</v>
      </c>
      <c r="R3027" s="11">
        <f t="shared" si="94"/>
        <v>3.5493161376955432E-3</v>
      </c>
      <c r="Z3027" s="11">
        <f t="shared" si="95"/>
        <v>4.5746101910724571E-3</v>
      </c>
    </row>
    <row r="3028" spans="1:26" x14ac:dyDescent="0.2">
      <c r="A3028" s="45">
        <v>524</v>
      </c>
      <c r="B3028" s="45">
        <v>2002</v>
      </c>
      <c r="C3028" s="17">
        <v>0</v>
      </c>
      <c r="D3028" s="14">
        <v>-6.0497700000000001E-2</v>
      </c>
      <c r="E3028" s="14">
        <v>0.4640648</v>
      </c>
      <c r="F3028" s="14">
        <v>6.4038800000000007E-2</v>
      </c>
      <c r="G3028" s="14">
        <v>1.0203880000000001</v>
      </c>
      <c r="H3028" s="14">
        <v>0.16908690000000001</v>
      </c>
      <c r="R3028" s="11">
        <f t="shared" si="94"/>
        <v>4.694908120877298E-3</v>
      </c>
      <c r="Z3028" s="11">
        <f t="shared" si="95"/>
        <v>6.1477616230958855E-3</v>
      </c>
    </row>
    <row r="3029" spans="1:26" x14ac:dyDescent="0.2">
      <c r="A3029" s="45">
        <v>524</v>
      </c>
      <c r="B3029" s="45">
        <v>2003</v>
      </c>
      <c r="C3029" s="17">
        <v>0</v>
      </c>
      <c r="D3029" s="14">
        <v>1.0575299999999999E-2</v>
      </c>
      <c r="E3029" s="14">
        <v>0.48358859999999998</v>
      </c>
      <c r="F3029" s="14">
        <v>6.2498499999999998E-2</v>
      </c>
      <c r="G3029" s="14">
        <v>1.2554780000000001</v>
      </c>
      <c r="H3029" s="14">
        <v>0.167742</v>
      </c>
      <c r="R3029" s="11">
        <f t="shared" si="94"/>
        <v>3.1813098232314598E-3</v>
      </c>
      <c r="Z3029" s="11">
        <f t="shared" si="95"/>
        <v>4.1438563229012201E-3</v>
      </c>
    </row>
    <row r="3030" spans="1:26" x14ac:dyDescent="0.2">
      <c r="A3030" s="45">
        <v>524</v>
      </c>
      <c r="B3030" s="45">
        <v>2004</v>
      </c>
      <c r="C3030" s="17">
        <v>0</v>
      </c>
      <c r="D3030" s="14">
        <v>-2.9831E-2</v>
      </c>
      <c r="E3030" s="14">
        <v>0.47440949999999998</v>
      </c>
      <c r="F3030" s="14">
        <v>6.0762200000000002E-2</v>
      </c>
      <c r="G3030" s="14">
        <v>1.283795</v>
      </c>
      <c r="H3030" s="14">
        <v>0.1782108</v>
      </c>
      <c r="R3030" s="11">
        <f t="shared" si="94"/>
        <v>3.1250771701336281E-3</v>
      </c>
      <c r="Z3030" s="11">
        <f t="shared" si="95"/>
        <v>4.0611168762864445E-3</v>
      </c>
    </row>
    <row r="3031" spans="1:26" x14ac:dyDescent="0.2">
      <c r="A3031" s="45">
        <v>525</v>
      </c>
      <c r="B3031" s="45">
        <v>1995</v>
      </c>
      <c r="C3031" s="17">
        <v>0</v>
      </c>
      <c r="D3031" s="14">
        <v>0.1985275</v>
      </c>
      <c r="E3031" s="14">
        <v>0.28518729999999998</v>
      </c>
      <c r="F3031" s="14">
        <v>5.6073400000000002E-2</v>
      </c>
      <c r="G3031" s="14">
        <v>5.6035269999999997</v>
      </c>
      <c r="H3031" s="14">
        <v>0.13153509999999999</v>
      </c>
      <c r="R3031" s="11">
        <f t="shared" ref="R3031:R3094" si="96">1/(1+EXP(-(K$2+$M$2*E3031+$N$2*F3031+$O$2*G3031)))</f>
        <v>4.3889012616520128E-6</v>
      </c>
      <c r="Z3031" s="11">
        <f t="shared" si="95"/>
        <v>5.1374724062425729E-6</v>
      </c>
    </row>
    <row r="3032" spans="1:26" x14ac:dyDescent="0.2">
      <c r="A3032" s="45">
        <v>525</v>
      </c>
      <c r="B3032" s="45">
        <v>1996</v>
      </c>
      <c r="C3032" s="17">
        <v>0</v>
      </c>
      <c r="D3032" s="14">
        <v>0.18675</v>
      </c>
      <c r="E3032" s="14">
        <v>0.21746740000000001</v>
      </c>
      <c r="F3032" s="14">
        <v>9.0954999999999994E-3</v>
      </c>
      <c r="G3032" s="14">
        <v>4.2171240000000001</v>
      </c>
      <c r="H3032" s="14">
        <v>0.1335268</v>
      </c>
      <c r="R3032" s="11">
        <f t="shared" si="96"/>
        <v>6.4240124168391221E-5</v>
      </c>
      <c r="Z3032" s="11">
        <f t="shared" si="95"/>
        <v>7.4425778898788925E-5</v>
      </c>
    </row>
    <row r="3033" spans="1:26" x14ac:dyDescent="0.2">
      <c r="A3033" s="45">
        <v>525</v>
      </c>
      <c r="B3033" s="45">
        <v>1997</v>
      </c>
      <c r="C3033" s="17">
        <v>0</v>
      </c>
      <c r="D3033" s="14">
        <v>0.15948409999999999</v>
      </c>
      <c r="E3033" s="14">
        <v>0.13624939999999999</v>
      </c>
      <c r="F3033" s="14">
        <v>-7.0523199999999994E-2</v>
      </c>
      <c r="G3033" s="14">
        <v>3.21393</v>
      </c>
      <c r="H3033" s="14">
        <v>0.1362198</v>
      </c>
      <c r="R3033" s="11">
        <f t="shared" si="96"/>
        <v>6.7564506549970679E-4</v>
      </c>
      <c r="Z3033" s="11">
        <f t="shared" si="95"/>
        <v>7.4756774596859254E-4</v>
      </c>
    </row>
    <row r="3034" spans="1:26" x14ac:dyDescent="0.2">
      <c r="A3034" s="45">
        <v>525</v>
      </c>
      <c r="B3034" s="45">
        <v>1998</v>
      </c>
      <c r="C3034" s="17">
        <v>0</v>
      </c>
      <c r="D3034" s="14">
        <v>0.26185120000000001</v>
      </c>
      <c r="E3034" s="14">
        <v>0.1519413</v>
      </c>
      <c r="F3034" s="14">
        <v>5.0385699999999999E-2</v>
      </c>
      <c r="G3034" s="14">
        <v>2.7679740000000002</v>
      </c>
      <c r="H3034" s="14">
        <v>0.13642989999999999</v>
      </c>
      <c r="R3034" s="11">
        <f t="shared" si="96"/>
        <v>5.1108280191738519E-4</v>
      </c>
      <c r="Z3034" s="11">
        <f t="shared" si="95"/>
        <v>6.3087518163358548E-4</v>
      </c>
    </row>
    <row r="3035" spans="1:26" x14ac:dyDescent="0.2">
      <c r="A3035" s="45">
        <v>525</v>
      </c>
      <c r="B3035" s="45">
        <v>1999</v>
      </c>
      <c r="C3035" s="17">
        <v>0</v>
      </c>
      <c r="D3035" s="14">
        <v>0.1037738</v>
      </c>
      <c r="E3035" s="14">
        <v>0.13967479999999999</v>
      </c>
      <c r="F3035" s="14">
        <v>2.4671100000000001E-2</v>
      </c>
      <c r="G3035" s="14">
        <v>2.1835770000000001</v>
      </c>
      <c r="H3035" s="14">
        <v>0.13817399999999999</v>
      </c>
      <c r="R3035" s="11">
        <f t="shared" si="96"/>
        <v>1.6200972429597938E-3</v>
      </c>
      <c r="Z3035" s="11">
        <f t="shared" si="95"/>
        <v>1.9821661222901117E-3</v>
      </c>
    </row>
    <row r="3036" spans="1:26" x14ac:dyDescent="0.2">
      <c r="A3036" s="45">
        <v>525</v>
      </c>
      <c r="B3036" s="45">
        <v>2000</v>
      </c>
      <c r="C3036" s="17">
        <v>0</v>
      </c>
      <c r="D3036" s="14">
        <v>0.16936480000000001</v>
      </c>
      <c r="E3036" s="14">
        <v>0.1006745</v>
      </c>
      <c r="F3036" s="14">
        <v>-4.7787400000000001E-2</v>
      </c>
      <c r="G3036" s="14">
        <v>2.5050979999999998</v>
      </c>
      <c r="H3036" s="14">
        <v>0.14448</v>
      </c>
      <c r="R3036" s="11">
        <f t="shared" si="96"/>
        <v>1.8334611706692244E-3</v>
      </c>
      <c r="Z3036" s="11">
        <f t="shared" si="95"/>
        <v>2.0963498914007847E-3</v>
      </c>
    </row>
    <row r="3037" spans="1:26" x14ac:dyDescent="0.2">
      <c r="A3037" s="45">
        <v>525</v>
      </c>
      <c r="B3037" s="45">
        <v>2001</v>
      </c>
      <c r="C3037" s="17">
        <v>0</v>
      </c>
      <c r="D3037" s="14">
        <v>0.2169363</v>
      </c>
      <c r="E3037" s="14">
        <v>4.3444799999999999E-2</v>
      </c>
      <c r="F3037" s="14">
        <v>3.3172599999999997E-2</v>
      </c>
      <c r="G3037" s="14">
        <v>3.3005979999999999</v>
      </c>
      <c r="H3037" s="14">
        <v>0.1236048</v>
      </c>
      <c r="R3037" s="11">
        <f t="shared" si="96"/>
        <v>2.9394923351154279E-4</v>
      </c>
      <c r="Z3037" s="11">
        <f t="shared" si="95"/>
        <v>3.5230155197074321E-4</v>
      </c>
    </row>
    <row r="3038" spans="1:26" x14ac:dyDescent="0.2">
      <c r="A3038" s="45">
        <v>525</v>
      </c>
      <c r="B3038" s="45">
        <v>2002</v>
      </c>
      <c r="C3038" s="17">
        <v>0</v>
      </c>
      <c r="D3038" s="14">
        <v>9.0692300000000003E-2</v>
      </c>
      <c r="E3038" s="14">
        <v>4.8701800000000003E-2</v>
      </c>
      <c r="F3038" s="14">
        <v>4.5070800000000001E-2</v>
      </c>
      <c r="G3038" s="14">
        <v>2.949862</v>
      </c>
      <c r="H3038" s="14">
        <v>0.10799599999999999</v>
      </c>
      <c r="R3038" s="11">
        <f t="shared" si="96"/>
        <v>4.6375197497666699E-4</v>
      </c>
      <c r="Z3038" s="11">
        <f t="shared" si="95"/>
        <v>5.6568843897166952E-4</v>
      </c>
    </row>
    <row r="3039" spans="1:26" x14ac:dyDescent="0.2">
      <c r="A3039" s="45">
        <v>525</v>
      </c>
      <c r="B3039" s="45">
        <v>2003</v>
      </c>
      <c r="C3039" s="17">
        <v>0</v>
      </c>
      <c r="D3039" s="14">
        <v>0.19575049999999999</v>
      </c>
      <c r="E3039" s="14">
        <v>9.8138400000000001E-2</v>
      </c>
      <c r="F3039" s="14">
        <v>4.5992699999999997E-2</v>
      </c>
      <c r="G3039" s="14">
        <v>3.4882119999999999</v>
      </c>
      <c r="H3039" s="14">
        <v>0.1397216</v>
      </c>
      <c r="R3039" s="11">
        <f t="shared" si="96"/>
        <v>1.8171951707886909E-4</v>
      </c>
      <c r="Z3039" s="11">
        <f t="shared" si="95"/>
        <v>2.1960205819578874E-4</v>
      </c>
    </row>
    <row r="3040" spans="1:26" x14ac:dyDescent="0.2">
      <c r="A3040" s="45">
        <v>525</v>
      </c>
      <c r="B3040" s="45">
        <v>2004</v>
      </c>
      <c r="C3040" s="17">
        <v>0</v>
      </c>
      <c r="D3040" s="14">
        <v>0.243205</v>
      </c>
      <c r="E3040" s="14">
        <v>0.1274737</v>
      </c>
      <c r="F3040" s="14">
        <v>2.91995E-2</v>
      </c>
      <c r="G3040" s="14">
        <v>3.4987270000000001</v>
      </c>
      <c r="H3040" s="14">
        <v>0.1125659</v>
      </c>
      <c r="R3040" s="11">
        <f t="shared" si="96"/>
        <v>1.9585395950855546E-4</v>
      </c>
      <c r="Z3040" s="11">
        <f t="shared" si="95"/>
        <v>2.3362813183235582E-4</v>
      </c>
    </row>
    <row r="3041" spans="1:26" x14ac:dyDescent="0.2">
      <c r="A3041" s="45">
        <v>526</v>
      </c>
      <c r="B3041" s="45">
        <v>1995</v>
      </c>
      <c r="C3041" s="17">
        <v>0</v>
      </c>
      <c r="D3041" s="14">
        <v>1.23009E-2</v>
      </c>
      <c r="E3041" s="14">
        <v>-7.8461699999999995E-2</v>
      </c>
      <c r="F3041" s="14">
        <v>3.42311E-2</v>
      </c>
      <c r="G3041" s="14">
        <v>0.56153390000000003</v>
      </c>
      <c r="H3041" s="14">
        <v>0.36366710000000002</v>
      </c>
      <c r="R3041" s="11">
        <f t="shared" si="96"/>
        <v>2.6647129738929673E-2</v>
      </c>
      <c r="Z3041" s="11">
        <f t="shared" si="95"/>
        <v>3.3571834873319009E-2</v>
      </c>
    </row>
    <row r="3042" spans="1:26" x14ac:dyDescent="0.2">
      <c r="A3042" s="45">
        <v>526</v>
      </c>
      <c r="B3042" s="45">
        <v>1996</v>
      </c>
      <c r="C3042" s="17">
        <v>0</v>
      </c>
      <c r="D3042" s="14">
        <v>2.6805900000000001E-2</v>
      </c>
      <c r="E3042" s="14">
        <v>-3.7604600000000002E-2</v>
      </c>
      <c r="F3042" s="14">
        <v>5.3927500000000003E-2</v>
      </c>
      <c r="G3042" s="14">
        <v>0.80063589999999996</v>
      </c>
      <c r="H3042" s="14">
        <v>0.45190259999999999</v>
      </c>
      <c r="R3042" s="11">
        <f t="shared" si="96"/>
        <v>1.4831541705884847E-2</v>
      </c>
      <c r="Z3042" s="11">
        <f t="shared" si="95"/>
        <v>1.8972115130260321E-2</v>
      </c>
    </row>
    <row r="3043" spans="1:26" x14ac:dyDescent="0.2">
      <c r="A3043" s="45">
        <v>526</v>
      </c>
      <c r="B3043" s="45">
        <v>1997</v>
      </c>
      <c r="C3043" s="17">
        <v>0</v>
      </c>
      <c r="D3043" s="14">
        <v>1.9461599999999999E-2</v>
      </c>
      <c r="E3043" s="14">
        <v>1.5255100000000001E-2</v>
      </c>
      <c r="F3043" s="14">
        <v>4.7887600000000002E-2</v>
      </c>
      <c r="G3043" s="14">
        <v>0.71447150000000004</v>
      </c>
      <c r="H3043" s="14">
        <v>0.47591030000000001</v>
      </c>
      <c r="R3043" s="11">
        <f t="shared" si="96"/>
        <v>1.6507567552895598E-2</v>
      </c>
      <c r="Z3043" s="11">
        <f t="shared" si="95"/>
        <v>2.1080381644696163E-2</v>
      </c>
    </row>
    <row r="3044" spans="1:26" x14ac:dyDescent="0.2">
      <c r="A3044" s="45">
        <v>526</v>
      </c>
      <c r="B3044" s="45">
        <v>1998</v>
      </c>
      <c r="C3044" s="17">
        <v>0</v>
      </c>
      <c r="D3044" s="14">
        <v>1.8539699999999999E-2</v>
      </c>
      <c r="E3044" s="14">
        <v>-4.4344500000000002E-2</v>
      </c>
      <c r="F3044" s="14">
        <v>5.3090199999999997E-2</v>
      </c>
      <c r="G3044" s="14">
        <v>0.33511200000000002</v>
      </c>
      <c r="H3044" s="14">
        <v>0.50889240000000002</v>
      </c>
      <c r="R3044" s="11">
        <f t="shared" si="96"/>
        <v>3.1137712355516899E-2</v>
      </c>
      <c r="Z3044" s="11">
        <f t="shared" si="95"/>
        <v>4.0004265580001301E-2</v>
      </c>
    </row>
    <row r="3045" spans="1:26" x14ac:dyDescent="0.2">
      <c r="A3045" s="45">
        <v>526</v>
      </c>
      <c r="B3045" s="45">
        <v>1999</v>
      </c>
      <c r="C3045" s="17">
        <v>0</v>
      </c>
      <c r="D3045" s="14">
        <v>9.8953700000000006E-2</v>
      </c>
      <c r="E3045" s="14">
        <v>-4.4710600000000003E-2</v>
      </c>
      <c r="F3045" s="14">
        <v>5.7133999999999997E-2</v>
      </c>
      <c r="G3045" s="14">
        <v>0.172823</v>
      </c>
      <c r="H3045" s="14">
        <v>5.0077749999999996</v>
      </c>
      <c r="R3045" s="11">
        <f t="shared" si="96"/>
        <v>3.8757804769841989E-2</v>
      </c>
      <c r="Z3045" s="11">
        <f t="shared" si="95"/>
        <v>5.0008585044289691E-2</v>
      </c>
    </row>
    <row r="3046" spans="1:26" x14ac:dyDescent="0.2">
      <c r="A3046" s="45">
        <v>526</v>
      </c>
      <c r="B3046" s="45">
        <v>2000</v>
      </c>
      <c r="C3046" s="17">
        <v>0</v>
      </c>
      <c r="D3046" s="14">
        <v>3.07359E-2</v>
      </c>
      <c r="E3046" s="14">
        <v>-3.7160899999999997E-2</v>
      </c>
      <c r="F3046" s="14">
        <v>5.2322100000000003E-2</v>
      </c>
      <c r="G3046" s="14">
        <v>0.33622340000000001</v>
      </c>
      <c r="H3046" s="14">
        <v>1.1578820000000001</v>
      </c>
      <c r="R3046" s="11">
        <f t="shared" si="96"/>
        <v>3.095504752785997E-2</v>
      </c>
      <c r="Z3046" s="11">
        <f t="shared" si="95"/>
        <v>3.9756148457954013E-2</v>
      </c>
    </row>
    <row r="3047" spans="1:26" x14ac:dyDescent="0.2">
      <c r="A3047" s="45">
        <v>526</v>
      </c>
      <c r="B3047" s="45">
        <v>2001</v>
      </c>
      <c r="C3047" s="17">
        <v>0</v>
      </c>
      <c r="D3047" s="14">
        <v>1.3793E-3</v>
      </c>
      <c r="E3047" s="14">
        <v>0.1031035</v>
      </c>
      <c r="F3047" s="14">
        <v>3.7488899999999999E-2</v>
      </c>
      <c r="G3047" s="14">
        <v>1.6863999999999999</v>
      </c>
      <c r="H3047" s="14">
        <v>9.7034400000000007E-2</v>
      </c>
      <c r="R3047" s="11">
        <f t="shared" si="96"/>
        <v>3.399558952213764E-3</v>
      </c>
      <c r="Z3047" s="11">
        <f t="shared" si="95"/>
        <v>4.2421422176970531E-3</v>
      </c>
    </row>
    <row r="3048" spans="1:26" x14ac:dyDescent="0.2">
      <c r="A3048" s="45">
        <v>526</v>
      </c>
      <c r="B3048" s="45">
        <v>2002</v>
      </c>
      <c r="C3048" s="17">
        <v>0</v>
      </c>
      <c r="D3048" s="14">
        <v>-3.7497099999999998E-2</v>
      </c>
      <c r="E3048" s="14">
        <v>-0.63747489999999996</v>
      </c>
      <c r="F3048" s="14">
        <v>3.84614E-2</v>
      </c>
      <c r="G3048" s="14">
        <v>5.1363430000000001</v>
      </c>
      <c r="H3048" s="14">
        <v>5.0072400000000003E-2</v>
      </c>
      <c r="R3048" s="11">
        <f t="shared" si="96"/>
        <v>4.0690459555207492E-5</v>
      </c>
      <c r="Z3048" s="11">
        <f t="shared" si="95"/>
        <v>4.5956600336160122E-5</v>
      </c>
    </row>
    <row r="3049" spans="1:26" x14ac:dyDescent="0.2">
      <c r="A3049" s="45">
        <v>526</v>
      </c>
      <c r="B3049" s="45">
        <v>2003</v>
      </c>
      <c r="C3049" s="17">
        <v>0</v>
      </c>
      <c r="D3049" s="14">
        <v>-8.7120400000000001E-2</v>
      </c>
      <c r="E3049" s="14">
        <v>-0.45553650000000001</v>
      </c>
      <c r="F3049" s="14">
        <v>2.3906899999999998E-2</v>
      </c>
      <c r="G3049" s="14">
        <v>5.0777809999999999</v>
      </c>
      <c r="H3049" s="14">
        <v>6.5043299999999998E-2</v>
      </c>
      <c r="R3049" s="11">
        <f t="shared" si="96"/>
        <v>3.8520863761562035E-5</v>
      </c>
      <c r="Z3049" s="11">
        <f t="shared" si="95"/>
        <v>4.3315034269456584E-5</v>
      </c>
    </row>
    <row r="3050" spans="1:26" x14ac:dyDescent="0.2">
      <c r="A3050" s="45">
        <v>527</v>
      </c>
      <c r="B3050" s="45">
        <v>1995</v>
      </c>
      <c r="C3050" s="17">
        <v>0</v>
      </c>
      <c r="D3050" s="14">
        <v>0.48533749999999998</v>
      </c>
      <c r="E3050" s="14">
        <v>-0.48211500000000002</v>
      </c>
      <c r="F3050" s="14">
        <v>0.14430280000000001</v>
      </c>
      <c r="G3050" s="14">
        <v>2.9819939999999998</v>
      </c>
      <c r="H3050" s="14">
        <v>0.46514470000000002</v>
      </c>
      <c r="R3050" s="11">
        <f t="shared" si="96"/>
        <v>4.3105389725801727E-4</v>
      </c>
      <c r="Z3050" s="11">
        <f t="shared" si="95"/>
        <v>5.5966498436613133E-4</v>
      </c>
    </row>
    <row r="3051" spans="1:26" x14ac:dyDescent="0.2">
      <c r="A3051" s="45">
        <v>527</v>
      </c>
      <c r="B3051" s="45">
        <v>1996</v>
      </c>
      <c r="C3051" s="17">
        <v>0</v>
      </c>
      <c r="D3051" s="14">
        <v>0.5438634</v>
      </c>
      <c r="E3051" s="14">
        <v>-0.16079089999999999</v>
      </c>
      <c r="F3051" s="14">
        <v>0.13235939999999999</v>
      </c>
      <c r="G3051" s="14">
        <v>3.332633</v>
      </c>
      <c r="H3051" s="14">
        <v>0.44233830000000002</v>
      </c>
      <c r="R3051" s="11">
        <f t="shared" si="96"/>
        <v>1.7004141673142276E-4</v>
      </c>
      <c r="Z3051" s="11">
        <f t="shared" si="95"/>
        <v>2.1936321690141592E-4</v>
      </c>
    </row>
    <row r="3052" spans="1:26" x14ac:dyDescent="0.2">
      <c r="A3052" s="45">
        <v>527</v>
      </c>
      <c r="B3052" s="45">
        <v>1997</v>
      </c>
      <c r="C3052" s="17">
        <v>0</v>
      </c>
      <c r="D3052" s="14">
        <v>0.63840330000000001</v>
      </c>
      <c r="E3052" s="14">
        <v>0.1189692</v>
      </c>
      <c r="F3052" s="14">
        <v>0.1233129</v>
      </c>
      <c r="G3052" s="14">
        <v>6.0429219999999999</v>
      </c>
      <c r="H3052" s="14">
        <v>0.40921279999999999</v>
      </c>
      <c r="R3052" s="11">
        <f t="shared" si="96"/>
        <v>1.6204374507020809E-6</v>
      </c>
      <c r="Z3052" s="11">
        <f t="shared" si="95"/>
        <v>1.9737229205980256E-6</v>
      </c>
    </row>
    <row r="3053" spans="1:26" x14ac:dyDescent="0.2">
      <c r="A3053" s="45">
        <v>527</v>
      </c>
      <c r="B3053" s="45">
        <v>1998</v>
      </c>
      <c r="C3053" s="17">
        <v>0</v>
      </c>
      <c r="D3053" s="14">
        <v>0.55570759999999997</v>
      </c>
      <c r="E3053" s="14">
        <v>0.52479739999999997</v>
      </c>
      <c r="F3053" s="14">
        <v>0.17896419999999999</v>
      </c>
      <c r="G3053" s="14">
        <v>19.927119999999999</v>
      </c>
      <c r="H3053" s="14">
        <v>0.53148580000000001</v>
      </c>
      <c r="R3053" s="11">
        <f t="shared" si="96"/>
        <v>1.4155675126130652E-16</v>
      </c>
      <c r="Z3053" s="11">
        <f t="shared" si="95"/>
        <v>1.3478834528097541E-16</v>
      </c>
    </row>
    <row r="3054" spans="1:26" x14ac:dyDescent="0.2">
      <c r="A3054" s="45">
        <v>528</v>
      </c>
      <c r="B3054" s="45">
        <v>1999</v>
      </c>
      <c r="C3054" s="17">
        <v>0</v>
      </c>
      <c r="D3054" s="14">
        <v>0.17421990000000001</v>
      </c>
      <c r="E3054" s="14">
        <v>-0.50008189999999997</v>
      </c>
      <c r="F3054" s="14">
        <v>-0.1983972</v>
      </c>
      <c r="G3054" s="14">
        <v>1.433179</v>
      </c>
      <c r="H3054" s="14">
        <v>0.10929179999999999</v>
      </c>
      <c r="R3054" s="11">
        <f t="shared" si="96"/>
        <v>7.4933696924804269E-2</v>
      </c>
      <c r="Z3054" s="11">
        <f t="shared" si="95"/>
        <v>7.589692517851504E-2</v>
      </c>
    </row>
    <row r="3055" spans="1:26" x14ac:dyDescent="0.2">
      <c r="A3055" s="45">
        <v>528</v>
      </c>
      <c r="B3055" s="45">
        <v>2000</v>
      </c>
      <c r="C3055" s="17">
        <v>0</v>
      </c>
      <c r="D3055" s="14">
        <v>0.1415014</v>
      </c>
      <c r="E3055" s="14">
        <v>-0.81077869999999996</v>
      </c>
      <c r="F3055" s="14">
        <v>-8.8586100000000001E-2</v>
      </c>
      <c r="G3055" s="14">
        <v>0.44850669999999998</v>
      </c>
      <c r="H3055" s="14">
        <v>0.12525439999999999</v>
      </c>
      <c r="R3055" s="11">
        <f t="shared" si="96"/>
        <v>0.20250360665365108</v>
      </c>
      <c r="Z3055" s="11">
        <f t="shared" si="95"/>
        <v>0.22168755396033701</v>
      </c>
    </row>
    <row r="3056" spans="1:26" x14ac:dyDescent="0.2">
      <c r="A3056" s="45">
        <v>528</v>
      </c>
      <c r="B3056" s="45">
        <v>2001</v>
      </c>
      <c r="C3056" s="17">
        <v>0</v>
      </c>
      <c r="D3056" s="14">
        <v>0.13693169999999999</v>
      </c>
      <c r="E3056" s="14">
        <v>-1.052173</v>
      </c>
      <c r="F3056" s="14">
        <v>-1.1215999999999999E-3</v>
      </c>
      <c r="G3056" s="14">
        <v>1.0572060000000001</v>
      </c>
      <c r="H3056" s="14">
        <v>0.1562095</v>
      </c>
      <c r="R3056" s="11">
        <f t="shared" si="96"/>
        <v>6.3602890210809726E-2</v>
      </c>
      <c r="Z3056" s="11">
        <f t="shared" si="95"/>
        <v>7.4158104671664546E-2</v>
      </c>
    </row>
    <row r="3057" spans="1:26" x14ac:dyDescent="0.2">
      <c r="A3057" s="45">
        <v>529</v>
      </c>
      <c r="B3057" s="45">
        <v>1995</v>
      </c>
      <c r="C3057" s="17">
        <v>0</v>
      </c>
      <c r="D3057" s="14">
        <v>8.4916699999999998E-2</v>
      </c>
      <c r="E3057" s="14">
        <v>-0.25402540000000001</v>
      </c>
      <c r="F3057" s="14">
        <v>4.33389E-2</v>
      </c>
      <c r="G3057" s="14">
        <v>3.5239050000000001</v>
      </c>
      <c r="H3057" s="14">
        <v>0.1354697</v>
      </c>
      <c r="R3057" s="11">
        <f t="shared" si="96"/>
        <v>2.9258483979231243E-4</v>
      </c>
      <c r="Z3057" s="11">
        <f t="shared" si="95"/>
        <v>3.4829762043573709E-4</v>
      </c>
    </row>
    <row r="3058" spans="1:26" x14ac:dyDescent="0.2">
      <c r="A3058" s="45">
        <v>529</v>
      </c>
      <c r="B3058" s="45">
        <v>1996</v>
      </c>
      <c r="C3058" s="17">
        <v>0</v>
      </c>
      <c r="D3058" s="14">
        <v>4.41982E-2</v>
      </c>
      <c r="E3058" s="14">
        <v>-9.78744E-2</v>
      </c>
      <c r="F3058" s="14">
        <v>6.2841300000000003E-2</v>
      </c>
      <c r="G3058" s="14">
        <v>4.2559950000000004</v>
      </c>
      <c r="H3058" s="14">
        <v>0.12510940000000001</v>
      </c>
      <c r="R3058" s="11">
        <f t="shared" si="96"/>
        <v>6.2133366453575109E-5</v>
      </c>
      <c r="Z3058" s="11">
        <f t="shared" si="95"/>
        <v>7.4354642024130867E-5</v>
      </c>
    </row>
    <row r="3059" spans="1:26" x14ac:dyDescent="0.2">
      <c r="A3059" s="45">
        <v>529</v>
      </c>
      <c r="B3059" s="45">
        <v>1997</v>
      </c>
      <c r="C3059" s="17">
        <v>0</v>
      </c>
      <c r="D3059" s="14">
        <v>3.9956600000000002E-2</v>
      </c>
      <c r="E3059" s="14">
        <v>-8.0993999999999997E-3</v>
      </c>
      <c r="F3059" s="14">
        <v>6.0687400000000002E-2</v>
      </c>
      <c r="G3059" s="14">
        <v>1.877567</v>
      </c>
      <c r="H3059" s="14">
        <v>0.15231510000000001</v>
      </c>
      <c r="R3059" s="11">
        <f t="shared" si="96"/>
        <v>2.4499817444096307E-3</v>
      </c>
      <c r="Z3059" s="11">
        <f t="shared" si="95"/>
        <v>3.0916348816662784E-3</v>
      </c>
    </row>
    <row r="3060" spans="1:26" x14ac:dyDescent="0.2">
      <c r="A3060" s="45">
        <v>529</v>
      </c>
      <c r="B3060" s="45">
        <v>1998</v>
      </c>
      <c r="C3060" s="17">
        <v>0</v>
      </c>
      <c r="D3060" s="14">
        <v>-6.4939000000000004E-3</v>
      </c>
      <c r="E3060" s="14">
        <v>-4.6262299999999999E-2</v>
      </c>
      <c r="F3060" s="14">
        <v>-1.6629999999999999E-2</v>
      </c>
      <c r="G3060" s="14">
        <v>0.88395210000000002</v>
      </c>
      <c r="H3060" s="14">
        <v>8.3424300000000007E-2</v>
      </c>
      <c r="R3060" s="11">
        <f t="shared" si="96"/>
        <v>2.2935950419410201E-2</v>
      </c>
      <c r="Z3060" s="11">
        <f t="shared" si="95"/>
        <v>2.7615124405711667E-2</v>
      </c>
    </row>
    <row r="3061" spans="1:26" x14ac:dyDescent="0.2">
      <c r="A3061" s="45">
        <v>529</v>
      </c>
      <c r="B3061" s="45">
        <v>1999</v>
      </c>
      <c r="C3061" s="17">
        <v>0</v>
      </c>
      <c r="D3061" s="14">
        <v>2.9866199999999999E-2</v>
      </c>
      <c r="E3061" s="14">
        <v>-3.9393499999999998E-2</v>
      </c>
      <c r="F3061" s="14">
        <v>4.2978799999999998E-2</v>
      </c>
      <c r="G3061" s="14">
        <v>1.24038</v>
      </c>
      <c r="H3061" s="14">
        <v>0.1173947</v>
      </c>
      <c r="R3061" s="11">
        <f t="shared" si="96"/>
        <v>8.108910513270123E-3</v>
      </c>
      <c r="Z3061" s="11">
        <f t="shared" si="95"/>
        <v>1.0201732894386863E-2</v>
      </c>
    </row>
    <row r="3062" spans="1:26" x14ac:dyDescent="0.2">
      <c r="A3062" s="45">
        <v>529</v>
      </c>
      <c r="B3062" s="45">
        <v>2000</v>
      </c>
      <c r="C3062" s="17">
        <v>0</v>
      </c>
      <c r="D3062" s="14">
        <v>0.12104520000000001</v>
      </c>
      <c r="E3062" s="14">
        <v>4.6562300000000001E-2</v>
      </c>
      <c r="F3062" s="14">
        <v>0.1046247</v>
      </c>
      <c r="G3062" s="14">
        <v>1.786602</v>
      </c>
      <c r="H3062" s="14">
        <v>0.1728391</v>
      </c>
      <c r="R3062" s="11">
        <f t="shared" si="96"/>
        <v>1.8417479534043541E-3</v>
      </c>
      <c r="Z3062" s="11">
        <f t="shared" si="95"/>
        <v>2.4188489291087725E-3</v>
      </c>
    </row>
    <row r="3063" spans="1:26" x14ac:dyDescent="0.2">
      <c r="A3063" s="45">
        <v>529</v>
      </c>
      <c r="B3063" s="45">
        <v>2001</v>
      </c>
      <c r="C3063" s="17">
        <v>0</v>
      </c>
      <c r="D3063" s="14">
        <v>6.9822700000000001E-2</v>
      </c>
      <c r="E3063" s="14">
        <v>8.4901500000000005E-2</v>
      </c>
      <c r="F3063" s="14">
        <v>5.15848E-2</v>
      </c>
      <c r="G3063" s="14">
        <v>0.91203529999999999</v>
      </c>
      <c r="H3063" s="14">
        <v>7.4998300000000004E-2</v>
      </c>
      <c r="R3063" s="11">
        <f t="shared" si="96"/>
        <v>1.0634409657924605E-2</v>
      </c>
      <c r="Z3063" s="11">
        <f t="shared" si="95"/>
        <v>1.3617110677597116E-2</v>
      </c>
    </row>
    <row r="3064" spans="1:26" x14ac:dyDescent="0.2">
      <c r="A3064" s="45">
        <v>529</v>
      </c>
      <c r="B3064" s="45">
        <v>2003</v>
      </c>
      <c r="C3064" s="17">
        <v>0</v>
      </c>
      <c r="D3064" s="14">
        <v>9.2793899999999999E-2</v>
      </c>
      <c r="E3064" s="14">
        <v>0.20072429999999999</v>
      </c>
      <c r="F3064" s="14">
        <v>7.8867499999999993E-2</v>
      </c>
      <c r="G3064" s="14">
        <v>2.371305</v>
      </c>
      <c r="H3064" s="14">
        <v>0.1299139</v>
      </c>
      <c r="R3064" s="11">
        <f t="shared" si="96"/>
        <v>7.1315567808598746E-4</v>
      </c>
      <c r="Z3064" s="11">
        <f t="shared" si="95"/>
        <v>9.1046213902504561E-4</v>
      </c>
    </row>
    <row r="3065" spans="1:26" x14ac:dyDescent="0.2">
      <c r="A3065" s="45">
        <v>529</v>
      </c>
      <c r="B3065" s="45">
        <v>2004</v>
      </c>
      <c r="C3065" s="17">
        <v>0</v>
      </c>
      <c r="D3065" s="14">
        <v>7.9877199999999995E-2</v>
      </c>
      <c r="E3065" s="14">
        <v>0.24314259999999999</v>
      </c>
      <c r="F3065" s="14">
        <v>6.4656000000000005E-2</v>
      </c>
      <c r="G3065" s="14">
        <v>1.809088</v>
      </c>
      <c r="H3065" s="14">
        <v>0.12528610000000001</v>
      </c>
      <c r="R3065" s="11">
        <f t="shared" si="96"/>
        <v>1.8381604633171099E-3</v>
      </c>
      <c r="Z3065" s="11">
        <f t="shared" si="95"/>
        <v>2.3511084436430877E-3</v>
      </c>
    </row>
    <row r="3066" spans="1:26" x14ac:dyDescent="0.2">
      <c r="A3066" s="45">
        <v>530</v>
      </c>
      <c r="B3066" s="45">
        <v>1995</v>
      </c>
      <c r="C3066" s="17">
        <v>0</v>
      </c>
      <c r="D3066" s="14">
        <v>0.35278409999999999</v>
      </c>
      <c r="E3066" s="14">
        <v>0.70882449999999997</v>
      </c>
      <c r="F3066" s="14">
        <v>3.9192200000000003E-2</v>
      </c>
      <c r="G3066" s="14">
        <v>1.4358280000000001</v>
      </c>
      <c r="H3066" s="14">
        <v>0.32159019999999999</v>
      </c>
      <c r="R3066" s="11">
        <f t="shared" si="96"/>
        <v>2.0749320663071562E-3</v>
      </c>
      <c r="Z3066" s="11">
        <f t="shared" si="95"/>
        <v>2.6625488435265904E-3</v>
      </c>
    </row>
    <row r="3067" spans="1:26" x14ac:dyDescent="0.2">
      <c r="A3067" s="45">
        <v>530</v>
      </c>
      <c r="B3067" s="45">
        <v>1996</v>
      </c>
      <c r="C3067" s="17">
        <v>0</v>
      </c>
      <c r="D3067" s="14">
        <v>0.30300650000000001</v>
      </c>
      <c r="E3067" s="14">
        <v>0.69371300000000002</v>
      </c>
      <c r="F3067" s="14">
        <v>5.3976000000000003E-2</v>
      </c>
      <c r="G3067" s="14">
        <v>1.287299</v>
      </c>
      <c r="H3067" s="14">
        <v>0.33663599999999999</v>
      </c>
      <c r="R3067" s="11">
        <f t="shared" si="96"/>
        <v>2.3869742646281389E-3</v>
      </c>
      <c r="Z3067" s="11">
        <f t="shared" si="95"/>
        <v>3.108432849185373E-3</v>
      </c>
    </row>
    <row r="3068" spans="1:26" x14ac:dyDescent="0.2">
      <c r="A3068" s="45">
        <v>530</v>
      </c>
      <c r="B3068" s="45">
        <v>1997</v>
      </c>
      <c r="C3068" s="17">
        <v>0</v>
      </c>
      <c r="D3068" s="14">
        <v>0.29083429999999999</v>
      </c>
      <c r="E3068" s="14">
        <v>0.61972689999999997</v>
      </c>
      <c r="F3068" s="14">
        <v>5.7791700000000001E-2</v>
      </c>
      <c r="G3068" s="14">
        <v>1.3425739999999999</v>
      </c>
      <c r="H3068" s="14">
        <v>0.31113819999999998</v>
      </c>
      <c r="R3068" s="11">
        <f t="shared" si="96"/>
        <v>2.3608509765122706E-3</v>
      </c>
      <c r="Z3068" s="11">
        <f t="shared" si="95"/>
        <v>3.0725217097208758E-3</v>
      </c>
    </row>
    <row r="3069" spans="1:26" x14ac:dyDescent="0.2">
      <c r="A3069" s="45">
        <v>530</v>
      </c>
      <c r="B3069" s="45">
        <v>1998</v>
      </c>
      <c r="C3069" s="17">
        <v>0</v>
      </c>
      <c r="D3069" s="14">
        <v>0.1947747</v>
      </c>
      <c r="E3069" s="14">
        <v>0.57926610000000001</v>
      </c>
      <c r="F3069" s="14">
        <v>4.6699000000000003E-3</v>
      </c>
      <c r="G3069" s="14">
        <v>0.48127160000000002</v>
      </c>
      <c r="H3069" s="14">
        <v>0.27005950000000001</v>
      </c>
      <c r="R3069" s="11">
        <f t="shared" si="96"/>
        <v>1.4919596648018249E-2</v>
      </c>
      <c r="Z3069" s="11">
        <f t="shared" si="95"/>
        <v>1.885723525903148E-2</v>
      </c>
    </row>
    <row r="3070" spans="1:26" x14ac:dyDescent="0.2">
      <c r="A3070" s="45">
        <v>530</v>
      </c>
      <c r="B3070" s="45">
        <v>1999</v>
      </c>
      <c r="C3070" s="17">
        <v>0</v>
      </c>
      <c r="D3070" s="14">
        <v>0.21302869999999999</v>
      </c>
      <c r="E3070" s="14">
        <v>0.61074170000000005</v>
      </c>
      <c r="F3070" s="14">
        <v>5.6883999999999997E-2</v>
      </c>
      <c r="G3070" s="14">
        <v>0.52413520000000002</v>
      </c>
      <c r="H3070" s="14">
        <v>0.34586230000000001</v>
      </c>
      <c r="R3070" s="11">
        <f t="shared" si="96"/>
        <v>8.8207827063811663E-3</v>
      </c>
      <c r="Z3070" s="11">
        <f t="shared" si="95"/>
        <v>1.1651233614055768E-2</v>
      </c>
    </row>
    <row r="3071" spans="1:26" x14ac:dyDescent="0.2">
      <c r="A3071" s="45">
        <v>530</v>
      </c>
      <c r="B3071" s="45">
        <v>2000</v>
      </c>
      <c r="C3071" s="17">
        <v>1</v>
      </c>
      <c r="D3071" s="14">
        <v>0.18468399999999999</v>
      </c>
      <c r="E3071" s="14">
        <v>0.59257409999999999</v>
      </c>
      <c r="F3071" s="14">
        <v>3.0806400000000001E-2</v>
      </c>
      <c r="G3071" s="14">
        <v>0.2030933</v>
      </c>
      <c r="H3071" s="14">
        <v>0.27230690000000002</v>
      </c>
      <c r="R3071" s="11">
        <f t="shared" si="96"/>
        <v>1.8430210867756567E-2</v>
      </c>
      <c r="Z3071" s="11">
        <f t="shared" si="95"/>
        <v>2.3917669382191149E-2</v>
      </c>
    </row>
    <row r="3072" spans="1:26" x14ac:dyDescent="0.2">
      <c r="A3072" s="45">
        <v>531</v>
      </c>
      <c r="B3072" s="45">
        <v>1995</v>
      </c>
      <c r="C3072" s="17">
        <v>0</v>
      </c>
      <c r="D3072" s="14">
        <v>0.24227940000000001</v>
      </c>
      <c r="E3072" s="14">
        <v>0.33463939999999998</v>
      </c>
      <c r="F3072" s="14">
        <v>3.1203100000000001E-2</v>
      </c>
      <c r="G3072" s="14">
        <v>0.66049179999999996</v>
      </c>
      <c r="H3072" s="14">
        <v>0.30514669999999999</v>
      </c>
      <c r="R3072" s="11">
        <f t="shared" si="96"/>
        <v>1.2968221768882274E-2</v>
      </c>
      <c r="Z3072" s="11">
        <f t="shared" si="95"/>
        <v>1.6552025130235907E-2</v>
      </c>
    </row>
    <row r="3073" spans="1:26" x14ac:dyDescent="0.2">
      <c r="A3073" s="45">
        <v>531</v>
      </c>
      <c r="B3073" s="45">
        <v>1996</v>
      </c>
      <c r="C3073" s="17">
        <v>0</v>
      </c>
      <c r="D3073" s="14">
        <v>0.22387670000000001</v>
      </c>
      <c r="E3073" s="14">
        <v>0.38939200000000002</v>
      </c>
      <c r="F3073" s="14">
        <v>3.7645699999999997E-2</v>
      </c>
      <c r="G3073" s="14">
        <v>0.97752660000000002</v>
      </c>
      <c r="H3073" s="14">
        <v>0.31209170000000003</v>
      </c>
      <c r="R3073" s="11">
        <f t="shared" si="96"/>
        <v>6.9050632180507601E-3</v>
      </c>
      <c r="Z3073" s="11">
        <f t="shared" si="95"/>
        <v>8.8298247698869129E-3</v>
      </c>
    </row>
    <row r="3074" spans="1:26" x14ac:dyDescent="0.2">
      <c r="A3074" s="45">
        <v>531</v>
      </c>
      <c r="B3074" s="45">
        <v>1997</v>
      </c>
      <c r="C3074" s="17">
        <v>0</v>
      </c>
      <c r="D3074" s="14">
        <v>0.35866300000000001</v>
      </c>
      <c r="E3074" s="14">
        <v>0.40572330000000001</v>
      </c>
      <c r="F3074" s="14">
        <v>5.0895900000000001E-2</v>
      </c>
      <c r="G3074" s="14">
        <v>1.0584499999999999</v>
      </c>
      <c r="H3074" s="14">
        <v>0.24579280000000001</v>
      </c>
      <c r="R3074" s="11">
        <f t="shared" si="96"/>
        <v>5.339520643396236E-3</v>
      </c>
      <c r="Z3074" s="11">
        <f t="shared" ref="Z3074:Z3137" si="97">1/(1+EXP(-(U$2+$V$2*E3074+$W$2*F3074+$X$2*G3074)))</f>
        <v>6.896598907425183E-3</v>
      </c>
    </row>
    <row r="3075" spans="1:26" x14ac:dyDescent="0.2">
      <c r="A3075" s="45">
        <v>531</v>
      </c>
      <c r="B3075" s="45">
        <v>1998</v>
      </c>
      <c r="C3075" s="17">
        <v>0</v>
      </c>
      <c r="D3075" s="14">
        <v>0.27402300000000002</v>
      </c>
      <c r="E3075" s="14">
        <v>0.28942240000000002</v>
      </c>
      <c r="F3075" s="14">
        <v>1.8270999999999999E-2</v>
      </c>
      <c r="G3075" s="14">
        <v>0.42023769999999999</v>
      </c>
      <c r="H3075" s="14">
        <v>0.25813370000000002</v>
      </c>
      <c r="R3075" s="11">
        <f t="shared" si="96"/>
        <v>2.2310347235962008E-2</v>
      </c>
      <c r="Z3075" s="11">
        <f t="shared" si="97"/>
        <v>2.8212905355708032E-2</v>
      </c>
    </row>
    <row r="3076" spans="1:26" x14ac:dyDescent="0.2">
      <c r="A3076" s="45">
        <v>531</v>
      </c>
      <c r="B3076" s="45">
        <v>1999</v>
      </c>
      <c r="C3076" s="17">
        <v>0</v>
      </c>
      <c r="D3076" s="14">
        <v>0.2684493</v>
      </c>
      <c r="E3076" s="14">
        <v>0.31875399999999998</v>
      </c>
      <c r="F3076" s="14">
        <v>7.1913500000000005E-2</v>
      </c>
      <c r="G3076" s="14">
        <v>0.8550278</v>
      </c>
      <c r="H3076" s="14">
        <v>0.31160100000000002</v>
      </c>
      <c r="R3076" s="11">
        <f t="shared" si="96"/>
        <v>7.0702856027783359E-3</v>
      </c>
      <c r="Z3076" s="11">
        <f t="shared" si="97"/>
        <v>9.2983809348201746E-3</v>
      </c>
    </row>
    <row r="3077" spans="1:26" x14ac:dyDescent="0.2">
      <c r="A3077" s="45">
        <v>531</v>
      </c>
      <c r="B3077" s="45">
        <v>2000</v>
      </c>
      <c r="C3077" s="17">
        <v>0</v>
      </c>
      <c r="D3077" s="14">
        <v>0.2779604</v>
      </c>
      <c r="E3077" s="14">
        <v>0.37989919999999999</v>
      </c>
      <c r="F3077" s="14">
        <v>4.5782799999999998E-2</v>
      </c>
      <c r="G3077" s="14">
        <v>0.92796900000000004</v>
      </c>
      <c r="H3077" s="14">
        <v>0.3110562</v>
      </c>
      <c r="R3077" s="11">
        <f t="shared" si="96"/>
        <v>7.0975480892756697E-3</v>
      </c>
      <c r="Z3077" s="11">
        <f t="shared" si="97"/>
        <v>9.1425904833705683E-3</v>
      </c>
    </row>
    <row r="3078" spans="1:26" x14ac:dyDescent="0.2">
      <c r="A3078" s="45">
        <v>531</v>
      </c>
      <c r="B3078" s="45">
        <v>2001</v>
      </c>
      <c r="C3078" s="17">
        <v>0</v>
      </c>
      <c r="D3078" s="14">
        <v>0.22431119999999999</v>
      </c>
      <c r="E3078" s="14">
        <v>0.22700509999999999</v>
      </c>
      <c r="F3078" s="14">
        <v>1.4448300000000001E-2</v>
      </c>
      <c r="G3078" s="14">
        <v>0.64239800000000002</v>
      </c>
      <c r="H3078" s="14">
        <v>0.27846939999999998</v>
      </c>
      <c r="R3078" s="11">
        <f t="shared" si="96"/>
        <v>1.7760800751963533E-2</v>
      </c>
      <c r="Z3078" s="11">
        <f t="shared" si="97"/>
        <v>2.2265022301117782E-2</v>
      </c>
    </row>
    <row r="3079" spans="1:26" x14ac:dyDescent="0.2">
      <c r="A3079" s="45">
        <v>531</v>
      </c>
      <c r="B3079" s="45">
        <v>2002</v>
      </c>
      <c r="C3079" s="17">
        <v>0</v>
      </c>
      <c r="D3079" s="14">
        <v>0.1647332</v>
      </c>
      <c r="E3079" s="14">
        <v>0.1835379</v>
      </c>
      <c r="F3079" s="14">
        <v>1.40628E-2</v>
      </c>
      <c r="G3079" s="14">
        <v>0.65985550000000004</v>
      </c>
      <c r="H3079" s="14">
        <v>0.30351709999999998</v>
      </c>
      <c r="R3079" s="11">
        <f t="shared" si="96"/>
        <v>1.8444445136338625E-2</v>
      </c>
      <c r="Z3079" s="11">
        <f t="shared" si="97"/>
        <v>2.3068547901771451E-2</v>
      </c>
    </row>
    <row r="3080" spans="1:26" x14ac:dyDescent="0.2">
      <c r="A3080" s="45">
        <v>531</v>
      </c>
      <c r="B3080" s="45">
        <v>2003</v>
      </c>
      <c r="C3080" s="17">
        <v>0</v>
      </c>
      <c r="D3080" s="14">
        <v>0.19087000000000001</v>
      </c>
      <c r="E3080" s="14">
        <v>0.18440619999999999</v>
      </c>
      <c r="F3080" s="14">
        <v>1.71859E-2</v>
      </c>
      <c r="G3080" s="14">
        <v>0.73768069999999997</v>
      </c>
      <c r="H3080" s="14">
        <v>0.31353569999999997</v>
      </c>
      <c r="R3080" s="11">
        <f t="shared" si="96"/>
        <v>1.5912003757326904E-2</v>
      </c>
      <c r="Z3080" s="11">
        <f t="shared" si="97"/>
        <v>1.9931196911900921E-2</v>
      </c>
    </row>
    <row r="3081" spans="1:26" x14ac:dyDescent="0.2">
      <c r="A3081" s="45">
        <v>531</v>
      </c>
      <c r="B3081" s="45">
        <v>2004</v>
      </c>
      <c r="C3081" s="17">
        <v>0</v>
      </c>
      <c r="D3081" s="14">
        <v>0.19707820000000001</v>
      </c>
      <c r="E3081" s="14">
        <v>0.19107499999999999</v>
      </c>
      <c r="F3081" s="14">
        <v>3.5246E-2</v>
      </c>
      <c r="G3081" s="14">
        <v>0.70980129999999997</v>
      </c>
      <c r="H3081" s="14">
        <v>0.36381940000000002</v>
      </c>
      <c r="R3081" s="11">
        <f t="shared" si="96"/>
        <v>1.4281955334949938E-2</v>
      </c>
      <c r="Z3081" s="11">
        <f t="shared" si="97"/>
        <v>1.8173998914832287E-2</v>
      </c>
    </row>
    <row r="3082" spans="1:26" x14ac:dyDescent="0.2">
      <c r="A3082" s="45">
        <v>532</v>
      </c>
      <c r="B3082" s="45">
        <v>1995</v>
      </c>
      <c r="C3082" s="17">
        <v>0</v>
      </c>
      <c r="D3082" s="14">
        <v>9.2518600000000006E-2</v>
      </c>
      <c r="E3082" s="14">
        <v>0.4200583</v>
      </c>
      <c r="F3082" s="14">
        <v>6.3198799999999999E-2</v>
      </c>
      <c r="G3082" s="14">
        <v>0.93109299999999995</v>
      </c>
      <c r="H3082" s="14">
        <v>0.20901749999999999</v>
      </c>
      <c r="R3082" s="11">
        <f t="shared" si="96"/>
        <v>5.8029719802350551E-3</v>
      </c>
      <c r="Z3082" s="11">
        <f t="shared" si="97"/>
        <v>7.5943646003367379E-3</v>
      </c>
    </row>
    <row r="3083" spans="1:26" x14ac:dyDescent="0.2">
      <c r="A3083" s="45">
        <v>532</v>
      </c>
      <c r="B3083" s="45">
        <v>1996</v>
      </c>
      <c r="C3083" s="17">
        <v>0</v>
      </c>
      <c r="D3083" s="14">
        <v>7.49364E-2</v>
      </c>
      <c r="E3083" s="14">
        <v>0.42012440000000001</v>
      </c>
      <c r="F3083" s="14">
        <v>4.2505500000000002E-2</v>
      </c>
      <c r="G3083" s="14">
        <v>0.98579859999999997</v>
      </c>
      <c r="H3083" s="14">
        <v>0.20400589999999999</v>
      </c>
      <c r="R3083" s="11">
        <f t="shared" si="96"/>
        <v>6.2723449013165075E-3</v>
      </c>
      <c r="Z3083" s="11">
        <f t="shared" si="97"/>
        <v>8.0608892002810677E-3</v>
      </c>
    </row>
    <row r="3084" spans="1:26" x14ac:dyDescent="0.2">
      <c r="A3084" s="45">
        <v>532</v>
      </c>
      <c r="B3084" s="45">
        <v>1997</v>
      </c>
      <c r="C3084" s="17">
        <v>0</v>
      </c>
      <c r="D3084" s="14">
        <v>7.0102700000000004E-2</v>
      </c>
      <c r="E3084" s="14">
        <v>0.40585100000000002</v>
      </c>
      <c r="F3084" s="14">
        <v>3.4220199999999999E-2</v>
      </c>
      <c r="G3084" s="14">
        <v>0.90645759999999997</v>
      </c>
      <c r="H3084" s="14">
        <v>0.18083969999999999</v>
      </c>
      <c r="R3084" s="11">
        <f t="shared" si="96"/>
        <v>7.7533467951866504E-3</v>
      </c>
      <c r="Z3084" s="11">
        <f t="shared" si="97"/>
        <v>9.905545817578609E-3</v>
      </c>
    </row>
    <row r="3085" spans="1:26" x14ac:dyDescent="0.2">
      <c r="A3085" s="45">
        <v>532</v>
      </c>
      <c r="B3085" s="45">
        <v>1998</v>
      </c>
      <c r="C3085" s="17">
        <v>0</v>
      </c>
      <c r="D3085" s="14">
        <v>7.9723100000000005E-2</v>
      </c>
      <c r="E3085" s="14">
        <v>0.38203920000000002</v>
      </c>
      <c r="F3085" s="14">
        <v>4.7446799999999997E-2</v>
      </c>
      <c r="G3085" s="14">
        <v>0.77681829999999996</v>
      </c>
      <c r="H3085" s="14">
        <v>0.1659803</v>
      </c>
      <c r="R3085" s="11">
        <f t="shared" si="96"/>
        <v>8.8677032317094184E-3</v>
      </c>
      <c r="Z3085" s="11">
        <f t="shared" si="97"/>
        <v>1.1470837915677223E-2</v>
      </c>
    </row>
    <row r="3086" spans="1:26" x14ac:dyDescent="0.2">
      <c r="A3086" s="45">
        <v>532</v>
      </c>
      <c r="B3086" s="45">
        <v>1999</v>
      </c>
      <c r="C3086" s="17">
        <v>0</v>
      </c>
      <c r="D3086" s="14">
        <v>3.79467E-2</v>
      </c>
      <c r="E3086" s="14">
        <v>0.37374420000000003</v>
      </c>
      <c r="F3086" s="14">
        <v>4.3317099999999997E-2</v>
      </c>
      <c r="G3086" s="14">
        <v>0.87608629999999998</v>
      </c>
      <c r="H3086" s="14">
        <v>0.19782930000000001</v>
      </c>
      <c r="R3086" s="11">
        <f t="shared" si="96"/>
        <v>7.9269351144209237E-3</v>
      </c>
      <c r="Z3086" s="11">
        <f t="shared" si="97"/>
        <v>1.0197491297652133E-2</v>
      </c>
    </row>
    <row r="3087" spans="1:26" x14ac:dyDescent="0.2">
      <c r="A3087" s="45">
        <v>532</v>
      </c>
      <c r="B3087" s="45">
        <v>2000</v>
      </c>
      <c r="C3087" s="17">
        <v>0</v>
      </c>
      <c r="D3087" s="14">
        <v>4.4869399999999997E-2</v>
      </c>
      <c r="E3087" s="14">
        <v>0.31895430000000002</v>
      </c>
      <c r="F3087" s="14">
        <v>3.6830500000000002E-2</v>
      </c>
      <c r="G3087" s="14">
        <v>0.58341949999999998</v>
      </c>
      <c r="H3087" s="14">
        <v>0.20268530000000001</v>
      </c>
      <c r="R3087" s="11">
        <f t="shared" si="96"/>
        <v>1.4321253030308722E-2</v>
      </c>
      <c r="Z3087" s="11">
        <f t="shared" si="97"/>
        <v>1.8375882742558903E-2</v>
      </c>
    </row>
    <row r="3088" spans="1:26" x14ac:dyDescent="0.2">
      <c r="A3088" s="45">
        <v>532</v>
      </c>
      <c r="B3088" s="45">
        <v>2001</v>
      </c>
      <c r="C3088" s="17">
        <v>0</v>
      </c>
      <c r="D3088" s="14">
        <v>8.1191700000000006E-2</v>
      </c>
      <c r="E3088" s="14">
        <v>0.31276029999999999</v>
      </c>
      <c r="F3088" s="14">
        <v>2.7109999999999999E-2</v>
      </c>
      <c r="G3088" s="14">
        <v>0.49441869999999999</v>
      </c>
      <c r="H3088" s="14">
        <v>0.15541640000000001</v>
      </c>
      <c r="R3088" s="11">
        <f t="shared" si="96"/>
        <v>1.7933411002889751E-2</v>
      </c>
      <c r="Z3088" s="11">
        <f t="shared" si="97"/>
        <v>2.284758032121097E-2</v>
      </c>
    </row>
    <row r="3089" spans="1:26" x14ac:dyDescent="0.2">
      <c r="A3089" s="45">
        <v>532</v>
      </c>
      <c r="B3089" s="45">
        <v>2002</v>
      </c>
      <c r="C3089" s="17">
        <v>0</v>
      </c>
      <c r="D3089" s="14">
        <v>8.4060999999999997E-2</v>
      </c>
      <c r="E3089" s="14">
        <v>0.26200410000000002</v>
      </c>
      <c r="F3089" s="14">
        <v>3.1702300000000003E-2</v>
      </c>
      <c r="G3089" s="14">
        <v>0.60149790000000003</v>
      </c>
      <c r="H3089" s="14">
        <v>0.22467780000000001</v>
      </c>
      <c r="R3089" s="11">
        <f t="shared" si="96"/>
        <v>1.572632510056076E-2</v>
      </c>
      <c r="Z3089" s="11">
        <f t="shared" si="97"/>
        <v>2.0041498084427529E-2</v>
      </c>
    </row>
    <row r="3090" spans="1:26" x14ac:dyDescent="0.2">
      <c r="A3090" s="45">
        <v>532</v>
      </c>
      <c r="B3090" s="45">
        <v>2003</v>
      </c>
      <c r="C3090" s="17">
        <v>0</v>
      </c>
      <c r="D3090" s="14">
        <v>0.1280027</v>
      </c>
      <c r="E3090" s="14">
        <v>0.29846119999999998</v>
      </c>
      <c r="F3090" s="14">
        <v>2.13075E-2</v>
      </c>
      <c r="G3090" s="14">
        <v>0.91008750000000005</v>
      </c>
      <c r="H3090" s="14">
        <v>0.214198</v>
      </c>
      <c r="R3090" s="11">
        <f t="shared" si="96"/>
        <v>9.9695991859285755E-3</v>
      </c>
      <c r="Z3090" s="11">
        <f t="shared" si="97"/>
        <v>1.255007569435828E-2</v>
      </c>
    </row>
    <row r="3091" spans="1:26" x14ac:dyDescent="0.2">
      <c r="A3091" s="45">
        <v>532</v>
      </c>
      <c r="B3091" s="45">
        <v>2004</v>
      </c>
      <c r="C3091" s="17">
        <v>0</v>
      </c>
      <c r="D3091" s="14">
        <v>0.17392279999999999</v>
      </c>
      <c r="E3091" s="14">
        <v>0.40044390000000002</v>
      </c>
      <c r="F3091" s="14">
        <v>4.5646199999999998E-2</v>
      </c>
      <c r="G3091" s="14">
        <v>1.656237</v>
      </c>
      <c r="H3091" s="14">
        <v>0.237177</v>
      </c>
      <c r="R3091" s="11">
        <f t="shared" si="96"/>
        <v>2.1713630465543675E-3</v>
      </c>
      <c r="Z3091" s="11">
        <f t="shared" si="97"/>
        <v>2.758198611530871E-3</v>
      </c>
    </row>
    <row r="3092" spans="1:26" x14ac:dyDescent="0.2">
      <c r="A3092" s="45">
        <v>533</v>
      </c>
      <c r="B3092" s="45">
        <v>2002</v>
      </c>
      <c r="C3092" s="17">
        <v>0</v>
      </c>
      <c r="D3092" s="14">
        <v>-2.6100499999999999E-2</v>
      </c>
      <c r="E3092" s="14">
        <v>8.3145499999999997E-2</v>
      </c>
      <c r="F3092" s="14">
        <v>3.5688400000000002E-2</v>
      </c>
      <c r="G3092" s="14">
        <v>0.37664880000000001</v>
      </c>
      <c r="H3092" s="14">
        <v>0.1526024</v>
      </c>
      <c r="R3092" s="11">
        <f t="shared" si="96"/>
        <v>2.7920656295292581E-2</v>
      </c>
      <c r="Z3092" s="11">
        <f t="shared" si="97"/>
        <v>3.5532798303134584E-2</v>
      </c>
    </row>
    <row r="3093" spans="1:26" x14ac:dyDescent="0.2">
      <c r="A3093" s="45">
        <v>533</v>
      </c>
      <c r="B3093" s="45">
        <v>2003</v>
      </c>
      <c r="C3093" s="17">
        <v>0</v>
      </c>
      <c r="D3093" s="14">
        <v>-1.9643E-3</v>
      </c>
      <c r="E3093" s="14">
        <v>9.9007999999999999E-2</v>
      </c>
      <c r="F3093" s="14">
        <v>3.2864600000000001E-2</v>
      </c>
      <c r="G3093" s="14">
        <v>0.34184150000000002</v>
      </c>
      <c r="H3093" s="14">
        <v>0.1495302</v>
      </c>
      <c r="R3093" s="11">
        <f t="shared" si="96"/>
        <v>2.9452584494385859E-2</v>
      </c>
      <c r="Z3093" s="11">
        <f t="shared" si="97"/>
        <v>3.7430079508549742E-2</v>
      </c>
    </row>
    <row r="3094" spans="1:26" x14ac:dyDescent="0.2">
      <c r="A3094" s="45">
        <v>533</v>
      </c>
      <c r="B3094" s="45">
        <v>2004</v>
      </c>
      <c r="C3094" s="17">
        <v>0</v>
      </c>
      <c r="D3094" s="14">
        <v>1.5410699999999999E-2</v>
      </c>
      <c r="E3094" s="14">
        <v>8.8816000000000006E-2</v>
      </c>
      <c r="F3094" s="14">
        <v>3.7806699999999999E-2</v>
      </c>
      <c r="G3094" s="14">
        <v>0.42471350000000002</v>
      </c>
      <c r="H3094" s="14">
        <v>0.15618609999999999</v>
      </c>
      <c r="R3094" s="11">
        <f t="shared" si="96"/>
        <v>2.5286924407361369E-2</v>
      </c>
      <c r="Z3094" s="11">
        <f t="shared" si="97"/>
        <v>3.223200638471016E-2</v>
      </c>
    </row>
    <row r="3095" spans="1:26" x14ac:dyDescent="0.2">
      <c r="A3095" s="45">
        <v>534</v>
      </c>
      <c r="B3095" s="45">
        <v>1997</v>
      </c>
      <c r="C3095" s="17">
        <v>0</v>
      </c>
      <c r="D3095" s="14">
        <v>0.21235209999999999</v>
      </c>
      <c r="E3095" s="14">
        <v>0.33750639999999998</v>
      </c>
      <c r="F3095" s="14">
        <v>7.1906999999999999E-2</v>
      </c>
      <c r="G3095" s="14">
        <v>2.161683</v>
      </c>
      <c r="H3095" s="14">
        <v>0.30422979999999999</v>
      </c>
      <c r="R3095" s="11">
        <f t="shared" ref="R3095:R3158" si="98">1/(1+EXP(-(K$2+$M$2*E3095+$N$2*F3095+$O$2*G3095)))</f>
        <v>8.6298357094046624E-4</v>
      </c>
      <c r="Z3095" s="11">
        <f t="shared" si="97"/>
        <v>1.1056645089803415E-3</v>
      </c>
    </row>
    <row r="3096" spans="1:26" x14ac:dyDescent="0.2">
      <c r="A3096" s="45">
        <v>534</v>
      </c>
      <c r="B3096" s="45">
        <v>1998</v>
      </c>
      <c r="C3096" s="17">
        <v>0</v>
      </c>
      <c r="D3096" s="14">
        <v>0.2059252</v>
      </c>
      <c r="E3096" s="14">
        <v>0.371585</v>
      </c>
      <c r="F3096" s="14">
        <v>6.7632899999999996E-2</v>
      </c>
      <c r="G3096" s="14">
        <v>1.348822</v>
      </c>
      <c r="H3096" s="14">
        <v>0.28996880000000003</v>
      </c>
      <c r="R3096" s="11">
        <f t="shared" si="98"/>
        <v>3.0969271343707248E-3</v>
      </c>
      <c r="Z3096" s="11">
        <f t="shared" si="97"/>
        <v>4.0272777229128174E-3</v>
      </c>
    </row>
    <row r="3097" spans="1:26" x14ac:dyDescent="0.2">
      <c r="A3097" s="45">
        <v>534</v>
      </c>
      <c r="B3097" s="45">
        <v>1999</v>
      </c>
      <c r="C3097" s="17">
        <v>0</v>
      </c>
      <c r="D3097" s="14">
        <v>0.1107972</v>
      </c>
      <c r="E3097" s="14">
        <v>0.25365799999999999</v>
      </c>
      <c r="F3097" s="14">
        <v>6.1474800000000003E-2</v>
      </c>
      <c r="G3097" s="14">
        <v>0.58006420000000003</v>
      </c>
      <c r="H3097" s="14">
        <v>0.24613199999999999</v>
      </c>
      <c r="R3097" s="11">
        <f t="shared" si="98"/>
        <v>1.3016598213646998E-2</v>
      </c>
      <c r="Z3097" s="11">
        <f t="shared" si="97"/>
        <v>1.7007036839807546E-2</v>
      </c>
    </row>
    <row r="3098" spans="1:26" x14ac:dyDescent="0.2">
      <c r="A3098" s="45">
        <v>534</v>
      </c>
      <c r="B3098" s="45">
        <v>2000</v>
      </c>
      <c r="C3098" s="17">
        <v>0</v>
      </c>
      <c r="D3098" s="14">
        <v>0.1022438</v>
      </c>
      <c r="E3098" s="14">
        <v>0.2880953</v>
      </c>
      <c r="F3098" s="14">
        <v>6.0403600000000002E-2</v>
      </c>
      <c r="G3098" s="14">
        <v>1.0370299999999999</v>
      </c>
      <c r="H3098" s="14">
        <v>0.25983020000000001</v>
      </c>
      <c r="R3098" s="11">
        <f t="shared" si="98"/>
        <v>6.0709549863710178E-3</v>
      </c>
      <c r="Z3098" s="11">
        <f t="shared" si="97"/>
        <v>7.8726445666254842E-3</v>
      </c>
    </row>
    <row r="3099" spans="1:26" x14ac:dyDescent="0.2">
      <c r="A3099" s="45">
        <v>534</v>
      </c>
      <c r="B3099" s="45">
        <v>2001</v>
      </c>
      <c r="C3099" s="17">
        <v>0</v>
      </c>
      <c r="D3099" s="14">
        <v>7.6864600000000005E-2</v>
      </c>
      <c r="E3099" s="14">
        <v>0.2933366</v>
      </c>
      <c r="F3099" s="14">
        <v>6.1735699999999998E-2</v>
      </c>
      <c r="G3099" s="14">
        <v>1.1600159999999999</v>
      </c>
      <c r="H3099" s="14">
        <v>0.28165580000000001</v>
      </c>
      <c r="R3099" s="11">
        <f t="shared" si="98"/>
        <v>4.9058148659860586E-3</v>
      </c>
      <c r="Z3099" s="11">
        <f t="shared" si="97"/>
        <v>6.3548587267357095E-3</v>
      </c>
    </row>
    <row r="3100" spans="1:26" x14ac:dyDescent="0.2">
      <c r="A3100" s="45">
        <v>534</v>
      </c>
      <c r="B3100" s="45">
        <v>2002</v>
      </c>
      <c r="C3100" s="17">
        <v>0</v>
      </c>
      <c r="D3100" s="14">
        <v>0.1027016</v>
      </c>
      <c r="E3100" s="14">
        <v>0.3416438</v>
      </c>
      <c r="F3100" s="14">
        <v>4.1619000000000003E-2</v>
      </c>
      <c r="G3100" s="14">
        <v>0.9176744</v>
      </c>
      <c r="H3100" s="14">
        <v>0.24092150000000001</v>
      </c>
      <c r="R3100" s="11">
        <f t="shared" si="98"/>
        <v>7.8797589435835313E-3</v>
      </c>
      <c r="Z3100" s="11">
        <f t="shared" si="97"/>
        <v>1.0102800427594821E-2</v>
      </c>
    </row>
    <row r="3101" spans="1:26" x14ac:dyDescent="0.2">
      <c r="A3101" s="45">
        <v>534</v>
      </c>
      <c r="B3101" s="45">
        <v>2003</v>
      </c>
      <c r="C3101" s="17">
        <v>0</v>
      </c>
      <c r="D3101" s="14">
        <v>8.7137900000000004E-2</v>
      </c>
      <c r="E3101" s="14">
        <v>0.28209529999999999</v>
      </c>
      <c r="F3101" s="14">
        <v>4.3861799999999999E-2</v>
      </c>
      <c r="G3101" s="14">
        <v>1.4266669999999999</v>
      </c>
      <c r="H3101" s="14">
        <v>0.20845849999999999</v>
      </c>
      <c r="R3101" s="11">
        <f t="shared" si="98"/>
        <v>3.7657694184752132E-3</v>
      </c>
      <c r="Z3101" s="11">
        <f t="shared" si="97"/>
        <v>4.7792401445805382E-3</v>
      </c>
    </row>
    <row r="3102" spans="1:26" x14ac:dyDescent="0.2">
      <c r="A3102" s="45">
        <v>534</v>
      </c>
      <c r="B3102" s="45">
        <v>2004</v>
      </c>
      <c r="C3102" s="17">
        <v>0</v>
      </c>
      <c r="D3102" s="14">
        <v>0.16063939999999999</v>
      </c>
      <c r="E3102" s="14">
        <v>0.28572120000000001</v>
      </c>
      <c r="F3102" s="14">
        <v>5.8308600000000002E-2</v>
      </c>
      <c r="G3102" s="14">
        <v>2.7933110000000001</v>
      </c>
      <c r="H3102" s="14">
        <v>0.26681919999999998</v>
      </c>
      <c r="R3102" s="11">
        <f t="shared" si="98"/>
        <v>3.7932450443283475E-4</v>
      </c>
      <c r="Z3102" s="11">
        <f t="shared" si="97"/>
        <v>4.7319914588921531E-4</v>
      </c>
    </row>
    <row r="3103" spans="1:26" x14ac:dyDescent="0.2">
      <c r="A3103" s="45">
        <v>535</v>
      </c>
      <c r="B3103" s="45">
        <v>1995</v>
      </c>
      <c r="C3103" s="17">
        <v>0</v>
      </c>
      <c r="D3103" s="14">
        <v>0.1076614</v>
      </c>
      <c r="E3103" s="14">
        <v>0.1315897</v>
      </c>
      <c r="F3103" s="14">
        <v>5.1443900000000001E-2</v>
      </c>
      <c r="G3103" s="14">
        <v>0.93588629999999995</v>
      </c>
      <c r="H3103" s="14">
        <v>0.1243218</v>
      </c>
      <c r="R3103" s="11">
        <f t="shared" si="98"/>
        <v>9.5867880406100212E-3</v>
      </c>
      <c r="Z3103" s="11">
        <f t="shared" si="97"/>
        <v>1.2290946396529376E-2</v>
      </c>
    </row>
    <row r="3104" spans="1:26" x14ac:dyDescent="0.2">
      <c r="A3104" s="45">
        <v>535</v>
      </c>
      <c r="B3104" s="45">
        <v>1997</v>
      </c>
      <c r="C3104" s="17">
        <v>0</v>
      </c>
      <c r="D3104" s="14">
        <v>1.6461900000000002E-2</v>
      </c>
      <c r="E3104" s="14">
        <v>0.1181874</v>
      </c>
      <c r="F3104" s="14">
        <v>4.2848600000000001E-2</v>
      </c>
      <c r="G3104" s="14">
        <v>1.465185</v>
      </c>
      <c r="H3104" s="14">
        <v>0.102461</v>
      </c>
      <c r="R3104" s="11">
        <f t="shared" si="98"/>
        <v>4.5277949688663039E-3</v>
      </c>
      <c r="Z3104" s="11">
        <f t="shared" si="97"/>
        <v>5.70363375079348E-3</v>
      </c>
    </row>
    <row r="3105" spans="1:26" x14ac:dyDescent="0.2">
      <c r="A3105" s="45">
        <v>535</v>
      </c>
      <c r="B3105" s="45">
        <v>1998</v>
      </c>
      <c r="C3105" s="17">
        <v>0</v>
      </c>
      <c r="D3105" s="14">
        <v>1.7572999999999998E-2</v>
      </c>
      <c r="E3105" s="14">
        <v>0.13337470000000001</v>
      </c>
      <c r="F3105" s="14">
        <v>5.5583199999999999E-2</v>
      </c>
      <c r="G3105" s="14">
        <v>0.77237619999999996</v>
      </c>
      <c r="H3105" s="14">
        <v>0.1081381</v>
      </c>
      <c r="R3105" s="11">
        <f t="shared" si="98"/>
        <v>1.1975157780512143E-2</v>
      </c>
      <c r="Z3105" s="11">
        <f t="shared" si="97"/>
        <v>1.5449515019847137E-2</v>
      </c>
    </row>
    <row r="3106" spans="1:26" x14ac:dyDescent="0.2">
      <c r="A3106" s="45">
        <v>535</v>
      </c>
      <c r="B3106" s="45">
        <v>1999</v>
      </c>
      <c r="C3106" s="17">
        <v>0</v>
      </c>
      <c r="D3106" s="14">
        <v>1.3514699999999999E-2</v>
      </c>
      <c r="E3106" s="14">
        <v>0.172712</v>
      </c>
      <c r="F3106" s="14">
        <v>5.2124799999999999E-2</v>
      </c>
      <c r="G3106" s="14">
        <v>0.65922080000000005</v>
      </c>
      <c r="H3106" s="14">
        <v>0.134765</v>
      </c>
      <c r="R3106" s="11">
        <f t="shared" si="98"/>
        <v>1.3897065652107046E-2</v>
      </c>
      <c r="Z3106" s="11">
        <f t="shared" si="97"/>
        <v>1.7936614069216535E-2</v>
      </c>
    </row>
    <row r="3107" spans="1:26" x14ac:dyDescent="0.2">
      <c r="A3107" s="45">
        <v>535</v>
      </c>
      <c r="B3107" s="45">
        <v>2000</v>
      </c>
      <c r="C3107" s="17">
        <v>0</v>
      </c>
      <c r="D3107" s="14">
        <v>1.48016E-2</v>
      </c>
      <c r="E3107" s="14">
        <v>0.25572420000000001</v>
      </c>
      <c r="F3107" s="14">
        <v>4.1618099999999998E-2</v>
      </c>
      <c r="G3107" s="14">
        <v>1.1019060000000001</v>
      </c>
      <c r="H3107" s="14">
        <v>0.14996039999999999</v>
      </c>
      <c r="R3107" s="11">
        <f t="shared" si="98"/>
        <v>6.6649780048599399E-3</v>
      </c>
      <c r="Z3107" s="11">
        <f t="shared" si="97"/>
        <v>8.4891118409593062E-3</v>
      </c>
    </row>
    <row r="3108" spans="1:26" x14ac:dyDescent="0.2">
      <c r="A3108" s="45">
        <v>535</v>
      </c>
      <c r="B3108" s="45">
        <v>2001</v>
      </c>
      <c r="C3108" s="17">
        <v>0</v>
      </c>
      <c r="D3108" s="14">
        <v>5.7559300000000001E-2</v>
      </c>
      <c r="E3108" s="14">
        <v>0.29538599999999998</v>
      </c>
      <c r="F3108" s="14">
        <v>3.91443E-2</v>
      </c>
      <c r="G3108" s="14">
        <v>1.124279</v>
      </c>
      <c r="H3108" s="14">
        <v>0.1239024</v>
      </c>
      <c r="R3108" s="11">
        <f t="shared" si="98"/>
        <v>6.1953858589018735E-3</v>
      </c>
      <c r="Z3108" s="11">
        <f t="shared" si="97"/>
        <v>7.882933321931138E-3</v>
      </c>
    </row>
    <row r="3109" spans="1:26" x14ac:dyDescent="0.2">
      <c r="A3109" s="45">
        <v>535</v>
      </c>
      <c r="B3109" s="45">
        <v>2002</v>
      </c>
      <c r="C3109" s="17">
        <v>0</v>
      </c>
      <c r="D3109" s="14">
        <v>5.9662600000000003E-2</v>
      </c>
      <c r="E3109" s="14">
        <v>0.29059289999999999</v>
      </c>
      <c r="F3109" s="14">
        <v>1.7913999999999999E-2</v>
      </c>
      <c r="G3109" s="14">
        <v>0.91009589999999996</v>
      </c>
      <c r="H3109" s="14">
        <v>0.10171910000000001</v>
      </c>
      <c r="R3109" s="11">
        <f t="shared" si="98"/>
        <v>1.035759937937521E-2</v>
      </c>
      <c r="Z3109" s="11">
        <f t="shared" si="97"/>
        <v>1.2997974878797986E-2</v>
      </c>
    </row>
    <row r="3110" spans="1:26" x14ac:dyDescent="0.2">
      <c r="A3110" s="45">
        <v>535</v>
      </c>
      <c r="B3110" s="45">
        <v>2003</v>
      </c>
      <c r="C3110" s="17">
        <v>0</v>
      </c>
      <c r="D3110" s="14">
        <v>4.9970599999999997E-2</v>
      </c>
      <c r="E3110" s="14">
        <v>0.30682619999999999</v>
      </c>
      <c r="F3110" s="14">
        <v>1.6183400000000001E-2</v>
      </c>
      <c r="G3110" s="14">
        <v>1.433189</v>
      </c>
      <c r="H3110" s="14">
        <v>0.13520960000000001</v>
      </c>
      <c r="R3110" s="11">
        <f t="shared" si="98"/>
        <v>4.4829466346184114E-3</v>
      </c>
      <c r="Z3110" s="11">
        <f t="shared" si="97"/>
        <v>5.5653285052919364E-3</v>
      </c>
    </row>
    <row r="3111" spans="1:26" x14ac:dyDescent="0.2">
      <c r="A3111" s="45">
        <v>536</v>
      </c>
      <c r="B3111" s="45">
        <v>1995</v>
      </c>
      <c r="C3111" s="17">
        <v>0</v>
      </c>
      <c r="D3111" s="14">
        <v>0.1134947</v>
      </c>
      <c r="E3111" s="14">
        <v>0.34043600000000002</v>
      </c>
      <c r="F3111" s="14">
        <v>4.6217500000000002E-2</v>
      </c>
      <c r="G3111" s="14">
        <v>2.8514789999999999</v>
      </c>
      <c r="H3111" s="14">
        <v>0.33399309999999999</v>
      </c>
      <c r="R3111" s="11">
        <f t="shared" si="98"/>
        <v>3.517372469859391E-4</v>
      </c>
      <c r="Z3111" s="11">
        <f t="shared" si="97"/>
        <v>4.3472038881249949E-4</v>
      </c>
    </row>
    <row r="3112" spans="1:26" x14ac:dyDescent="0.2">
      <c r="A3112" s="45">
        <v>536</v>
      </c>
      <c r="B3112" s="45">
        <v>1996</v>
      </c>
      <c r="C3112" s="17">
        <v>0</v>
      </c>
      <c r="D3112" s="14">
        <v>0.14562459999999999</v>
      </c>
      <c r="E3112" s="14">
        <v>0.39672109999999999</v>
      </c>
      <c r="F3112" s="14">
        <v>5.9347799999999999E-2</v>
      </c>
      <c r="G3112" s="14">
        <v>3.9132829999999998</v>
      </c>
      <c r="H3112" s="14">
        <v>0.34946509999999997</v>
      </c>
      <c r="R3112" s="11">
        <f t="shared" si="98"/>
        <v>5.3743785360908966E-5</v>
      </c>
      <c r="Z3112" s="11">
        <f t="shared" si="97"/>
        <v>6.5721590084933841E-5</v>
      </c>
    </row>
    <row r="3113" spans="1:26" x14ac:dyDescent="0.2">
      <c r="A3113" s="45">
        <v>536</v>
      </c>
      <c r="B3113" s="45">
        <v>1997</v>
      </c>
      <c r="C3113" s="17">
        <v>0</v>
      </c>
      <c r="D3113" s="14">
        <v>0.13734060000000001</v>
      </c>
      <c r="E3113" s="14">
        <v>0.39494760000000001</v>
      </c>
      <c r="F3113" s="14">
        <v>5.9833200000000003E-2</v>
      </c>
      <c r="G3113" s="14">
        <v>6.1972230000000001</v>
      </c>
      <c r="H3113" s="14">
        <v>0.34483750000000002</v>
      </c>
      <c r="R3113" s="11">
        <f t="shared" si="98"/>
        <v>1.4095954928484168E-6</v>
      </c>
      <c r="Z3113" s="11">
        <f t="shared" si="97"/>
        <v>1.6397695312172736E-6</v>
      </c>
    </row>
    <row r="3114" spans="1:26" x14ac:dyDescent="0.2">
      <c r="A3114" s="45">
        <v>536</v>
      </c>
      <c r="B3114" s="45">
        <v>1998</v>
      </c>
      <c r="C3114" s="17">
        <v>0</v>
      </c>
      <c r="D3114" s="14">
        <v>7.1253700000000003E-2</v>
      </c>
      <c r="E3114" s="14">
        <v>0.34659669999999998</v>
      </c>
      <c r="F3114" s="14">
        <v>7.2008199999999994E-2</v>
      </c>
      <c r="G3114" s="14">
        <v>6.5523730000000002</v>
      </c>
      <c r="H3114" s="14">
        <v>0.32512279999999999</v>
      </c>
      <c r="R3114" s="11">
        <f t="shared" si="98"/>
        <v>7.7899790982361769E-7</v>
      </c>
      <c r="Z3114" s="11">
        <f t="shared" si="97"/>
        <v>9.0665595849501616E-7</v>
      </c>
    </row>
    <row r="3115" spans="1:26" x14ac:dyDescent="0.2">
      <c r="A3115" s="45">
        <v>536</v>
      </c>
      <c r="B3115" s="45">
        <v>1999</v>
      </c>
      <c r="C3115" s="17">
        <v>0</v>
      </c>
      <c r="D3115" s="14">
        <v>4.5669099999999997E-2</v>
      </c>
      <c r="E3115" s="14">
        <v>0.31739810000000002</v>
      </c>
      <c r="F3115" s="14">
        <v>7.7320899999999998E-2</v>
      </c>
      <c r="G3115" s="14">
        <v>5.9396979999999999</v>
      </c>
      <c r="H3115" s="14">
        <v>0.32672220000000002</v>
      </c>
      <c r="R3115" s="11">
        <f t="shared" si="98"/>
        <v>2.0679667763314564E-6</v>
      </c>
      <c r="Z3115" s="11">
        <f t="shared" si="97"/>
        <v>2.4477426683499085E-6</v>
      </c>
    </row>
    <row r="3116" spans="1:26" x14ac:dyDescent="0.2">
      <c r="A3116" s="45">
        <v>536</v>
      </c>
      <c r="B3116" s="45">
        <v>2000</v>
      </c>
      <c r="C3116" s="17">
        <v>0</v>
      </c>
      <c r="D3116" s="14">
        <v>2.0592599999999999E-2</v>
      </c>
      <c r="E3116" s="14">
        <v>0.2878503</v>
      </c>
      <c r="F3116" s="14">
        <v>7.66458E-2</v>
      </c>
      <c r="G3116" s="14">
        <v>3.4656030000000002</v>
      </c>
      <c r="H3116" s="14">
        <v>0.31261040000000001</v>
      </c>
      <c r="R3116" s="11">
        <f t="shared" si="98"/>
        <v>1.1189073372509074E-4</v>
      </c>
      <c r="Z3116" s="11">
        <f t="shared" si="97"/>
        <v>1.3963228753120034E-4</v>
      </c>
    </row>
    <row r="3117" spans="1:26" x14ac:dyDescent="0.2">
      <c r="A3117" s="45">
        <v>536</v>
      </c>
      <c r="B3117" s="45">
        <v>2001</v>
      </c>
      <c r="C3117" s="17">
        <v>0</v>
      </c>
      <c r="D3117" s="14">
        <v>6.18335E-2</v>
      </c>
      <c r="E3117" s="14">
        <v>0.26686739999999998</v>
      </c>
      <c r="F3117" s="14">
        <v>6.7970500000000003E-2</v>
      </c>
      <c r="G3117" s="14">
        <v>3.7263679999999999</v>
      </c>
      <c r="H3117" s="14">
        <v>0.3154749</v>
      </c>
      <c r="R3117" s="11">
        <f t="shared" si="98"/>
        <v>8.1606042353447522E-5</v>
      </c>
      <c r="Z3117" s="11">
        <f t="shared" si="97"/>
        <v>1.0046697839332564E-4</v>
      </c>
    </row>
    <row r="3118" spans="1:26" x14ac:dyDescent="0.2">
      <c r="A3118" s="45">
        <v>536</v>
      </c>
      <c r="B3118" s="45">
        <v>2002</v>
      </c>
      <c r="C3118" s="17">
        <v>0</v>
      </c>
      <c r="D3118" s="14">
        <v>2.5135000000000001E-2</v>
      </c>
      <c r="E3118" s="14">
        <v>0.25613330000000001</v>
      </c>
      <c r="F3118" s="14">
        <v>7.7094599999999999E-2</v>
      </c>
      <c r="G3118" s="14">
        <v>4.3341560000000001</v>
      </c>
      <c r="H3118" s="14">
        <v>0.28012150000000002</v>
      </c>
      <c r="R3118" s="11">
        <f t="shared" si="98"/>
        <v>2.9253862315413393E-5</v>
      </c>
      <c r="Z3118" s="11">
        <f t="shared" si="97"/>
        <v>3.5790286288743933E-5</v>
      </c>
    </row>
    <row r="3119" spans="1:26" x14ac:dyDescent="0.2">
      <c r="A3119" s="45">
        <v>536</v>
      </c>
      <c r="B3119" s="45">
        <v>2003</v>
      </c>
      <c r="C3119" s="17">
        <v>0</v>
      </c>
      <c r="D3119" s="14">
        <v>9.8987699999999998E-2</v>
      </c>
      <c r="E3119" s="14">
        <v>0.30015799999999998</v>
      </c>
      <c r="F3119" s="14">
        <v>8.2175300000000007E-2</v>
      </c>
      <c r="G3119" s="14">
        <v>4.2345360000000003</v>
      </c>
      <c r="H3119" s="14">
        <v>0.26694489999999998</v>
      </c>
      <c r="R3119" s="11">
        <f t="shared" si="98"/>
        <v>3.0880045369279997E-5</v>
      </c>
      <c r="Z3119" s="11">
        <f t="shared" si="97"/>
        <v>3.8078196802663681E-5</v>
      </c>
    </row>
    <row r="3120" spans="1:26" x14ac:dyDescent="0.2">
      <c r="A3120" s="45">
        <v>536</v>
      </c>
      <c r="B3120" s="45">
        <v>2004</v>
      </c>
      <c r="C3120" s="17">
        <v>0</v>
      </c>
      <c r="D3120" s="14">
        <v>-6.0836800000000003E-2</v>
      </c>
      <c r="E3120" s="14">
        <v>0.23544480000000001</v>
      </c>
      <c r="F3120" s="14">
        <v>7.6758099999999996E-2</v>
      </c>
      <c r="G3120" s="14">
        <v>3.5451329999999999</v>
      </c>
      <c r="H3120" s="14">
        <v>0.25659300000000002</v>
      </c>
      <c r="R3120" s="11">
        <f t="shared" si="98"/>
        <v>1.062813954401802E-4</v>
      </c>
      <c r="Z3120" s="11">
        <f t="shared" si="97"/>
        <v>1.3217491732513055E-4</v>
      </c>
    </row>
    <row r="3121" spans="1:26" x14ac:dyDescent="0.2">
      <c r="A3121" s="45">
        <v>537</v>
      </c>
      <c r="B3121" s="45">
        <v>1995</v>
      </c>
      <c r="C3121" s="17">
        <v>0</v>
      </c>
      <c r="D3121" s="14">
        <v>8.7955099999999994E-2</v>
      </c>
      <c r="E3121" s="14">
        <v>3.7276299999999998E-2</v>
      </c>
      <c r="F3121" s="14">
        <v>4.9960499999999998E-2</v>
      </c>
      <c r="G3121" s="14">
        <v>0.59248029999999996</v>
      </c>
      <c r="H3121" s="14">
        <v>0.11802120000000001</v>
      </c>
      <c r="R3121" s="11">
        <f t="shared" si="98"/>
        <v>1.9049388946791677E-2</v>
      </c>
      <c r="Z3121" s="11">
        <f t="shared" si="97"/>
        <v>2.4431135200204051E-2</v>
      </c>
    </row>
    <row r="3122" spans="1:26" x14ac:dyDescent="0.2">
      <c r="A3122" s="45">
        <v>537</v>
      </c>
      <c r="B3122" s="45">
        <v>1996</v>
      </c>
      <c r="C3122" s="17">
        <v>0</v>
      </c>
      <c r="D3122" s="14">
        <v>1.1310000000000001E-2</v>
      </c>
      <c r="E3122" s="14">
        <v>6.02006E-2</v>
      </c>
      <c r="F3122" s="14">
        <v>4.2198800000000002E-2</v>
      </c>
      <c r="G3122" s="14">
        <v>0.58950440000000004</v>
      </c>
      <c r="H3122" s="14">
        <v>0.13600290000000001</v>
      </c>
      <c r="R3122" s="11">
        <f t="shared" si="98"/>
        <v>1.9685505747796574E-2</v>
      </c>
      <c r="Z3122" s="11">
        <f t="shared" si="97"/>
        <v>2.5107096409480001E-2</v>
      </c>
    </row>
    <row r="3123" spans="1:26" x14ac:dyDescent="0.2">
      <c r="A3123" s="45">
        <v>537</v>
      </c>
      <c r="B3123" s="45">
        <v>1997</v>
      </c>
      <c r="C3123" s="17">
        <v>0</v>
      </c>
      <c r="D3123" s="14">
        <v>1.5003000000000001E-2</v>
      </c>
      <c r="E3123" s="14">
        <v>9.3268100000000007E-2</v>
      </c>
      <c r="F3123" s="14">
        <v>4.8347000000000001E-2</v>
      </c>
      <c r="G3123" s="14">
        <v>0.69107790000000002</v>
      </c>
      <c r="H3123" s="14">
        <v>0.14156340000000001</v>
      </c>
      <c r="R3123" s="11">
        <f t="shared" si="98"/>
        <v>1.5260363926929647E-2</v>
      </c>
      <c r="Z3123" s="11">
        <f t="shared" si="97"/>
        <v>1.9562808308694044E-2</v>
      </c>
    </row>
    <row r="3124" spans="1:26" x14ac:dyDescent="0.2">
      <c r="A3124" s="45">
        <v>537</v>
      </c>
      <c r="B3124" s="45">
        <v>1998</v>
      </c>
      <c r="C3124" s="17">
        <v>0</v>
      </c>
      <c r="D3124" s="14">
        <v>7.6580499999999996E-2</v>
      </c>
      <c r="E3124" s="14">
        <v>0.1057013</v>
      </c>
      <c r="F3124" s="14">
        <v>3.5091499999999998E-2</v>
      </c>
      <c r="G3124" s="14">
        <v>0.52354210000000001</v>
      </c>
      <c r="H3124" s="14">
        <v>0.14178499999999999</v>
      </c>
      <c r="R3124" s="11">
        <f t="shared" si="98"/>
        <v>2.1622081748990499E-2</v>
      </c>
      <c r="Z3124" s="11">
        <f t="shared" si="97"/>
        <v>2.7486716947317219E-2</v>
      </c>
    </row>
    <row r="3125" spans="1:26" x14ac:dyDescent="0.2">
      <c r="A3125" s="45">
        <v>537</v>
      </c>
      <c r="B3125" s="45">
        <v>1999</v>
      </c>
      <c r="C3125" s="17">
        <v>0</v>
      </c>
      <c r="D3125" s="14">
        <v>8.9259099999999994E-2</v>
      </c>
      <c r="E3125" s="14">
        <v>0.10039770000000001</v>
      </c>
      <c r="F3125" s="14">
        <v>4.1285099999999998E-2</v>
      </c>
      <c r="G3125" s="14">
        <v>0.3829111</v>
      </c>
      <c r="H3125" s="14">
        <v>0.1288398</v>
      </c>
      <c r="R3125" s="11">
        <f t="shared" si="98"/>
        <v>2.5833664371658283E-2</v>
      </c>
      <c r="Z3125" s="11">
        <f t="shared" si="97"/>
        <v>3.305682842005616E-2</v>
      </c>
    </row>
    <row r="3126" spans="1:26" x14ac:dyDescent="0.2">
      <c r="A3126" s="45">
        <v>537</v>
      </c>
      <c r="B3126" s="45">
        <v>2000</v>
      </c>
      <c r="C3126" s="17">
        <v>0</v>
      </c>
      <c r="D3126" s="14">
        <v>9.3628900000000001E-2</v>
      </c>
      <c r="E3126" s="14">
        <v>0.1234311</v>
      </c>
      <c r="F3126" s="14">
        <v>3.5045300000000001E-2</v>
      </c>
      <c r="G3126" s="14">
        <v>0.56357219999999997</v>
      </c>
      <c r="H3126" s="14">
        <v>0.18987619999999999</v>
      </c>
      <c r="R3126" s="11">
        <f t="shared" si="98"/>
        <v>1.9813436738674271E-2</v>
      </c>
      <c r="Z3126" s="11">
        <f t="shared" si="97"/>
        <v>2.5192486982245639E-2</v>
      </c>
    </row>
    <row r="3127" spans="1:26" x14ac:dyDescent="0.2">
      <c r="A3127" s="45">
        <v>537</v>
      </c>
      <c r="B3127" s="45">
        <v>2001</v>
      </c>
      <c r="C3127" s="17">
        <v>0</v>
      </c>
      <c r="D3127" s="14">
        <v>4.2233600000000003E-2</v>
      </c>
      <c r="E3127" s="14">
        <v>0.16708980000000001</v>
      </c>
      <c r="F3127" s="14">
        <v>4.4581799999999998E-2</v>
      </c>
      <c r="G3127" s="14">
        <v>0.59178739999999996</v>
      </c>
      <c r="H3127" s="14">
        <v>0.13359460000000001</v>
      </c>
      <c r="R3127" s="11">
        <f t="shared" si="98"/>
        <v>1.6526754931243632E-2</v>
      </c>
      <c r="Z3127" s="11">
        <f t="shared" si="97"/>
        <v>2.1212388551601003E-2</v>
      </c>
    </row>
    <row r="3128" spans="1:26" x14ac:dyDescent="0.2">
      <c r="A3128" s="45">
        <v>537</v>
      </c>
      <c r="B3128" s="45">
        <v>2002</v>
      </c>
      <c r="C3128" s="17">
        <v>0</v>
      </c>
      <c r="D3128" s="14">
        <v>1.4241200000000001E-2</v>
      </c>
      <c r="E3128" s="14">
        <v>0.1565965</v>
      </c>
      <c r="F3128" s="14">
        <v>4.2989899999999998E-2</v>
      </c>
      <c r="G3128" s="14">
        <v>0.49468450000000003</v>
      </c>
      <c r="H3128" s="14">
        <v>0.12157900000000001</v>
      </c>
      <c r="R3128" s="11">
        <f t="shared" si="98"/>
        <v>1.9774758968136904E-2</v>
      </c>
      <c r="Z3128" s="11">
        <f t="shared" si="97"/>
        <v>2.5369229073270293E-2</v>
      </c>
    </row>
    <row r="3129" spans="1:26" x14ac:dyDescent="0.2">
      <c r="A3129" s="45">
        <v>537</v>
      </c>
      <c r="B3129" s="45">
        <v>2003</v>
      </c>
      <c r="C3129" s="17">
        <v>0</v>
      </c>
      <c r="D3129" s="14">
        <v>1.5687599999999999E-2</v>
      </c>
      <c r="E3129" s="14">
        <v>0.16362470000000001</v>
      </c>
      <c r="F3129" s="14">
        <v>4.6483900000000002E-2</v>
      </c>
      <c r="G3129" s="14">
        <v>0.53933900000000001</v>
      </c>
      <c r="H3129" s="14">
        <v>0.1353366</v>
      </c>
      <c r="R3129" s="11">
        <f t="shared" si="98"/>
        <v>1.7763172881544682E-2</v>
      </c>
      <c r="Z3129" s="11">
        <f t="shared" si="97"/>
        <v>2.2849104657552223E-2</v>
      </c>
    </row>
    <row r="3130" spans="1:26" x14ac:dyDescent="0.2">
      <c r="A3130" s="45">
        <v>537</v>
      </c>
      <c r="B3130" s="45">
        <v>2004</v>
      </c>
      <c r="C3130" s="17">
        <v>0</v>
      </c>
      <c r="D3130" s="14">
        <v>1.7754099999999998E-2</v>
      </c>
      <c r="E3130" s="14">
        <v>0.16772119999999999</v>
      </c>
      <c r="F3130" s="14">
        <v>3.7351000000000002E-2</v>
      </c>
      <c r="G3130" s="14">
        <v>0.67122649999999995</v>
      </c>
      <c r="H3130" s="14">
        <v>0.14399590000000001</v>
      </c>
      <c r="R3130" s="11">
        <f t="shared" si="98"/>
        <v>1.5431660825701103E-2</v>
      </c>
      <c r="Z3130" s="11">
        <f t="shared" si="97"/>
        <v>1.9664955633222386E-2</v>
      </c>
    </row>
    <row r="3131" spans="1:26" x14ac:dyDescent="0.2">
      <c r="A3131" s="45">
        <v>538</v>
      </c>
      <c r="B3131" s="45">
        <v>1996</v>
      </c>
      <c r="C3131" s="17">
        <v>0</v>
      </c>
      <c r="D3131" s="14">
        <v>-5.41658E-2</v>
      </c>
      <c r="E3131" s="14">
        <v>0.13179279999999999</v>
      </c>
      <c r="F3131" s="14">
        <v>3.1559000000000001E-3</v>
      </c>
      <c r="G3131" s="14">
        <v>1.0809960000000001</v>
      </c>
      <c r="H3131" s="14">
        <v>7.88267E-2</v>
      </c>
      <c r="R3131" s="11">
        <f t="shared" si="98"/>
        <v>1.1173002174346585E-2</v>
      </c>
      <c r="Z3131" s="11">
        <f t="shared" si="97"/>
        <v>1.3726869897772765E-2</v>
      </c>
    </row>
    <row r="3132" spans="1:26" x14ac:dyDescent="0.2">
      <c r="A3132" s="45">
        <v>538</v>
      </c>
      <c r="B3132" s="45">
        <v>1997</v>
      </c>
      <c r="C3132" s="17">
        <v>0</v>
      </c>
      <c r="D3132" s="14">
        <v>-3.9575000000000001E-3</v>
      </c>
      <c r="E3132" s="14">
        <v>0.1334033</v>
      </c>
      <c r="F3132" s="14">
        <v>1.86418E-2</v>
      </c>
      <c r="G3132" s="14">
        <v>1.0886910000000001</v>
      </c>
      <c r="H3132" s="14">
        <v>8.1660899999999995E-2</v>
      </c>
      <c r="R3132" s="11">
        <f t="shared" si="98"/>
        <v>9.7422218380754499E-3</v>
      </c>
      <c r="Z3132" s="11">
        <f t="shared" si="97"/>
        <v>1.2122737623996538E-2</v>
      </c>
    </row>
    <row r="3133" spans="1:26" x14ac:dyDescent="0.2">
      <c r="A3133" s="45">
        <v>538</v>
      </c>
      <c r="B3133" s="45">
        <v>1998</v>
      </c>
      <c r="C3133" s="17">
        <v>0</v>
      </c>
      <c r="D3133" s="14">
        <v>-5.3602900000000002E-2</v>
      </c>
      <c r="E3133" s="14">
        <v>0.13915250000000001</v>
      </c>
      <c r="F3133" s="14">
        <v>1.25913E-2</v>
      </c>
      <c r="G3133" s="14">
        <v>1.2124330000000001</v>
      </c>
      <c r="H3133" s="14">
        <v>8.9172500000000002E-2</v>
      </c>
      <c r="R3133" s="11">
        <f t="shared" si="98"/>
        <v>8.3372325420201388E-3</v>
      </c>
      <c r="Z3133" s="11">
        <f t="shared" si="97"/>
        <v>1.0301418821348449E-2</v>
      </c>
    </row>
    <row r="3134" spans="1:26" x14ac:dyDescent="0.2">
      <c r="A3134" s="45">
        <v>538</v>
      </c>
      <c r="B3134" s="45">
        <v>1999</v>
      </c>
      <c r="C3134" s="17">
        <v>0</v>
      </c>
      <c r="D3134" s="14">
        <v>-7.1984099999999995E-2</v>
      </c>
      <c r="E3134" s="14">
        <v>0.13930670000000001</v>
      </c>
      <c r="F3134" s="14">
        <v>4.22301E-2</v>
      </c>
      <c r="G3134" s="14">
        <v>1.5471779999999999</v>
      </c>
      <c r="H3134" s="14">
        <v>9.8430900000000002E-2</v>
      </c>
      <c r="R3134" s="11">
        <f t="shared" si="98"/>
        <v>3.8746946699882113E-3</v>
      </c>
      <c r="Z3134" s="11">
        <f t="shared" si="97"/>
        <v>4.8740476545778462E-3</v>
      </c>
    </row>
    <row r="3135" spans="1:26" x14ac:dyDescent="0.2">
      <c r="A3135" s="45">
        <v>539</v>
      </c>
      <c r="B3135" s="45">
        <v>1998</v>
      </c>
      <c r="C3135" s="17">
        <v>0</v>
      </c>
      <c r="D3135" s="14">
        <v>-8.6890000000000003E-4</v>
      </c>
      <c r="E3135" s="14">
        <v>0.11233659999999999</v>
      </c>
      <c r="F3135" s="14">
        <v>4.93737E-2</v>
      </c>
      <c r="G3135" s="14">
        <v>0.74773339999999999</v>
      </c>
      <c r="H3135" s="14">
        <v>0.1180441</v>
      </c>
      <c r="R3135" s="11">
        <f t="shared" si="98"/>
        <v>1.3475128192078387E-2</v>
      </c>
      <c r="Z3135" s="11">
        <f t="shared" si="97"/>
        <v>1.7287289339017138E-2</v>
      </c>
    </row>
    <row r="3136" spans="1:26" x14ac:dyDescent="0.2">
      <c r="A3136" s="45">
        <v>539</v>
      </c>
      <c r="B3136" s="45">
        <v>1999</v>
      </c>
      <c r="C3136" s="17">
        <v>0</v>
      </c>
      <c r="D3136" s="14">
        <v>-7.8069899999999998E-2</v>
      </c>
      <c r="E3136" s="14">
        <v>8.5949800000000007E-2</v>
      </c>
      <c r="F3136" s="14">
        <v>5.4594999999999998E-2</v>
      </c>
      <c r="G3136" s="14">
        <v>0.54039649999999995</v>
      </c>
      <c r="H3136" s="14">
        <v>0.10915179999999999</v>
      </c>
      <c r="R3136" s="11">
        <f t="shared" si="98"/>
        <v>1.8590655900651051E-2</v>
      </c>
      <c r="Z3136" s="11">
        <f t="shared" si="97"/>
        <v>2.4000399997447231E-2</v>
      </c>
    </row>
    <row r="3137" spans="1:26" x14ac:dyDescent="0.2">
      <c r="A3137" s="45">
        <v>539</v>
      </c>
      <c r="B3137" s="45">
        <v>2000</v>
      </c>
      <c r="C3137" s="17">
        <v>0</v>
      </c>
      <c r="D3137" s="14">
        <v>-9.8324900000000007E-2</v>
      </c>
      <c r="E3137" s="14">
        <v>8.4407700000000002E-2</v>
      </c>
      <c r="F3137" s="14">
        <v>5.1682600000000002E-2</v>
      </c>
      <c r="G3137" s="14">
        <v>0.65676400000000001</v>
      </c>
      <c r="H3137" s="14">
        <v>0.16317380000000001</v>
      </c>
      <c r="R3137" s="11">
        <f t="shared" si="98"/>
        <v>1.5887080265504679E-2</v>
      </c>
      <c r="Z3137" s="11">
        <f t="shared" si="97"/>
        <v>2.0426218555360667E-2</v>
      </c>
    </row>
    <row r="3138" spans="1:26" x14ac:dyDescent="0.2">
      <c r="A3138" s="45">
        <v>539</v>
      </c>
      <c r="B3138" s="45">
        <v>2001</v>
      </c>
      <c r="C3138" s="17">
        <v>0</v>
      </c>
      <c r="D3138" s="14">
        <v>-2.31027E-2</v>
      </c>
      <c r="E3138" s="14">
        <v>9.5578700000000003E-2</v>
      </c>
      <c r="F3138" s="14">
        <v>5.6701300000000003E-2</v>
      </c>
      <c r="G3138" s="14">
        <v>0.43176500000000001</v>
      </c>
      <c r="H3138" s="14">
        <v>0.1005612</v>
      </c>
      <c r="R3138" s="11">
        <f t="shared" si="98"/>
        <v>2.1372101780217586E-2</v>
      </c>
      <c r="Z3138" s="11">
        <f t="shared" ref="Z3138:Z3201" si="99">1/(1+EXP(-(U$2+$V$2*E3138+$W$2*F3138+$X$2*G3138)))</f>
        <v>2.7688006142253984E-2</v>
      </c>
    </row>
    <row r="3139" spans="1:26" x14ac:dyDescent="0.2">
      <c r="A3139" s="45">
        <v>539</v>
      </c>
      <c r="B3139" s="45">
        <v>2002</v>
      </c>
      <c r="C3139" s="17">
        <v>0</v>
      </c>
      <c r="D3139" s="14">
        <v>-5.476E-3</v>
      </c>
      <c r="E3139" s="14">
        <v>6.8235900000000002E-2</v>
      </c>
      <c r="F3139" s="14">
        <v>5.0104299999999997E-2</v>
      </c>
      <c r="G3139" s="14">
        <v>0.37924950000000002</v>
      </c>
      <c r="H3139" s="14">
        <v>0.13494429999999999</v>
      </c>
      <c r="R3139" s="11">
        <f t="shared" si="98"/>
        <v>2.5385845905721679E-2</v>
      </c>
      <c r="Z3139" s="11">
        <f t="shared" si="99"/>
        <v>3.268365366141824E-2</v>
      </c>
    </row>
    <row r="3140" spans="1:26" x14ac:dyDescent="0.2">
      <c r="A3140" s="45">
        <v>539</v>
      </c>
      <c r="B3140" s="45">
        <v>2003</v>
      </c>
      <c r="C3140" s="17">
        <v>0</v>
      </c>
      <c r="D3140" s="14">
        <v>3.3132599999999998E-2</v>
      </c>
      <c r="E3140" s="14">
        <v>9.6055299999999996E-2</v>
      </c>
      <c r="F3140" s="14">
        <v>3.7654E-2</v>
      </c>
      <c r="G3140" s="14">
        <v>0.49407479999999998</v>
      </c>
      <c r="H3140" s="14">
        <v>0.13132199999999999</v>
      </c>
      <c r="R3140" s="11">
        <f t="shared" si="98"/>
        <v>2.2495357045589096E-2</v>
      </c>
      <c r="Z3140" s="11">
        <f t="shared" si="99"/>
        <v>2.8657184045668922E-2</v>
      </c>
    </row>
    <row r="3141" spans="1:26" x14ac:dyDescent="0.2">
      <c r="A3141" s="45">
        <v>539</v>
      </c>
      <c r="B3141" s="45">
        <v>2004</v>
      </c>
      <c r="C3141" s="17">
        <v>0</v>
      </c>
      <c r="D3141" s="14">
        <v>3.9662599999999999E-2</v>
      </c>
      <c r="E3141" s="14">
        <v>0.1055444</v>
      </c>
      <c r="F3141" s="14">
        <v>3.8340699999999998E-2</v>
      </c>
      <c r="G3141" s="14">
        <v>0.55757330000000005</v>
      </c>
      <c r="H3141" s="14">
        <v>0.1132079</v>
      </c>
      <c r="R3141" s="11">
        <f t="shared" si="98"/>
        <v>1.9993044114803852E-2</v>
      </c>
      <c r="Z3141" s="11">
        <f t="shared" si="99"/>
        <v>2.5474651719400603E-2</v>
      </c>
    </row>
    <row r="3142" spans="1:26" x14ac:dyDescent="0.2">
      <c r="A3142" s="45">
        <v>540</v>
      </c>
      <c r="B3142" s="45">
        <v>1995</v>
      </c>
      <c r="C3142" s="17">
        <v>0</v>
      </c>
      <c r="D3142" s="14">
        <v>-0.10521659999999999</v>
      </c>
      <c r="E3142" s="14">
        <v>-0.92345270000000002</v>
      </c>
      <c r="F3142" s="14">
        <v>-1.934E-3</v>
      </c>
      <c r="G3142" s="14">
        <v>0.76915529999999999</v>
      </c>
      <c r="H3142" s="14">
        <v>0.1540252</v>
      </c>
      <c r="R3142" s="11">
        <f t="shared" si="98"/>
        <v>8.2337097645159493E-2</v>
      </c>
      <c r="Z3142" s="11">
        <f t="shared" si="99"/>
        <v>9.6560242534596885E-2</v>
      </c>
    </row>
    <row r="3143" spans="1:26" x14ac:dyDescent="0.2">
      <c r="A3143" s="45">
        <v>541</v>
      </c>
      <c r="B3143" s="45">
        <v>1995</v>
      </c>
      <c r="C3143" s="17">
        <v>0</v>
      </c>
      <c r="D3143" s="14">
        <v>2.2703899999999999E-2</v>
      </c>
      <c r="E3143" s="14">
        <v>9.2023999999999995E-2</v>
      </c>
      <c r="F3143" s="14">
        <v>5.7949899999999999E-2</v>
      </c>
      <c r="G3143" s="14">
        <v>0.82835049999999999</v>
      </c>
      <c r="H3143" s="14">
        <v>0.1218967</v>
      </c>
      <c r="R3143" s="11">
        <f t="shared" si="98"/>
        <v>1.1420258768493089E-2</v>
      </c>
      <c r="Z3143" s="11">
        <f t="shared" si="99"/>
        <v>1.4725719311648294E-2</v>
      </c>
    </row>
    <row r="3144" spans="1:26" x14ac:dyDescent="0.2">
      <c r="A3144" s="45">
        <v>541</v>
      </c>
      <c r="B3144" s="45">
        <v>1996</v>
      </c>
      <c r="C3144" s="17">
        <v>0</v>
      </c>
      <c r="D3144" s="14">
        <v>5.2062999999999996E-3</v>
      </c>
      <c r="E3144" s="14">
        <v>9.1923299999999999E-2</v>
      </c>
      <c r="F3144" s="14">
        <v>6.8664199999999995E-2</v>
      </c>
      <c r="G3144" s="14">
        <v>0.88771310000000003</v>
      </c>
      <c r="H3144" s="14">
        <v>0.194276</v>
      </c>
      <c r="R3144" s="11">
        <f t="shared" si="98"/>
        <v>9.5554875400327369E-3</v>
      </c>
      <c r="Z3144" s="11">
        <f t="shared" si="99"/>
        <v>1.2419251221328972E-2</v>
      </c>
    </row>
    <row r="3145" spans="1:26" x14ac:dyDescent="0.2">
      <c r="A3145" s="45">
        <v>541</v>
      </c>
      <c r="B3145" s="45">
        <v>1997</v>
      </c>
      <c r="C3145" s="17">
        <v>0</v>
      </c>
      <c r="D3145" s="14">
        <v>-5.18355E-2</v>
      </c>
      <c r="E3145" s="14">
        <v>4.8850200000000003E-2</v>
      </c>
      <c r="F3145" s="14">
        <v>5.5999199999999999E-2</v>
      </c>
      <c r="G3145" s="14">
        <v>0.87584280000000003</v>
      </c>
      <c r="H3145" s="14">
        <v>0.1510881</v>
      </c>
      <c r="R3145" s="11">
        <f t="shared" si="98"/>
        <v>1.1450735251098619E-2</v>
      </c>
      <c r="Z3145" s="11">
        <f t="shared" si="99"/>
        <v>1.4705004002556097E-2</v>
      </c>
    </row>
    <row r="3146" spans="1:26" x14ac:dyDescent="0.2">
      <c r="A3146" s="45">
        <v>541</v>
      </c>
      <c r="B3146" s="45">
        <v>1998</v>
      </c>
      <c r="C3146" s="17">
        <v>0</v>
      </c>
      <c r="D3146" s="14">
        <v>-7.7017799999999997E-2</v>
      </c>
      <c r="E3146" s="14">
        <v>3.3080100000000001E-2</v>
      </c>
      <c r="F3146" s="14">
        <v>5.4574200000000003E-2</v>
      </c>
      <c r="G3146" s="14">
        <v>0.77901819999999999</v>
      </c>
      <c r="H3146" s="14">
        <v>0.1564931</v>
      </c>
      <c r="R3146" s="11">
        <f t="shared" si="98"/>
        <v>1.3795018114970218E-2</v>
      </c>
      <c r="Z3146" s="11">
        <f t="shared" si="99"/>
        <v>1.7710962307609553E-2</v>
      </c>
    </row>
    <row r="3147" spans="1:26" x14ac:dyDescent="0.2">
      <c r="A3147" s="45">
        <v>541</v>
      </c>
      <c r="B3147" s="45">
        <v>1999</v>
      </c>
      <c r="C3147" s="17">
        <v>0</v>
      </c>
      <c r="D3147" s="14">
        <v>-6.23931E-2</v>
      </c>
      <c r="E3147" s="14">
        <v>4.5031599999999998E-2</v>
      </c>
      <c r="F3147" s="14">
        <v>5.1175499999999999E-2</v>
      </c>
      <c r="G3147" s="14">
        <v>0.47807090000000002</v>
      </c>
      <c r="H3147" s="14">
        <v>0.16621749999999999</v>
      </c>
      <c r="R3147" s="11">
        <f t="shared" si="98"/>
        <v>2.2309945111921144E-2</v>
      </c>
      <c r="Z3147" s="11">
        <f t="shared" si="99"/>
        <v>2.8691192213268123E-2</v>
      </c>
    </row>
    <row r="3148" spans="1:26" x14ac:dyDescent="0.2">
      <c r="A3148" s="45">
        <v>541</v>
      </c>
      <c r="B3148" s="45">
        <v>2000</v>
      </c>
      <c r="C3148" s="17">
        <v>0</v>
      </c>
      <c r="D3148" s="14">
        <v>-1.7635899999999999E-2</v>
      </c>
      <c r="E3148" s="14">
        <v>6.28248E-2</v>
      </c>
      <c r="F3148" s="14">
        <v>6.2466800000000003E-2</v>
      </c>
      <c r="G3148" s="14">
        <v>0.62526740000000003</v>
      </c>
      <c r="H3148" s="14">
        <v>0.25513780000000003</v>
      </c>
      <c r="R3148" s="11">
        <f t="shared" si="98"/>
        <v>1.5813940467855916E-2</v>
      </c>
      <c r="Z3148" s="11">
        <f t="shared" si="99"/>
        <v>2.0508516018391841E-2</v>
      </c>
    </row>
    <row r="3149" spans="1:26" x14ac:dyDescent="0.2">
      <c r="A3149" s="45">
        <v>541</v>
      </c>
      <c r="B3149" s="45">
        <v>2001</v>
      </c>
      <c r="C3149" s="17">
        <v>0</v>
      </c>
      <c r="D3149" s="14">
        <v>1.6942000000000001E-3</v>
      </c>
      <c r="E3149" s="14">
        <v>2.8455399999999999E-2</v>
      </c>
      <c r="F3149" s="14">
        <v>5.0576299999999998E-2</v>
      </c>
      <c r="G3149" s="14">
        <v>0.49294969999999999</v>
      </c>
      <c r="H3149" s="14">
        <v>0.15887470000000001</v>
      </c>
      <c r="R3149" s="11">
        <f t="shared" si="98"/>
        <v>2.2423308924754526E-2</v>
      </c>
      <c r="Z3149" s="11">
        <f t="shared" si="99"/>
        <v>2.8797208341205381E-2</v>
      </c>
    </row>
    <row r="3150" spans="1:26" x14ac:dyDescent="0.2">
      <c r="A3150" s="45">
        <v>541</v>
      </c>
      <c r="B3150" s="45">
        <v>2002</v>
      </c>
      <c r="C3150" s="17">
        <v>0</v>
      </c>
      <c r="D3150" s="14">
        <v>5.1520499999999997E-2</v>
      </c>
      <c r="E3150" s="14">
        <v>4.3532399999999999E-2</v>
      </c>
      <c r="F3150" s="14">
        <v>5.2027299999999999E-2</v>
      </c>
      <c r="G3150" s="14">
        <v>0.54413699999999998</v>
      </c>
      <c r="H3150" s="14">
        <v>0.15696389999999999</v>
      </c>
      <c r="R3150" s="11">
        <f t="shared" si="98"/>
        <v>2.0034208248012504E-2</v>
      </c>
      <c r="Z3150" s="11">
        <f t="shared" si="99"/>
        <v>2.5761410422678734E-2</v>
      </c>
    </row>
    <row r="3151" spans="1:26" x14ac:dyDescent="0.2">
      <c r="A3151" s="45">
        <v>541</v>
      </c>
      <c r="B3151" s="45">
        <v>2003</v>
      </c>
      <c r="C3151" s="17">
        <v>0</v>
      </c>
      <c r="D3151" s="14">
        <v>1.4936999999999999E-3</v>
      </c>
      <c r="E3151" s="14">
        <v>3.7864299999999997E-2</v>
      </c>
      <c r="F3151" s="14">
        <v>5.5960200000000002E-2</v>
      </c>
      <c r="G3151" s="14">
        <v>0.60908759999999995</v>
      </c>
      <c r="H3151" s="14">
        <v>0.15106810000000001</v>
      </c>
      <c r="R3151" s="11">
        <f t="shared" si="98"/>
        <v>1.7691879013529692E-2</v>
      </c>
      <c r="Z3151" s="11">
        <f t="shared" si="99"/>
        <v>2.280063656329925E-2</v>
      </c>
    </row>
    <row r="3152" spans="1:26" x14ac:dyDescent="0.2">
      <c r="A3152" s="45">
        <v>541</v>
      </c>
      <c r="B3152" s="45">
        <v>2004</v>
      </c>
      <c r="C3152" s="17">
        <v>0</v>
      </c>
      <c r="D3152" s="14">
        <v>4.7091800000000003E-2</v>
      </c>
      <c r="E3152" s="14">
        <v>4.2298299999999997E-2</v>
      </c>
      <c r="F3152" s="14">
        <v>4.6036800000000003E-2</v>
      </c>
      <c r="G3152" s="14">
        <v>0.61646939999999995</v>
      </c>
      <c r="H3152" s="14">
        <v>0.1670866</v>
      </c>
      <c r="R3152" s="11">
        <f t="shared" si="98"/>
        <v>1.8786857306980854E-2</v>
      </c>
      <c r="Z3152" s="11">
        <f t="shared" si="99"/>
        <v>2.4012391962791656E-2</v>
      </c>
    </row>
    <row r="3153" spans="1:26" x14ac:dyDescent="0.2">
      <c r="A3153" s="45">
        <v>542</v>
      </c>
      <c r="B3153" s="45">
        <v>1995</v>
      </c>
      <c r="C3153" s="17">
        <v>0</v>
      </c>
      <c r="D3153" s="14">
        <v>-7.2405800000000006E-2</v>
      </c>
      <c r="E3153" s="14">
        <v>0.31061129999999998</v>
      </c>
      <c r="F3153" s="14">
        <v>3.0523499999999999E-2</v>
      </c>
      <c r="G3153" s="14">
        <v>1.353337</v>
      </c>
      <c r="H3153" s="14">
        <v>0.27944639999999998</v>
      </c>
      <c r="R3153" s="11">
        <f t="shared" si="98"/>
        <v>4.5144783596256857E-3</v>
      </c>
      <c r="Z3153" s="11">
        <f t="shared" si="99"/>
        <v>5.6809769447857626E-3</v>
      </c>
    </row>
    <row r="3154" spans="1:26" x14ac:dyDescent="0.2">
      <c r="A3154" s="45">
        <v>542</v>
      </c>
      <c r="B3154" s="45">
        <v>1996</v>
      </c>
      <c r="C3154" s="17">
        <v>0</v>
      </c>
      <c r="D3154" s="14">
        <v>-8.7958900000000007E-2</v>
      </c>
      <c r="E3154" s="14">
        <v>0.34416629999999998</v>
      </c>
      <c r="F3154" s="14">
        <v>3.6939399999999997E-2</v>
      </c>
      <c r="G3154" s="14">
        <v>1.687783</v>
      </c>
      <c r="H3154" s="14">
        <v>0.26931149999999998</v>
      </c>
      <c r="R3154" s="11">
        <f t="shared" si="98"/>
        <v>2.4020615694303124E-3</v>
      </c>
      <c r="Z3154" s="11">
        <f t="shared" si="99"/>
        <v>3.0215095967259581E-3</v>
      </c>
    </row>
    <row r="3155" spans="1:26" x14ac:dyDescent="0.2">
      <c r="A3155" s="45">
        <v>542</v>
      </c>
      <c r="B3155" s="45">
        <v>1997</v>
      </c>
      <c r="C3155" s="17">
        <v>0</v>
      </c>
      <c r="D3155" s="14">
        <v>0.106456</v>
      </c>
      <c r="E3155" s="14">
        <v>0.1326473</v>
      </c>
      <c r="F3155" s="14">
        <v>5.5290600000000002E-2</v>
      </c>
      <c r="G3155" s="14">
        <v>3.0246369999999998</v>
      </c>
      <c r="H3155" s="14">
        <v>0.429398</v>
      </c>
      <c r="R3155" s="11">
        <f t="shared" si="98"/>
        <v>3.3579793401847127E-4</v>
      </c>
      <c r="Z3155" s="11">
        <f t="shared" si="99"/>
        <v>4.1357348815735989E-4</v>
      </c>
    </row>
    <row r="3156" spans="1:26" x14ac:dyDescent="0.2">
      <c r="A3156" s="45">
        <v>542</v>
      </c>
      <c r="B3156" s="45">
        <v>1998</v>
      </c>
      <c r="C3156" s="17">
        <v>0</v>
      </c>
      <c r="D3156" s="14">
        <v>6.2912099999999999E-2</v>
      </c>
      <c r="E3156" s="14">
        <v>0.19039200000000001</v>
      </c>
      <c r="F3156" s="14">
        <v>6.3652E-2</v>
      </c>
      <c r="G3156" s="14">
        <v>3.4928249999999998</v>
      </c>
      <c r="H3156" s="14">
        <v>0.412796</v>
      </c>
      <c r="R3156" s="11">
        <f t="shared" si="98"/>
        <v>1.3696993639324855E-4</v>
      </c>
      <c r="Z3156" s="11">
        <f t="shared" si="99"/>
        <v>1.6845293452435333E-4</v>
      </c>
    </row>
    <row r="3157" spans="1:26" x14ac:dyDescent="0.2">
      <c r="A3157" s="45">
        <v>542</v>
      </c>
      <c r="B3157" s="45">
        <v>1999</v>
      </c>
      <c r="C3157" s="17">
        <v>0</v>
      </c>
      <c r="D3157" s="14">
        <v>4.31215E-2</v>
      </c>
      <c r="E3157" s="14">
        <v>0.32418190000000002</v>
      </c>
      <c r="F3157" s="14">
        <v>5.8472999999999997E-2</v>
      </c>
      <c r="G3157" s="14">
        <v>4.0368060000000003</v>
      </c>
      <c r="H3157" s="14">
        <v>0.4311468</v>
      </c>
      <c r="R3157" s="11">
        <f t="shared" si="98"/>
        <v>4.9395430612639239E-5</v>
      </c>
      <c r="Z3157" s="11">
        <f t="shared" si="99"/>
        <v>6.0047451699940909E-5</v>
      </c>
    </row>
    <row r="3158" spans="1:26" x14ac:dyDescent="0.2">
      <c r="A3158" s="45">
        <v>542</v>
      </c>
      <c r="B3158" s="45">
        <v>2000</v>
      </c>
      <c r="C3158" s="17">
        <v>0</v>
      </c>
      <c r="D3158" s="14">
        <v>8.6068099999999995E-2</v>
      </c>
      <c r="E3158" s="14">
        <v>0.40762340000000002</v>
      </c>
      <c r="F3158" s="14">
        <v>7.2096999999999994E-2</v>
      </c>
      <c r="G3158" s="14">
        <v>6.2845500000000003</v>
      </c>
      <c r="H3158" s="14">
        <v>0.4314846</v>
      </c>
      <c r="R3158" s="11">
        <f t="shared" si="98"/>
        <v>1.0915618434732687E-6</v>
      </c>
      <c r="Z3158" s="11">
        <f t="shared" si="99"/>
        <v>1.2807253063010459E-6</v>
      </c>
    </row>
    <row r="3159" spans="1:26" x14ac:dyDescent="0.2">
      <c r="A3159" s="45">
        <v>543</v>
      </c>
      <c r="B3159" s="45">
        <v>1995</v>
      </c>
      <c r="C3159" s="17">
        <v>0</v>
      </c>
      <c r="D3159" s="14">
        <v>0.1735738</v>
      </c>
      <c r="E3159" s="14">
        <v>0.1741741</v>
      </c>
      <c r="F3159" s="14">
        <v>8.7027300000000002E-2</v>
      </c>
      <c r="G3159" s="14">
        <v>0.74928539999999999</v>
      </c>
      <c r="H3159" s="14">
        <v>0.44435590000000003</v>
      </c>
      <c r="R3159" s="11">
        <f t="shared" ref="R3159:R3222" si="100">1/(1+EXP(-(K$2+$M$2*E3159+$N$2*F3159+$O$2*G3159)))</f>
        <v>9.130860346945411E-3</v>
      </c>
      <c r="Z3159" s="11">
        <f t="shared" si="99"/>
        <v>1.2116759121160021E-2</v>
      </c>
    </row>
    <row r="3160" spans="1:26" x14ac:dyDescent="0.2">
      <c r="A3160" s="45">
        <v>543</v>
      </c>
      <c r="B3160" s="45">
        <v>1996</v>
      </c>
      <c r="C3160" s="17">
        <v>0</v>
      </c>
      <c r="D3160" s="14">
        <v>0.1845242</v>
      </c>
      <c r="E3160" s="14">
        <v>0.15538569999999999</v>
      </c>
      <c r="F3160" s="14">
        <v>6.5289299999999995E-2</v>
      </c>
      <c r="G3160" s="14">
        <v>0.76722409999999996</v>
      </c>
      <c r="H3160" s="14">
        <v>0.30672500000000003</v>
      </c>
      <c r="R3160" s="11">
        <f t="shared" si="100"/>
        <v>1.0832559150087618E-2</v>
      </c>
      <c r="Z3160" s="11">
        <f t="shared" si="99"/>
        <v>1.4102263199233094E-2</v>
      </c>
    </row>
    <row r="3161" spans="1:26" x14ac:dyDescent="0.2">
      <c r="A3161" s="45">
        <v>543</v>
      </c>
      <c r="B3161" s="45">
        <v>1997</v>
      </c>
      <c r="C3161" s="17">
        <v>0</v>
      </c>
      <c r="D3161" s="14">
        <v>0.1060398</v>
      </c>
      <c r="E3161" s="14">
        <v>0.25915359999999998</v>
      </c>
      <c r="F3161" s="14">
        <v>4.3031899999999998E-2</v>
      </c>
      <c r="G3161" s="14">
        <v>0.95832349999999999</v>
      </c>
      <c r="H3161" s="14">
        <v>0.32493870000000002</v>
      </c>
      <c r="R3161" s="11">
        <f t="shared" si="100"/>
        <v>8.2301683517555339E-3</v>
      </c>
      <c r="Z3161" s="11">
        <f t="shared" si="99"/>
        <v>1.0524277667839812E-2</v>
      </c>
    </row>
    <row r="3162" spans="1:26" x14ac:dyDescent="0.2">
      <c r="A3162" s="45">
        <v>543</v>
      </c>
      <c r="B3162" s="45">
        <v>1998</v>
      </c>
      <c r="C3162" s="17">
        <v>0</v>
      </c>
      <c r="D3162" s="14">
        <v>0.13498750000000001</v>
      </c>
      <c r="E3162" s="14">
        <v>0.2489741</v>
      </c>
      <c r="F3162" s="14">
        <v>6.9185399999999994E-2</v>
      </c>
      <c r="G3162" s="14">
        <v>0.61764439999999998</v>
      </c>
      <c r="H3162" s="14">
        <v>0.3383351</v>
      </c>
      <c r="R3162" s="11">
        <f t="shared" si="100"/>
        <v>1.1621802638222505E-2</v>
      </c>
      <c r="Z3162" s="11">
        <f t="shared" si="99"/>
        <v>1.527120611475935E-2</v>
      </c>
    </row>
    <row r="3163" spans="1:26" x14ac:dyDescent="0.2">
      <c r="A3163" s="45">
        <v>543</v>
      </c>
      <c r="B3163" s="45">
        <v>1999</v>
      </c>
      <c r="C3163" s="17">
        <v>0</v>
      </c>
      <c r="D3163" s="14">
        <v>0.152724</v>
      </c>
      <c r="E3163" s="14">
        <v>0.29039910000000002</v>
      </c>
      <c r="F3163" s="14">
        <v>6.5375500000000003E-2</v>
      </c>
      <c r="G3163" s="14">
        <v>0.81382840000000001</v>
      </c>
      <c r="H3163" s="14">
        <v>0.35509800000000002</v>
      </c>
      <c r="R3163" s="11">
        <f t="shared" si="100"/>
        <v>8.2801676986818395E-3</v>
      </c>
      <c r="Z3163" s="11">
        <f t="shared" si="99"/>
        <v>1.0827116534308453E-2</v>
      </c>
    </row>
    <row r="3164" spans="1:26" x14ac:dyDescent="0.2">
      <c r="A3164" s="45">
        <v>543</v>
      </c>
      <c r="B3164" s="45">
        <v>2000</v>
      </c>
      <c r="C3164" s="17">
        <v>0</v>
      </c>
      <c r="D3164" s="14">
        <v>0.1876863</v>
      </c>
      <c r="E3164" s="14">
        <v>0.29392499999999999</v>
      </c>
      <c r="F3164" s="14">
        <v>7.6021599999999995E-2</v>
      </c>
      <c r="G3164" s="14">
        <v>0.73489559999999998</v>
      </c>
      <c r="H3164" s="14">
        <v>0.39891209999999999</v>
      </c>
      <c r="R3164" s="11">
        <f t="shared" si="100"/>
        <v>8.5768384242363195E-3</v>
      </c>
      <c r="Z3164" s="11">
        <f t="shared" si="99"/>
        <v>1.1331995995725541E-2</v>
      </c>
    </row>
    <row r="3165" spans="1:26" x14ac:dyDescent="0.2">
      <c r="A3165" s="45">
        <v>543</v>
      </c>
      <c r="B3165" s="45">
        <v>2001</v>
      </c>
      <c r="C3165" s="17">
        <v>0</v>
      </c>
      <c r="D3165" s="14">
        <v>0.17895739999999999</v>
      </c>
      <c r="E3165" s="14">
        <v>0.29264459999999998</v>
      </c>
      <c r="F3165" s="14">
        <v>5.9238499999999999E-2</v>
      </c>
      <c r="G3165" s="14">
        <v>0.85386150000000005</v>
      </c>
      <c r="H3165" s="14">
        <v>0.39852959999999998</v>
      </c>
      <c r="R3165" s="11">
        <f t="shared" si="100"/>
        <v>8.1338910830494257E-3</v>
      </c>
      <c r="Z3165" s="11">
        <f t="shared" si="99"/>
        <v>1.0575099399384929E-2</v>
      </c>
    </row>
    <row r="3166" spans="1:26" x14ac:dyDescent="0.2">
      <c r="A3166" s="45">
        <v>544</v>
      </c>
      <c r="B3166" s="45">
        <v>1995</v>
      </c>
      <c r="C3166" s="17">
        <v>0</v>
      </c>
      <c r="D3166" s="14">
        <v>0.39182220000000001</v>
      </c>
      <c r="E3166" s="14">
        <v>0.17109260000000001</v>
      </c>
      <c r="F3166" s="14">
        <v>5.6048599999999997E-2</v>
      </c>
      <c r="G3166" s="14">
        <v>0.70608459999999995</v>
      </c>
      <c r="H3166" s="14">
        <v>0.65443059999999997</v>
      </c>
      <c r="R3166" s="11">
        <f t="shared" si="100"/>
        <v>1.2545145754428645E-2</v>
      </c>
      <c r="Z3166" s="11">
        <f t="shared" si="99"/>
        <v>1.6232137614173754E-2</v>
      </c>
    </row>
    <row r="3167" spans="1:26" x14ac:dyDescent="0.2">
      <c r="A3167" s="45">
        <v>544</v>
      </c>
      <c r="B3167" s="45">
        <v>1996</v>
      </c>
      <c r="C3167" s="17">
        <v>0</v>
      </c>
      <c r="D3167" s="14">
        <v>0.42529319999999998</v>
      </c>
      <c r="E3167" s="14">
        <v>0.23336100000000001</v>
      </c>
      <c r="F3167" s="14">
        <v>9.6917500000000004E-2</v>
      </c>
      <c r="G3167" s="14">
        <v>2.019136</v>
      </c>
      <c r="H3167" s="14">
        <v>0.74099400000000004</v>
      </c>
      <c r="R3167" s="11">
        <f t="shared" si="100"/>
        <v>1.0314884630086858E-3</v>
      </c>
      <c r="Z3167" s="11">
        <f t="shared" si="99"/>
        <v>1.3482469953373902E-3</v>
      </c>
    </row>
    <row r="3168" spans="1:26" x14ac:dyDescent="0.2">
      <c r="A3168" s="45">
        <v>544</v>
      </c>
      <c r="B3168" s="45">
        <v>1997</v>
      </c>
      <c r="C3168" s="17">
        <v>0</v>
      </c>
      <c r="D3168" s="14">
        <v>0.5574751</v>
      </c>
      <c r="E3168" s="14">
        <v>0.27099879999999998</v>
      </c>
      <c r="F3168" s="14">
        <v>3.8874600000000002E-2</v>
      </c>
      <c r="G3168" s="14">
        <v>3.2480069999999999</v>
      </c>
      <c r="H3168" s="14">
        <v>0.56481899999999996</v>
      </c>
      <c r="R3168" s="11">
        <f t="shared" si="100"/>
        <v>2.1938134681425968E-4</v>
      </c>
      <c r="Z3168" s="11">
        <f t="shared" si="99"/>
        <v>2.6654281461757032E-4</v>
      </c>
    </row>
    <row r="3169" spans="1:26" x14ac:dyDescent="0.2">
      <c r="A3169" s="45">
        <v>544</v>
      </c>
      <c r="B3169" s="45">
        <v>1999</v>
      </c>
      <c r="C3169" s="17">
        <v>0</v>
      </c>
      <c r="D3169" s="14">
        <v>0.47287269999999998</v>
      </c>
      <c r="E3169" s="14">
        <v>0.55971070000000001</v>
      </c>
      <c r="F3169" s="14">
        <v>0.10287010000000001</v>
      </c>
      <c r="G3169" s="14">
        <v>3.9184640000000002</v>
      </c>
      <c r="H3169" s="14">
        <v>0.36778959999999999</v>
      </c>
      <c r="R3169" s="11">
        <f t="shared" si="100"/>
        <v>2.969171259732188E-5</v>
      </c>
      <c r="Z3169" s="11">
        <f t="shared" si="99"/>
        <v>3.7834410102340878E-5</v>
      </c>
    </row>
    <row r="3170" spans="1:26" x14ac:dyDescent="0.2">
      <c r="A3170" s="45">
        <v>544</v>
      </c>
      <c r="B3170" s="45">
        <v>2000</v>
      </c>
      <c r="C3170" s="17">
        <v>0</v>
      </c>
      <c r="D3170" s="14">
        <v>0.59888669999999999</v>
      </c>
      <c r="E3170" s="14">
        <v>0.33514840000000001</v>
      </c>
      <c r="F3170" s="14">
        <v>5.6188299999999997E-2</v>
      </c>
      <c r="G3170" s="14">
        <v>2.9326789999999998</v>
      </c>
      <c r="H3170" s="14">
        <v>0.18711729999999999</v>
      </c>
      <c r="R3170" s="11">
        <f t="shared" si="100"/>
        <v>2.8757394602317013E-4</v>
      </c>
      <c r="Z3170" s="11">
        <f t="shared" si="99"/>
        <v>3.5763583345581074E-4</v>
      </c>
    </row>
    <row r="3171" spans="1:26" x14ac:dyDescent="0.2">
      <c r="A3171" s="45">
        <v>544</v>
      </c>
      <c r="B3171" s="45">
        <v>2001</v>
      </c>
      <c r="C3171" s="17">
        <v>0</v>
      </c>
      <c r="D3171" s="14">
        <v>0.39055580000000001</v>
      </c>
      <c r="E3171" s="14">
        <v>0.33895249999999999</v>
      </c>
      <c r="F3171" s="14">
        <v>2.3083800000000002E-2</v>
      </c>
      <c r="G3171" s="14">
        <v>1.9895339999999999</v>
      </c>
      <c r="H3171" s="14">
        <v>0.22360820000000001</v>
      </c>
      <c r="R3171" s="11">
        <f t="shared" si="100"/>
        <v>1.6729725743170496E-3</v>
      </c>
      <c r="Z3171" s="11">
        <f t="shared" si="99"/>
        <v>2.0669551390367063E-3</v>
      </c>
    </row>
    <row r="3172" spans="1:26" x14ac:dyDescent="0.2">
      <c r="A3172" s="45">
        <v>544</v>
      </c>
      <c r="B3172" s="45">
        <v>2002</v>
      </c>
      <c r="C3172" s="17">
        <v>0</v>
      </c>
      <c r="D3172" s="14">
        <v>0.45070009999999999</v>
      </c>
      <c r="E3172" s="14">
        <v>0.150725</v>
      </c>
      <c r="F3172" s="14">
        <v>3.0372099999999999E-2</v>
      </c>
      <c r="G3172" s="14">
        <v>1.1339030000000001</v>
      </c>
      <c r="H3172" s="14">
        <v>0.3054403</v>
      </c>
      <c r="R3172" s="11">
        <f t="shared" si="100"/>
        <v>8.0614865883399042E-3</v>
      </c>
      <c r="Z3172" s="11">
        <f t="shared" si="99"/>
        <v>1.0127423501502586E-2</v>
      </c>
    </row>
    <row r="3173" spans="1:26" x14ac:dyDescent="0.2">
      <c r="A3173" s="45">
        <v>544</v>
      </c>
      <c r="B3173" s="45">
        <v>2003</v>
      </c>
      <c r="C3173" s="17">
        <v>0</v>
      </c>
      <c r="D3173" s="14">
        <v>0.51079059999999998</v>
      </c>
      <c r="E3173" s="14">
        <v>9.7277000000000002E-2</v>
      </c>
      <c r="F3173" s="14">
        <v>2.67528E-2</v>
      </c>
      <c r="G3173" s="14">
        <v>1.700974</v>
      </c>
      <c r="H3173" s="14">
        <v>0.3060755</v>
      </c>
      <c r="R3173" s="11">
        <f t="shared" si="100"/>
        <v>3.6492462692999101E-3</v>
      </c>
      <c r="Z3173" s="11">
        <f t="shared" si="99"/>
        <v>4.5113771382601555E-3</v>
      </c>
    </row>
    <row r="3174" spans="1:26" x14ac:dyDescent="0.2">
      <c r="A3174" s="45">
        <v>544</v>
      </c>
      <c r="B3174" s="45">
        <v>2004</v>
      </c>
      <c r="C3174" s="17">
        <v>0</v>
      </c>
      <c r="D3174" s="14">
        <v>0.47619650000000002</v>
      </c>
      <c r="E3174" s="14">
        <v>9.5269000000000006E-2</v>
      </c>
      <c r="F3174" s="14">
        <v>3.6077900000000003E-2</v>
      </c>
      <c r="G3174" s="14">
        <v>1.3095129999999999</v>
      </c>
      <c r="H3174" s="14">
        <v>0.35906739999999998</v>
      </c>
      <c r="R3174" s="11">
        <f t="shared" si="100"/>
        <v>6.3217268005182695E-3</v>
      </c>
      <c r="Z3174" s="11">
        <f t="shared" si="99"/>
        <v>7.9367879220836636E-3</v>
      </c>
    </row>
    <row r="3175" spans="1:26" x14ac:dyDescent="0.2">
      <c r="A3175" s="45">
        <v>545</v>
      </c>
      <c r="B3175" s="45">
        <v>1999</v>
      </c>
      <c r="C3175" s="17">
        <v>0</v>
      </c>
      <c r="D3175" s="14">
        <v>0.21558140000000001</v>
      </c>
      <c r="E3175" s="14">
        <v>0.18584909999999999</v>
      </c>
      <c r="F3175" s="14">
        <v>5.2664900000000001E-2</v>
      </c>
      <c r="G3175" s="14">
        <v>0.73952620000000002</v>
      </c>
      <c r="H3175" s="14">
        <v>0.290213</v>
      </c>
      <c r="R3175" s="11">
        <f t="shared" si="100"/>
        <v>1.1967994160645748E-2</v>
      </c>
      <c r="Z3175" s="11">
        <f t="shared" si="99"/>
        <v>1.5442280361278884E-2</v>
      </c>
    </row>
    <row r="3176" spans="1:26" x14ac:dyDescent="0.2">
      <c r="A3176" s="45">
        <v>545</v>
      </c>
      <c r="B3176" s="45">
        <v>2000</v>
      </c>
      <c r="C3176" s="17">
        <v>0</v>
      </c>
      <c r="D3176" s="14">
        <v>0.24470459999999999</v>
      </c>
      <c r="E3176" s="14">
        <v>0.17916209999999999</v>
      </c>
      <c r="F3176" s="14">
        <v>6.5512299999999996E-2</v>
      </c>
      <c r="G3176" s="14">
        <v>0.6227897</v>
      </c>
      <c r="H3176" s="14">
        <v>0.2859044</v>
      </c>
      <c r="R3176" s="11">
        <f t="shared" si="100"/>
        <v>1.3118938824194735E-2</v>
      </c>
      <c r="Z3176" s="11">
        <f t="shared" si="99"/>
        <v>1.7137094072790578E-2</v>
      </c>
    </row>
    <row r="3177" spans="1:26" x14ac:dyDescent="0.2">
      <c r="A3177" s="45">
        <v>545</v>
      </c>
      <c r="B3177" s="45">
        <v>2001</v>
      </c>
      <c r="C3177" s="17">
        <v>0</v>
      </c>
      <c r="D3177" s="14">
        <v>0.23906359999999999</v>
      </c>
      <c r="E3177" s="14">
        <v>0.1981183</v>
      </c>
      <c r="F3177" s="14">
        <v>6.6766000000000006E-2</v>
      </c>
      <c r="G3177" s="14">
        <v>1.5532429999999999</v>
      </c>
      <c r="H3177" s="14">
        <v>0.3034828</v>
      </c>
      <c r="R3177" s="11">
        <f t="shared" si="100"/>
        <v>2.8979522669649285E-3</v>
      </c>
      <c r="Z3177" s="11">
        <f t="shared" si="99"/>
        <v>3.7270924129928907E-3</v>
      </c>
    </row>
    <row r="3178" spans="1:26" x14ac:dyDescent="0.2">
      <c r="A3178" s="45">
        <v>545</v>
      </c>
      <c r="B3178" s="45">
        <v>2002</v>
      </c>
      <c r="C3178" s="17">
        <v>0</v>
      </c>
      <c r="D3178" s="14">
        <v>0.24150440000000001</v>
      </c>
      <c r="E3178" s="14">
        <v>0.19619909999999999</v>
      </c>
      <c r="F3178" s="14">
        <v>6.7139699999999997E-2</v>
      </c>
      <c r="G3178" s="14">
        <v>1.0716669999999999</v>
      </c>
      <c r="H3178" s="14">
        <v>0.28155010000000003</v>
      </c>
      <c r="R3178" s="11">
        <f t="shared" si="100"/>
        <v>6.2208359759324061E-3</v>
      </c>
      <c r="Z3178" s="11">
        <f t="shared" si="99"/>
        <v>8.0795294472985231E-3</v>
      </c>
    </row>
    <row r="3179" spans="1:26" x14ac:dyDescent="0.2">
      <c r="A3179" s="45">
        <v>546</v>
      </c>
      <c r="B3179" s="45">
        <v>1995</v>
      </c>
      <c r="C3179" s="17">
        <v>0</v>
      </c>
      <c r="D3179" s="14">
        <v>7.2130600000000003E-2</v>
      </c>
      <c r="E3179" s="14">
        <v>0.24961459999999999</v>
      </c>
      <c r="F3179" s="14">
        <v>5.6447700000000003E-2</v>
      </c>
      <c r="G3179" s="14">
        <v>0.67377580000000004</v>
      </c>
      <c r="H3179" s="14">
        <v>0.15762039999999999</v>
      </c>
      <c r="R3179" s="11">
        <f t="shared" si="100"/>
        <v>1.1754733547275078E-2</v>
      </c>
      <c r="Z3179" s="11">
        <f t="shared" si="99"/>
        <v>1.5268987222142755E-2</v>
      </c>
    </row>
    <row r="3180" spans="1:26" x14ac:dyDescent="0.2">
      <c r="A3180" s="45">
        <v>546</v>
      </c>
      <c r="B3180" s="45">
        <v>1996</v>
      </c>
      <c r="C3180" s="17">
        <v>0</v>
      </c>
      <c r="D3180" s="14">
        <v>2.9577599999999999E-2</v>
      </c>
      <c r="E3180" s="14">
        <v>0.2345573</v>
      </c>
      <c r="F3180" s="14">
        <v>3.5331899999999999E-2</v>
      </c>
      <c r="G3180" s="14">
        <v>0.60899000000000003</v>
      </c>
      <c r="H3180" s="14">
        <v>0.15429319999999999</v>
      </c>
      <c r="R3180" s="11">
        <f t="shared" si="100"/>
        <v>1.5709855577333957E-2</v>
      </c>
      <c r="Z3180" s="11">
        <f t="shared" si="99"/>
        <v>2.0057311876391447E-2</v>
      </c>
    </row>
    <row r="3181" spans="1:26" x14ac:dyDescent="0.2">
      <c r="A3181" s="45">
        <v>546</v>
      </c>
      <c r="B3181" s="45">
        <v>1997</v>
      </c>
      <c r="C3181" s="17">
        <v>0</v>
      </c>
      <c r="D3181" s="14">
        <v>6.3495099999999999E-2</v>
      </c>
      <c r="E3181" s="14">
        <v>0.22402530000000001</v>
      </c>
      <c r="F3181" s="14">
        <v>6.7167599999999994E-2</v>
      </c>
      <c r="G3181" s="14">
        <v>0.81070580000000003</v>
      </c>
      <c r="H3181" s="14">
        <v>0.153997</v>
      </c>
      <c r="R3181" s="11">
        <f t="shared" si="100"/>
        <v>9.0273551654420654E-3</v>
      </c>
      <c r="Z3181" s="11">
        <f t="shared" si="99"/>
        <v>1.1792805697352336E-2</v>
      </c>
    </row>
    <row r="3182" spans="1:26" x14ac:dyDescent="0.2">
      <c r="A3182" s="45">
        <v>546</v>
      </c>
      <c r="B3182" s="45">
        <v>1998</v>
      </c>
      <c r="C3182" s="17">
        <v>0</v>
      </c>
      <c r="D3182" s="14">
        <v>4.04015E-2</v>
      </c>
      <c r="E3182" s="14">
        <v>0.19883809999999999</v>
      </c>
      <c r="F3182" s="14">
        <v>5.94815E-2</v>
      </c>
      <c r="G3182" s="14">
        <v>0.7199797</v>
      </c>
      <c r="H3182" s="14">
        <v>0.14920720000000001</v>
      </c>
      <c r="R3182" s="11">
        <f t="shared" si="100"/>
        <v>1.1478409677727985E-2</v>
      </c>
      <c r="Z3182" s="11">
        <f t="shared" si="99"/>
        <v>1.4907317055456133E-2</v>
      </c>
    </row>
    <row r="3183" spans="1:26" x14ac:dyDescent="0.2">
      <c r="A3183" s="45">
        <v>546</v>
      </c>
      <c r="B3183" s="45">
        <v>1999</v>
      </c>
      <c r="C3183" s="17">
        <v>0</v>
      </c>
      <c r="D3183" s="14">
        <v>3.4459400000000001E-2</v>
      </c>
      <c r="E3183" s="14">
        <v>0.2237286</v>
      </c>
      <c r="F3183" s="14">
        <v>6.7056400000000002E-2</v>
      </c>
      <c r="G3183" s="14">
        <v>0.55854769999999998</v>
      </c>
      <c r="H3183" s="14">
        <v>0.14716950000000001</v>
      </c>
      <c r="R3183" s="11">
        <f t="shared" si="100"/>
        <v>1.344954877400565E-2</v>
      </c>
      <c r="Z3183" s="11">
        <f t="shared" si="99"/>
        <v>1.76399339095017E-2</v>
      </c>
    </row>
    <row r="3184" spans="1:26" x14ac:dyDescent="0.2">
      <c r="A3184" s="45">
        <v>547</v>
      </c>
      <c r="B3184" s="45">
        <v>1998</v>
      </c>
      <c r="C3184" s="17">
        <v>0</v>
      </c>
      <c r="D3184" s="14">
        <v>0.26550879999999999</v>
      </c>
      <c r="E3184" s="14">
        <v>0.42387940000000002</v>
      </c>
      <c r="F3184" s="14">
        <v>6.2229399999999997E-2</v>
      </c>
      <c r="G3184" s="14">
        <v>3.2918940000000001</v>
      </c>
      <c r="H3184" s="14">
        <v>0.30395539999999999</v>
      </c>
      <c r="R3184" s="11">
        <f t="shared" si="100"/>
        <v>1.3589044068914764E-4</v>
      </c>
      <c r="Z3184" s="11">
        <f t="shared" si="99"/>
        <v>1.6901779507725041E-4</v>
      </c>
    </row>
    <row r="3185" spans="1:26" x14ac:dyDescent="0.2">
      <c r="A3185" s="45">
        <v>548</v>
      </c>
      <c r="B3185" s="45">
        <v>1995</v>
      </c>
      <c r="C3185" s="17">
        <v>0</v>
      </c>
      <c r="D3185" s="14">
        <v>0.18330099999999999</v>
      </c>
      <c r="E3185" s="14">
        <v>0.42096810000000001</v>
      </c>
      <c r="F3185" s="14">
        <v>7.4827599999999994E-2</v>
      </c>
      <c r="G3185" s="14">
        <v>2.0749919999999999</v>
      </c>
      <c r="H3185" s="14">
        <v>0.3637398</v>
      </c>
      <c r="R3185" s="11">
        <f t="shared" si="100"/>
        <v>8.5733992857993011E-4</v>
      </c>
      <c r="Z3185" s="11">
        <f t="shared" si="99"/>
        <v>1.1063240633973589E-3</v>
      </c>
    </row>
    <row r="3186" spans="1:26" x14ac:dyDescent="0.2">
      <c r="A3186" s="45">
        <v>548</v>
      </c>
      <c r="B3186" s="45">
        <v>1996</v>
      </c>
      <c r="C3186" s="17">
        <v>0</v>
      </c>
      <c r="D3186" s="14">
        <v>0.1171601</v>
      </c>
      <c r="E3186" s="14">
        <v>0.39239249999999998</v>
      </c>
      <c r="F3186" s="14">
        <v>5.5045400000000001E-2</v>
      </c>
      <c r="G3186" s="14">
        <v>1.7676609999999999</v>
      </c>
      <c r="H3186" s="14">
        <v>0.32675999999999999</v>
      </c>
      <c r="R3186" s="11">
        <f t="shared" si="100"/>
        <v>1.7070688884896891E-3</v>
      </c>
      <c r="Z3186" s="11">
        <f t="shared" si="99"/>
        <v>2.1794886148950822E-3</v>
      </c>
    </row>
    <row r="3187" spans="1:26" x14ac:dyDescent="0.2">
      <c r="A3187" s="45">
        <v>548</v>
      </c>
      <c r="B3187" s="45">
        <v>1997</v>
      </c>
      <c r="C3187" s="17">
        <v>0</v>
      </c>
      <c r="D3187" s="14">
        <v>-6.0784600000000001E-2</v>
      </c>
      <c r="E3187" s="14">
        <v>0.183643</v>
      </c>
      <c r="F3187" s="14">
        <v>5.3688600000000003E-2</v>
      </c>
      <c r="G3187" s="14">
        <v>0.96383099999999999</v>
      </c>
      <c r="H3187" s="14">
        <v>0.17216310000000001</v>
      </c>
      <c r="R3187" s="11">
        <f t="shared" si="100"/>
        <v>8.3599237313256875E-3</v>
      </c>
      <c r="Z3187" s="11">
        <f t="shared" si="99"/>
        <v>1.0753725832695014E-2</v>
      </c>
    </row>
    <row r="3188" spans="1:26" x14ac:dyDescent="0.2">
      <c r="A3188" s="45">
        <v>548</v>
      </c>
      <c r="B3188" s="45">
        <v>1998</v>
      </c>
      <c r="C3188" s="17">
        <v>0</v>
      </c>
      <c r="D3188" s="14">
        <v>9.7487000000000004E-2</v>
      </c>
      <c r="E3188" s="14">
        <v>0.19535079999999999</v>
      </c>
      <c r="F3188" s="14">
        <v>5.5049099999999997E-2</v>
      </c>
      <c r="G3188" s="14">
        <v>1.05365</v>
      </c>
      <c r="H3188" s="14">
        <v>0.21318239999999999</v>
      </c>
      <c r="R3188" s="11">
        <f t="shared" si="100"/>
        <v>7.0549063877889421E-3</v>
      </c>
      <c r="Z3188" s="11">
        <f t="shared" si="99"/>
        <v>9.0742973899281421E-3</v>
      </c>
    </row>
    <row r="3189" spans="1:26" x14ac:dyDescent="0.2">
      <c r="A3189" s="45">
        <v>548</v>
      </c>
      <c r="B3189" s="45">
        <v>1999</v>
      </c>
      <c r="C3189" s="17">
        <v>0</v>
      </c>
      <c r="D3189" s="14">
        <v>6.5389900000000001E-2</v>
      </c>
      <c r="E3189" s="14">
        <v>0.19869249999999999</v>
      </c>
      <c r="F3189" s="14">
        <v>2.9723699999999999E-2</v>
      </c>
      <c r="G3189" s="14">
        <v>0.54230509999999998</v>
      </c>
      <c r="H3189" s="14">
        <v>0.17540130000000001</v>
      </c>
      <c r="R3189" s="11">
        <f t="shared" si="100"/>
        <v>1.9183115275325888E-2</v>
      </c>
      <c r="Z3189" s="11">
        <f t="shared" si="99"/>
        <v>2.436404547709126E-2</v>
      </c>
    </row>
    <row r="3190" spans="1:26" x14ac:dyDescent="0.2">
      <c r="A3190" s="45">
        <v>548</v>
      </c>
      <c r="B3190" s="45">
        <v>2000</v>
      </c>
      <c r="C3190" s="17">
        <v>0</v>
      </c>
      <c r="D3190" s="14">
        <v>0.1430334</v>
      </c>
      <c r="E3190" s="14">
        <v>0.2088798</v>
      </c>
      <c r="F3190" s="14">
        <v>4.8690999999999998E-2</v>
      </c>
      <c r="G3190" s="14">
        <v>0.67509370000000002</v>
      </c>
      <c r="H3190" s="14">
        <v>0.20006119999999999</v>
      </c>
      <c r="R3190" s="11">
        <f t="shared" si="100"/>
        <v>1.3222827617501383E-2</v>
      </c>
      <c r="Z3190" s="11">
        <f t="shared" si="99"/>
        <v>1.7037523067270348E-2</v>
      </c>
    </row>
    <row r="3191" spans="1:26" x14ac:dyDescent="0.2">
      <c r="A3191" s="45">
        <v>548</v>
      </c>
      <c r="B3191" s="45">
        <v>2001</v>
      </c>
      <c r="C3191" s="17">
        <v>0</v>
      </c>
      <c r="D3191" s="14">
        <v>0.13487979999999999</v>
      </c>
      <c r="E3191" s="14">
        <v>0.1661811</v>
      </c>
      <c r="F3191" s="14">
        <v>4.8693699999999999E-2</v>
      </c>
      <c r="G3191" s="14">
        <v>0.87403600000000004</v>
      </c>
      <c r="H3191" s="14">
        <v>0.19145809999999999</v>
      </c>
      <c r="R3191" s="11">
        <f t="shared" si="100"/>
        <v>1.0277478713918221E-2</v>
      </c>
      <c r="Z3191" s="11">
        <f t="shared" si="99"/>
        <v>1.317768394289469E-2</v>
      </c>
    </row>
    <row r="3192" spans="1:26" x14ac:dyDescent="0.2">
      <c r="A3192" s="45">
        <v>548</v>
      </c>
      <c r="B3192" s="45">
        <v>2002</v>
      </c>
      <c r="C3192" s="17">
        <v>0</v>
      </c>
      <c r="D3192" s="14">
        <v>0.1268367</v>
      </c>
      <c r="E3192" s="14">
        <v>5.30102E-2</v>
      </c>
      <c r="F3192" s="14">
        <v>4.4296599999999998E-2</v>
      </c>
      <c r="G3192" s="14">
        <v>0.85604880000000005</v>
      </c>
      <c r="H3192" s="14">
        <v>0.22744629999999999</v>
      </c>
      <c r="R3192" s="11">
        <f t="shared" si="100"/>
        <v>1.2880458047532841E-2</v>
      </c>
      <c r="Z3192" s="11">
        <f t="shared" si="99"/>
        <v>1.6388313615717288E-2</v>
      </c>
    </row>
    <row r="3193" spans="1:26" x14ac:dyDescent="0.2">
      <c r="A3193" s="45">
        <v>548</v>
      </c>
      <c r="B3193" s="45">
        <v>2003</v>
      </c>
      <c r="C3193" s="17">
        <v>0</v>
      </c>
      <c r="D3193" s="14">
        <v>0.1529209</v>
      </c>
      <c r="E3193" s="14">
        <v>5.8891300000000001E-2</v>
      </c>
      <c r="F3193" s="14">
        <v>4.9767199999999998E-2</v>
      </c>
      <c r="G3193" s="14">
        <v>0.88680979999999998</v>
      </c>
      <c r="H3193" s="14">
        <v>0.24824869999999999</v>
      </c>
      <c r="R3193" s="11">
        <f t="shared" si="100"/>
        <v>1.1653678153856309E-2</v>
      </c>
      <c r="Z3193" s="11">
        <f t="shared" si="99"/>
        <v>1.4891140488037642E-2</v>
      </c>
    </row>
    <row r="3194" spans="1:26" x14ac:dyDescent="0.2">
      <c r="A3194" s="45">
        <v>548</v>
      </c>
      <c r="B3194" s="45">
        <v>2004</v>
      </c>
      <c r="C3194" s="17">
        <v>0</v>
      </c>
      <c r="D3194" s="14">
        <v>0.10104340000000001</v>
      </c>
      <c r="E3194" s="14">
        <v>6.1967300000000003E-2</v>
      </c>
      <c r="F3194" s="14">
        <v>5.7065100000000001E-2</v>
      </c>
      <c r="G3194" s="14">
        <v>1.3181780000000001</v>
      </c>
      <c r="H3194" s="14">
        <v>0.26116279999999997</v>
      </c>
      <c r="R3194" s="11">
        <f t="shared" si="100"/>
        <v>5.5373522675781139E-3</v>
      </c>
      <c r="Z3194" s="11">
        <f t="shared" si="99"/>
        <v>7.0638771185050717E-3</v>
      </c>
    </row>
    <row r="3195" spans="1:26" x14ac:dyDescent="0.2">
      <c r="A3195" s="45">
        <v>549</v>
      </c>
      <c r="B3195" s="45">
        <v>1998</v>
      </c>
      <c r="C3195" s="17">
        <v>0</v>
      </c>
      <c r="D3195" s="14">
        <v>9.3803700000000004E-2</v>
      </c>
      <c r="E3195" s="14">
        <v>7.6871599999999998E-2</v>
      </c>
      <c r="F3195" s="14">
        <v>4.2740599999999997E-2</v>
      </c>
      <c r="G3195" s="14">
        <v>0.62899269999999996</v>
      </c>
      <c r="H3195" s="14">
        <v>8.6754800000000007E-2</v>
      </c>
      <c r="R3195" s="11">
        <f t="shared" si="100"/>
        <v>1.7995166940014615E-2</v>
      </c>
      <c r="Z3195" s="11">
        <f t="shared" si="99"/>
        <v>2.2965399842769168E-2</v>
      </c>
    </row>
    <row r="3196" spans="1:26" x14ac:dyDescent="0.2">
      <c r="A3196" s="45">
        <v>549</v>
      </c>
      <c r="B3196" s="45">
        <v>1999</v>
      </c>
      <c r="C3196" s="17">
        <v>0</v>
      </c>
      <c r="D3196" s="14">
        <v>0.12829160000000001</v>
      </c>
      <c r="E3196" s="14">
        <v>3.9783100000000002E-2</v>
      </c>
      <c r="F3196" s="14">
        <v>2.7478900000000001E-2</v>
      </c>
      <c r="G3196" s="14">
        <v>0.77615000000000001</v>
      </c>
      <c r="H3196" s="14">
        <v>6.2221199999999997E-2</v>
      </c>
      <c r="R3196" s="11">
        <f t="shared" si="100"/>
        <v>1.6989983562529599E-2</v>
      </c>
      <c r="Z3196" s="11">
        <f t="shared" si="99"/>
        <v>2.1330468835611523E-2</v>
      </c>
    </row>
    <row r="3197" spans="1:26" x14ac:dyDescent="0.2">
      <c r="A3197" s="45">
        <v>550</v>
      </c>
      <c r="B3197" s="45">
        <v>1995</v>
      </c>
      <c r="C3197" s="17">
        <v>0</v>
      </c>
      <c r="D3197" s="14">
        <v>0.57699509999999998</v>
      </c>
      <c r="E3197" s="14">
        <v>0.92817130000000003</v>
      </c>
      <c r="F3197" s="14">
        <v>8.0116000000000007E-2</v>
      </c>
      <c r="G3197" s="14">
        <v>2.9481259999999998</v>
      </c>
      <c r="H3197" s="14">
        <v>0.47617959999999998</v>
      </c>
      <c r="R3197" s="11">
        <f t="shared" si="100"/>
        <v>9.7845226414476234E-5</v>
      </c>
      <c r="Z3197" s="11">
        <f t="shared" si="99"/>
        <v>1.2660391103293237E-4</v>
      </c>
    </row>
    <row r="3198" spans="1:26" x14ac:dyDescent="0.2">
      <c r="A3198" s="45">
        <v>550</v>
      </c>
      <c r="B3198" s="45">
        <v>1996</v>
      </c>
      <c r="C3198" s="17">
        <v>0</v>
      </c>
      <c r="D3198" s="14">
        <v>0.55973580000000001</v>
      </c>
      <c r="E3198" s="14">
        <v>0.59918519999999997</v>
      </c>
      <c r="F3198" s="14">
        <v>4.37086E-2</v>
      </c>
      <c r="G3198" s="14">
        <v>1.696807</v>
      </c>
      <c r="H3198" s="14">
        <v>0.47680270000000002</v>
      </c>
      <c r="R3198" s="11">
        <f t="shared" si="100"/>
        <v>1.5493742764718522E-3</v>
      </c>
      <c r="Z3198" s="11">
        <f t="shared" si="99"/>
        <v>1.9769677675702266E-3</v>
      </c>
    </row>
    <row r="3199" spans="1:26" x14ac:dyDescent="0.2">
      <c r="A3199" s="45">
        <v>550</v>
      </c>
      <c r="B3199" s="45">
        <v>1997</v>
      </c>
      <c r="C3199" s="17">
        <v>0</v>
      </c>
      <c r="D3199" s="14">
        <v>0.54255960000000003</v>
      </c>
      <c r="E3199" s="14">
        <v>0.6649119</v>
      </c>
      <c r="F3199" s="14">
        <v>4.7190999999999997E-2</v>
      </c>
      <c r="G3199" s="14">
        <v>1.3325450000000001</v>
      </c>
      <c r="H3199" s="14">
        <v>0.51840790000000003</v>
      </c>
      <c r="R3199" s="11">
        <f t="shared" si="100"/>
        <v>2.4449281128620464E-3</v>
      </c>
      <c r="Z3199" s="11">
        <f t="shared" si="99"/>
        <v>3.1599904180954937E-3</v>
      </c>
    </row>
    <row r="3200" spans="1:26" x14ac:dyDescent="0.2">
      <c r="A3200" s="45">
        <v>550</v>
      </c>
      <c r="B3200" s="45">
        <v>1998</v>
      </c>
      <c r="C3200" s="17">
        <v>0</v>
      </c>
      <c r="D3200" s="14">
        <v>0.46091539999999998</v>
      </c>
      <c r="E3200" s="14">
        <v>0.6981503</v>
      </c>
      <c r="F3200" s="14">
        <v>2.50563E-2</v>
      </c>
      <c r="G3200" s="14">
        <v>0.71893569999999996</v>
      </c>
      <c r="H3200" s="14">
        <v>0.43558599999999997</v>
      </c>
      <c r="R3200" s="11">
        <f t="shared" si="100"/>
        <v>7.3569919282968658E-3</v>
      </c>
      <c r="Z3200" s="11">
        <f t="shared" si="99"/>
        <v>9.462214087585687E-3</v>
      </c>
    </row>
    <row r="3201" spans="1:26" x14ac:dyDescent="0.2">
      <c r="A3201" s="45">
        <v>550</v>
      </c>
      <c r="B3201" s="45">
        <v>1999</v>
      </c>
      <c r="C3201" s="17">
        <v>0</v>
      </c>
      <c r="D3201" s="14">
        <v>0.41854279999999999</v>
      </c>
      <c r="E3201" s="14">
        <v>0.76046599999999998</v>
      </c>
      <c r="F3201" s="14">
        <v>3.4291299999999997E-2</v>
      </c>
      <c r="G3201" s="14">
        <v>0.45932289999999998</v>
      </c>
      <c r="H3201" s="14">
        <v>0.42705700000000002</v>
      </c>
      <c r="R3201" s="11">
        <f t="shared" si="100"/>
        <v>9.4197519799982497E-3</v>
      </c>
      <c r="Z3201" s="11">
        <f t="shared" si="99"/>
        <v>1.2293913083203517E-2</v>
      </c>
    </row>
    <row r="3202" spans="1:26" x14ac:dyDescent="0.2">
      <c r="A3202" s="45">
        <v>550</v>
      </c>
      <c r="B3202" s="45">
        <v>2000</v>
      </c>
      <c r="C3202" s="17">
        <v>0</v>
      </c>
      <c r="D3202" s="14">
        <v>0.52816490000000005</v>
      </c>
      <c r="E3202" s="14">
        <v>0.8860652</v>
      </c>
      <c r="F3202" s="14">
        <v>4.0131500000000001E-2</v>
      </c>
      <c r="G3202" s="14">
        <v>1.8514090000000001</v>
      </c>
      <c r="H3202" s="14">
        <v>0.45839780000000002</v>
      </c>
      <c r="R3202" s="11">
        <f t="shared" si="100"/>
        <v>8.2175808833002484E-4</v>
      </c>
      <c r="Z3202" s="11">
        <f t="shared" ref="Z3202:Z3265" si="101">1/(1+EXP(-(U$2+$V$2*E3202+$W$2*F3202+$X$2*G3202)))</f>
        <v>1.0524258364781605E-3</v>
      </c>
    </row>
    <row r="3203" spans="1:26" x14ac:dyDescent="0.2">
      <c r="A3203" s="45">
        <v>550</v>
      </c>
      <c r="B3203" s="45">
        <v>2001</v>
      </c>
      <c r="C3203" s="17">
        <v>0</v>
      </c>
      <c r="D3203" s="14">
        <v>0.58372690000000005</v>
      </c>
      <c r="E3203" s="14">
        <v>0.92919929999999995</v>
      </c>
      <c r="F3203" s="14">
        <v>4.3918499999999999E-2</v>
      </c>
      <c r="G3203" s="14">
        <v>1.93824</v>
      </c>
      <c r="H3203" s="14">
        <v>0.46188990000000002</v>
      </c>
      <c r="R3203" s="11">
        <f t="shared" si="100"/>
        <v>6.5212230390424019E-4</v>
      </c>
      <c r="Z3203" s="11">
        <f t="shared" si="101"/>
        <v>8.3744462034890496E-4</v>
      </c>
    </row>
    <row r="3204" spans="1:26" x14ac:dyDescent="0.2">
      <c r="A3204" s="45">
        <v>550</v>
      </c>
      <c r="B3204" s="45">
        <v>2002</v>
      </c>
      <c r="C3204" s="17">
        <v>0</v>
      </c>
      <c r="D3204" s="14">
        <v>0.58861350000000001</v>
      </c>
      <c r="E3204" s="14">
        <v>0.86209829999999998</v>
      </c>
      <c r="F3204" s="14">
        <v>5.7775199999999999E-2</v>
      </c>
      <c r="G3204" s="14">
        <v>1.8521240000000001</v>
      </c>
      <c r="H3204" s="14">
        <v>0.44025219999999998</v>
      </c>
      <c r="R3204" s="11">
        <f t="shared" si="100"/>
        <v>7.3811947445591463E-4</v>
      </c>
      <c r="Z3204" s="11">
        <f t="shared" si="101"/>
        <v>9.5828818162190259E-4</v>
      </c>
    </row>
    <row r="3205" spans="1:26" x14ac:dyDescent="0.2">
      <c r="A3205" s="45">
        <v>550</v>
      </c>
      <c r="B3205" s="45">
        <v>2003</v>
      </c>
      <c r="C3205" s="17">
        <v>0</v>
      </c>
      <c r="D3205" s="14">
        <v>0.59703399999999995</v>
      </c>
      <c r="E3205" s="14">
        <v>0.92967960000000005</v>
      </c>
      <c r="F3205" s="14">
        <v>3.8647800000000003E-2</v>
      </c>
      <c r="G3205" s="14">
        <v>2.4465240000000001</v>
      </c>
      <c r="H3205" s="14">
        <v>0.44492290000000001</v>
      </c>
      <c r="R3205" s="11">
        <f t="shared" si="100"/>
        <v>3.0248925757894821E-4</v>
      </c>
      <c r="Z3205" s="11">
        <f t="shared" si="101"/>
        <v>3.8251855897234637E-4</v>
      </c>
    </row>
    <row r="3206" spans="1:26" x14ac:dyDescent="0.2">
      <c r="A3206" s="45">
        <v>550</v>
      </c>
      <c r="B3206" s="45">
        <v>2004</v>
      </c>
      <c r="C3206" s="17">
        <v>0</v>
      </c>
      <c r="D3206" s="14">
        <v>0.46448919999999999</v>
      </c>
      <c r="E3206" s="14">
        <v>0.85489199999999999</v>
      </c>
      <c r="F3206" s="14">
        <v>5.7559899999999997E-2</v>
      </c>
      <c r="G3206" s="14">
        <v>2.130274</v>
      </c>
      <c r="H3206" s="14">
        <v>0.42341119999999999</v>
      </c>
      <c r="R3206" s="11">
        <f t="shared" si="100"/>
        <v>4.7976974235561882E-4</v>
      </c>
      <c r="Z3206" s="11">
        <f t="shared" si="101"/>
        <v>6.1886156507436291E-4</v>
      </c>
    </row>
    <row r="3207" spans="1:26" x14ac:dyDescent="0.2">
      <c r="A3207" s="45">
        <v>551</v>
      </c>
      <c r="B3207" s="45">
        <v>1998</v>
      </c>
      <c r="C3207" s="17">
        <v>0</v>
      </c>
      <c r="D3207" s="14">
        <v>0.1230701</v>
      </c>
      <c r="E3207" s="14">
        <v>0.45166200000000001</v>
      </c>
      <c r="F3207" s="14">
        <v>0.1044809</v>
      </c>
      <c r="G3207" s="14">
        <v>7.4189850000000002</v>
      </c>
      <c r="H3207" s="14">
        <v>0.27804719999999999</v>
      </c>
      <c r="R3207" s="11">
        <f t="shared" si="100"/>
        <v>1.2960132044242883E-7</v>
      </c>
      <c r="Z3207" s="11">
        <f t="shared" si="101"/>
        <v>1.5252872101816218E-7</v>
      </c>
    </row>
    <row r="3208" spans="1:26" x14ac:dyDescent="0.2">
      <c r="A3208" s="45">
        <v>551</v>
      </c>
      <c r="B3208" s="45">
        <v>1999</v>
      </c>
      <c r="C3208" s="17">
        <v>0</v>
      </c>
      <c r="D3208" s="14">
        <v>8.1118300000000004E-2</v>
      </c>
      <c r="E3208" s="14">
        <v>0.27605410000000002</v>
      </c>
      <c r="F3208" s="14">
        <v>7.5411800000000001E-2</v>
      </c>
      <c r="G3208" s="14">
        <v>1.3222100000000001</v>
      </c>
      <c r="H3208" s="14">
        <v>0.18210009999999999</v>
      </c>
      <c r="R3208" s="11">
        <f t="shared" si="100"/>
        <v>3.4872293142892627E-3</v>
      </c>
      <c r="Z3208" s="11">
        <f t="shared" si="101"/>
        <v>4.5509744727467976E-3</v>
      </c>
    </row>
    <row r="3209" spans="1:26" x14ac:dyDescent="0.2">
      <c r="A3209" s="45">
        <v>552</v>
      </c>
      <c r="B3209" s="45">
        <v>2001</v>
      </c>
      <c r="C3209" s="17">
        <v>0</v>
      </c>
      <c r="D3209" s="14">
        <v>8.7080900000000003E-2</v>
      </c>
      <c r="E3209" s="14">
        <v>0.15135599999999999</v>
      </c>
      <c r="F3209" s="14">
        <v>5.6688200000000001E-2</v>
      </c>
      <c r="G3209" s="14">
        <v>0.97298720000000005</v>
      </c>
      <c r="H3209" s="14">
        <v>0.6728227</v>
      </c>
      <c r="R3209" s="11">
        <f t="shared" si="100"/>
        <v>8.4295200523308213E-3</v>
      </c>
      <c r="Z3209" s="11">
        <f t="shared" si="101"/>
        <v>1.0855378779372957E-2</v>
      </c>
    </row>
    <row r="3210" spans="1:26" x14ac:dyDescent="0.2">
      <c r="A3210" s="45">
        <v>552</v>
      </c>
      <c r="B3210" s="45">
        <v>2002</v>
      </c>
      <c r="C3210" s="17">
        <v>0</v>
      </c>
      <c r="D3210" s="14">
        <v>0.1105689</v>
      </c>
      <c r="E3210" s="14">
        <v>0.19960059999999999</v>
      </c>
      <c r="F3210" s="14">
        <v>2.6300400000000002E-2</v>
      </c>
      <c r="G3210" s="14">
        <v>0.88005409999999995</v>
      </c>
      <c r="H3210" s="14">
        <v>0.56788919999999998</v>
      </c>
      <c r="R3210" s="11">
        <f t="shared" si="100"/>
        <v>1.1583444225933083E-2</v>
      </c>
      <c r="Z3210" s="11">
        <f t="shared" si="101"/>
        <v>1.4595115169046746E-2</v>
      </c>
    </row>
    <row r="3211" spans="1:26" x14ac:dyDescent="0.2">
      <c r="A3211" s="45">
        <v>552</v>
      </c>
      <c r="B3211" s="45">
        <v>2003</v>
      </c>
      <c r="C3211" s="17">
        <v>0</v>
      </c>
      <c r="D3211" s="14">
        <v>4.5984900000000002E-2</v>
      </c>
      <c r="E3211" s="14">
        <v>0.2298357</v>
      </c>
      <c r="F3211" s="14">
        <v>5.31907E-2</v>
      </c>
      <c r="G3211" s="14">
        <v>1.0779190000000001</v>
      </c>
      <c r="H3211" s="14">
        <v>0.53510029999999997</v>
      </c>
      <c r="R3211" s="11">
        <f t="shared" si="100"/>
        <v>6.5553079494229905E-3</v>
      </c>
      <c r="Z3211" s="11">
        <f t="shared" si="101"/>
        <v>8.4255891070015819E-3</v>
      </c>
    </row>
    <row r="3212" spans="1:26" x14ac:dyDescent="0.2">
      <c r="A3212" s="45">
        <v>552</v>
      </c>
      <c r="B3212" s="45">
        <v>2004</v>
      </c>
      <c r="C3212" s="17">
        <v>0</v>
      </c>
      <c r="D3212" s="14">
        <v>6.3659800000000002E-2</v>
      </c>
      <c r="E3212" s="14">
        <v>0.2811304</v>
      </c>
      <c r="F3212" s="14">
        <v>5.4343599999999999E-2</v>
      </c>
      <c r="G3212" s="14">
        <v>1.177098</v>
      </c>
      <c r="H3212" s="14">
        <v>0.5807042</v>
      </c>
      <c r="R3212" s="11">
        <f t="shared" si="100"/>
        <v>5.1542809658243335E-3</v>
      </c>
      <c r="Z3212" s="11">
        <f t="shared" si="101"/>
        <v>6.6309235804991916E-3</v>
      </c>
    </row>
    <row r="3213" spans="1:26" x14ac:dyDescent="0.2">
      <c r="A3213" s="45">
        <v>553</v>
      </c>
      <c r="B3213" s="45">
        <v>1995</v>
      </c>
      <c r="C3213" s="17">
        <v>0</v>
      </c>
      <c r="D3213" s="14">
        <v>4.8798000000000001E-3</v>
      </c>
      <c r="E3213" s="14">
        <v>-0.63809950000000004</v>
      </c>
      <c r="F3213" s="14">
        <v>3.9010000000000003E-2</v>
      </c>
      <c r="G3213" s="14">
        <v>0.35924109999999998</v>
      </c>
      <c r="H3213" s="14">
        <v>0.34768329999999997</v>
      </c>
      <c r="R3213" s="11">
        <f t="shared" si="100"/>
        <v>7.5844553770700887E-2</v>
      </c>
      <c r="Z3213" s="11">
        <f t="shared" si="101"/>
        <v>9.3395854905971507E-2</v>
      </c>
    </row>
    <row r="3214" spans="1:26" x14ac:dyDescent="0.2">
      <c r="A3214" s="45">
        <v>553</v>
      </c>
      <c r="B3214" s="45">
        <v>1996</v>
      </c>
      <c r="C3214" s="17">
        <v>0</v>
      </c>
      <c r="D3214" s="14">
        <v>3.4955E-2</v>
      </c>
      <c r="E3214" s="14">
        <v>-0.67265889999999995</v>
      </c>
      <c r="F3214" s="14">
        <v>5.4128000000000003E-2</v>
      </c>
      <c r="G3214" s="14">
        <v>0.44117640000000002</v>
      </c>
      <c r="H3214" s="14">
        <v>0.39271679999999998</v>
      </c>
      <c r="R3214" s="11">
        <f t="shared" si="100"/>
        <v>6.2888101989635181E-2</v>
      </c>
      <c r="Z3214" s="11">
        <f t="shared" si="101"/>
        <v>7.8369688521993344E-2</v>
      </c>
    </row>
    <row r="3215" spans="1:26" x14ac:dyDescent="0.2">
      <c r="A3215" s="45">
        <v>553</v>
      </c>
      <c r="B3215" s="45">
        <v>1997</v>
      </c>
      <c r="C3215" s="17">
        <v>0</v>
      </c>
      <c r="D3215" s="14">
        <v>-0.1153782</v>
      </c>
      <c r="E3215" s="14">
        <v>-1.365861</v>
      </c>
      <c r="F3215" s="14">
        <v>4.0900199999999998E-2</v>
      </c>
      <c r="G3215" s="14">
        <v>0.14600379999999999</v>
      </c>
      <c r="H3215" s="14">
        <v>0.37079810000000002</v>
      </c>
      <c r="R3215" s="11">
        <f t="shared" si="100"/>
        <v>0.24650869068037926</v>
      </c>
      <c r="Z3215" s="11">
        <f t="shared" si="101"/>
        <v>0.28726908645869209</v>
      </c>
    </row>
    <row r="3216" spans="1:26" x14ac:dyDescent="0.2">
      <c r="A3216" s="45">
        <v>553</v>
      </c>
      <c r="B3216" s="45">
        <v>1998</v>
      </c>
      <c r="C3216" s="17">
        <v>0</v>
      </c>
      <c r="D3216" s="14">
        <v>-0.1133378</v>
      </c>
      <c r="E3216" s="14">
        <v>-1.5858760000000001</v>
      </c>
      <c r="F3216" s="14">
        <v>3.7358000000000001E-3</v>
      </c>
      <c r="G3216" s="14">
        <v>1.3561810000000001</v>
      </c>
      <c r="H3216" s="14">
        <v>0.3610643</v>
      </c>
      <c r="R3216" s="11">
        <f t="shared" si="100"/>
        <v>8.1012801029041903E-2</v>
      </c>
      <c r="Z3216" s="11">
        <f t="shared" si="101"/>
        <v>9.239939685222108E-2</v>
      </c>
    </row>
    <row r="3217" spans="1:26" x14ac:dyDescent="0.2">
      <c r="A3217" s="45">
        <v>554</v>
      </c>
      <c r="B3217" s="45">
        <v>1997</v>
      </c>
      <c r="C3217" s="17">
        <v>0</v>
      </c>
      <c r="D3217" s="14">
        <v>0.34195779999999998</v>
      </c>
      <c r="E3217" s="14">
        <v>0.1334458</v>
      </c>
      <c r="F3217" s="14">
        <v>6.1921700000000003E-2</v>
      </c>
      <c r="G3217" s="14">
        <v>1.8872070000000001</v>
      </c>
      <c r="H3217" s="14">
        <v>9.0270100000000006E-2</v>
      </c>
      <c r="R3217" s="11">
        <f t="shared" si="100"/>
        <v>1.9455427603337269E-3</v>
      </c>
      <c r="Z3217" s="11">
        <f t="shared" si="101"/>
        <v>2.4692886192724068E-3</v>
      </c>
    </row>
    <row r="3218" spans="1:26" x14ac:dyDescent="0.2">
      <c r="A3218" s="45">
        <v>554</v>
      </c>
      <c r="B3218" s="45">
        <v>2000</v>
      </c>
      <c r="C3218" s="17">
        <v>0</v>
      </c>
      <c r="D3218" s="14">
        <v>0.18613830000000001</v>
      </c>
      <c r="E3218" s="14">
        <v>0.19379959999999999</v>
      </c>
      <c r="F3218" s="14">
        <v>2.2119699999999999E-2</v>
      </c>
      <c r="G3218" s="14">
        <v>0.90133580000000002</v>
      </c>
      <c r="H3218" s="14">
        <v>6.9690299999999997E-2</v>
      </c>
      <c r="R3218" s="11">
        <f t="shared" si="100"/>
        <v>1.1674959246381518E-2</v>
      </c>
      <c r="Z3218" s="11">
        <f t="shared" si="101"/>
        <v>1.4650844588107493E-2</v>
      </c>
    </row>
    <row r="3219" spans="1:26" x14ac:dyDescent="0.2">
      <c r="A3219" s="45">
        <v>554</v>
      </c>
      <c r="B3219" s="45">
        <v>2001</v>
      </c>
      <c r="C3219" s="17">
        <v>0</v>
      </c>
      <c r="D3219" s="14">
        <v>5.75115E-2</v>
      </c>
      <c r="E3219" s="14">
        <v>0.2042002</v>
      </c>
      <c r="F3219" s="14">
        <v>4.6636999999999998E-2</v>
      </c>
      <c r="G3219" s="14">
        <v>0.68105959999999999</v>
      </c>
      <c r="H3219" s="14">
        <v>8.3447300000000002E-2</v>
      </c>
      <c r="R3219" s="11">
        <f t="shared" si="100"/>
        <v>1.3403140361265605E-2</v>
      </c>
      <c r="Z3219" s="11">
        <f t="shared" si="101"/>
        <v>1.723545179665022E-2</v>
      </c>
    </row>
    <row r="3220" spans="1:26" x14ac:dyDescent="0.2">
      <c r="A3220" s="45">
        <v>554</v>
      </c>
      <c r="B3220" s="45">
        <v>2003</v>
      </c>
      <c r="C3220" s="17">
        <v>0</v>
      </c>
      <c r="D3220" s="14">
        <v>7.1248900000000004E-2</v>
      </c>
      <c r="E3220" s="14">
        <v>0.16701250000000001</v>
      </c>
      <c r="F3220" s="14">
        <v>4.1095100000000002E-2</v>
      </c>
      <c r="G3220" s="14">
        <v>0.49145280000000002</v>
      </c>
      <c r="H3220" s="14">
        <v>8.3913600000000005E-2</v>
      </c>
      <c r="R3220" s="11">
        <f t="shared" si="100"/>
        <v>1.9875057525615109E-2</v>
      </c>
      <c r="Z3220" s="11">
        <f t="shared" si="101"/>
        <v>2.5469227518198957E-2</v>
      </c>
    </row>
    <row r="3221" spans="1:26" x14ac:dyDescent="0.2">
      <c r="A3221" s="45">
        <v>555</v>
      </c>
      <c r="B3221" s="45">
        <v>1995</v>
      </c>
      <c r="C3221" s="17">
        <v>0</v>
      </c>
      <c r="D3221" s="14">
        <v>4.5559299999999997E-2</v>
      </c>
      <c r="E3221" s="14">
        <v>2.65052E-2</v>
      </c>
      <c r="F3221" s="14">
        <v>5.0433400000000003E-2</v>
      </c>
      <c r="G3221" s="14">
        <v>0.43023470000000003</v>
      </c>
      <c r="H3221" s="14">
        <v>0.1730729</v>
      </c>
      <c r="R3221" s="11">
        <f t="shared" si="100"/>
        <v>2.4818003173000119E-2</v>
      </c>
      <c r="Z3221" s="11">
        <f t="shared" si="101"/>
        <v>3.1887358458636127E-2</v>
      </c>
    </row>
    <row r="3222" spans="1:26" x14ac:dyDescent="0.2">
      <c r="A3222" s="45">
        <v>555</v>
      </c>
      <c r="B3222" s="45">
        <v>1996</v>
      </c>
      <c r="C3222" s="17">
        <v>0</v>
      </c>
      <c r="D3222" s="14">
        <v>2.7701199999999999E-2</v>
      </c>
      <c r="E3222" s="14">
        <v>2.3847299999999998E-2</v>
      </c>
      <c r="F3222" s="14">
        <v>4.3039399999999998E-2</v>
      </c>
      <c r="G3222" s="14">
        <v>0.47020119999999999</v>
      </c>
      <c r="H3222" s="14">
        <v>0.17780009999999999</v>
      </c>
      <c r="R3222" s="11">
        <f t="shared" si="100"/>
        <v>2.480153425730337E-2</v>
      </c>
      <c r="Z3222" s="11">
        <f t="shared" si="101"/>
        <v>3.1650118831795832E-2</v>
      </c>
    </row>
    <row r="3223" spans="1:26" x14ac:dyDescent="0.2">
      <c r="A3223" s="45">
        <v>555</v>
      </c>
      <c r="B3223" s="45">
        <v>1997</v>
      </c>
      <c r="C3223" s="17">
        <v>0</v>
      </c>
      <c r="D3223" s="14">
        <v>4.5239099999999997E-2</v>
      </c>
      <c r="E3223" s="14">
        <v>1.38012E-2</v>
      </c>
      <c r="F3223" s="14">
        <v>7.0658700000000005E-2</v>
      </c>
      <c r="G3223" s="14">
        <v>0.61263389999999995</v>
      </c>
      <c r="H3223" s="14">
        <v>0.1887943</v>
      </c>
      <c r="R3223" s="11">
        <f t="shared" ref="R3223:R3286" si="102">1/(1+EXP(-(K$2+$M$2*E3223+$N$2*F3223+$O$2*G3223)))</f>
        <v>1.6221925233437465E-2</v>
      </c>
      <c r="Z3223" s="11">
        <f t="shared" si="101"/>
        <v>2.1144709722520291E-2</v>
      </c>
    </row>
    <row r="3224" spans="1:26" x14ac:dyDescent="0.2">
      <c r="A3224" s="45">
        <v>555</v>
      </c>
      <c r="B3224" s="45">
        <v>1998</v>
      </c>
      <c r="C3224" s="17">
        <v>0</v>
      </c>
      <c r="D3224" s="14">
        <v>1.58523E-2</v>
      </c>
      <c r="E3224" s="14">
        <v>-1.6218300000000001E-2</v>
      </c>
      <c r="F3224" s="14">
        <v>3.1976499999999998E-2</v>
      </c>
      <c r="G3224" s="14">
        <v>0.47477390000000003</v>
      </c>
      <c r="H3224" s="14">
        <v>0.11517230000000001</v>
      </c>
      <c r="R3224" s="11">
        <f t="shared" si="102"/>
        <v>2.8407769695789318E-2</v>
      </c>
      <c r="Z3224" s="11">
        <f t="shared" si="101"/>
        <v>3.5849014462092203E-2</v>
      </c>
    </row>
    <row r="3225" spans="1:26" x14ac:dyDescent="0.2">
      <c r="A3225" s="45">
        <v>555</v>
      </c>
      <c r="B3225" s="45">
        <v>1999</v>
      </c>
      <c r="C3225" s="17">
        <v>0</v>
      </c>
      <c r="D3225" s="14">
        <v>2.7541599999999999E-2</v>
      </c>
      <c r="E3225" s="14">
        <v>1.4231499999999999E-2</v>
      </c>
      <c r="F3225" s="14">
        <v>6.5545099999999995E-2</v>
      </c>
      <c r="G3225" s="14">
        <v>0.4285176</v>
      </c>
      <c r="H3225" s="14">
        <v>0.22125110000000001</v>
      </c>
      <c r="R3225" s="11">
        <f t="shared" si="102"/>
        <v>2.250288964294795E-2</v>
      </c>
      <c r="Z3225" s="11">
        <f t="shared" si="101"/>
        <v>2.9271528861049854E-2</v>
      </c>
    </row>
    <row r="3226" spans="1:26" x14ac:dyDescent="0.2">
      <c r="A3226" s="45">
        <v>556</v>
      </c>
      <c r="B3226" s="45">
        <v>1995</v>
      </c>
      <c r="C3226" s="17">
        <v>0</v>
      </c>
      <c r="D3226" s="14">
        <v>0.11538470000000001</v>
      </c>
      <c r="E3226" s="14">
        <v>0.189137</v>
      </c>
      <c r="F3226" s="14">
        <v>5.0217999999999999E-2</v>
      </c>
      <c r="G3226" s="14">
        <v>0.72867360000000003</v>
      </c>
      <c r="H3226" s="14">
        <v>0.27092939999999999</v>
      </c>
      <c r="R3226" s="11">
        <f t="shared" si="102"/>
        <v>1.2353416090681106E-2</v>
      </c>
      <c r="Z3226" s="11">
        <f t="shared" si="101"/>
        <v>1.5911863968336361E-2</v>
      </c>
    </row>
    <row r="3227" spans="1:26" x14ac:dyDescent="0.2">
      <c r="A3227" s="45">
        <v>556</v>
      </c>
      <c r="B3227" s="45">
        <v>1996</v>
      </c>
      <c r="C3227" s="17">
        <v>0</v>
      </c>
      <c r="D3227" s="14">
        <v>9.2629799999999998E-2</v>
      </c>
      <c r="E3227" s="14">
        <v>0.19683990000000001</v>
      </c>
      <c r="F3227" s="14">
        <v>3.9444399999999998E-2</v>
      </c>
      <c r="G3227" s="14">
        <v>0.89109850000000002</v>
      </c>
      <c r="H3227" s="14">
        <v>0.2602836</v>
      </c>
      <c r="R3227" s="11">
        <f t="shared" si="102"/>
        <v>1.0300048822931495E-2</v>
      </c>
      <c r="Z3227" s="11">
        <f t="shared" si="101"/>
        <v>1.3116833603158896E-2</v>
      </c>
    </row>
    <row r="3228" spans="1:26" x14ac:dyDescent="0.2">
      <c r="A3228" s="45">
        <v>556</v>
      </c>
      <c r="B3228" s="45">
        <v>1997</v>
      </c>
      <c r="C3228" s="17">
        <v>0</v>
      </c>
      <c r="D3228" s="14">
        <v>0.13055459999999999</v>
      </c>
      <c r="E3228" s="14">
        <v>0.1985355</v>
      </c>
      <c r="F3228" s="14">
        <v>5.4291699999999998E-2</v>
      </c>
      <c r="G3228" s="14">
        <v>1.019587</v>
      </c>
      <c r="H3228" s="14">
        <v>0.27260519999999999</v>
      </c>
      <c r="R3228" s="11">
        <f t="shared" si="102"/>
        <v>7.4560790482649016E-3</v>
      </c>
      <c r="Z3228" s="11">
        <f t="shared" si="101"/>
        <v>9.5914571529071464E-3</v>
      </c>
    </row>
    <row r="3229" spans="1:26" x14ac:dyDescent="0.2">
      <c r="A3229" s="45">
        <v>556</v>
      </c>
      <c r="B3229" s="45">
        <v>1998</v>
      </c>
      <c r="C3229" s="17">
        <v>0</v>
      </c>
      <c r="D3229" s="14">
        <v>9.7606799999999994E-2</v>
      </c>
      <c r="E3229" s="14">
        <v>0.21779090000000001</v>
      </c>
      <c r="F3229" s="14">
        <v>5.6508200000000001E-2</v>
      </c>
      <c r="G3229" s="14">
        <v>0.90502159999999998</v>
      </c>
      <c r="H3229" s="14">
        <v>0.2415253</v>
      </c>
      <c r="R3229" s="11">
        <f t="shared" si="102"/>
        <v>8.540161762573514E-3</v>
      </c>
      <c r="Z3229" s="11">
        <f t="shared" si="101"/>
        <v>1.1037019531190198E-2</v>
      </c>
    </row>
    <row r="3230" spans="1:26" x14ac:dyDescent="0.2">
      <c r="A3230" s="45">
        <v>556</v>
      </c>
      <c r="B3230" s="45">
        <v>1999</v>
      </c>
      <c r="C3230" s="17">
        <v>0</v>
      </c>
      <c r="D3230" s="14">
        <v>3.9755600000000002E-2</v>
      </c>
      <c r="E3230" s="14">
        <v>0.2238077</v>
      </c>
      <c r="F3230" s="14">
        <v>5.1474899999999997E-2</v>
      </c>
      <c r="G3230" s="14">
        <v>1.294319</v>
      </c>
      <c r="H3230" s="14">
        <v>0.27447199999999999</v>
      </c>
      <c r="R3230" s="11">
        <f t="shared" si="102"/>
        <v>4.7574841218052605E-3</v>
      </c>
      <c r="Z3230" s="11">
        <f t="shared" si="101"/>
        <v>6.0793280192470859E-3</v>
      </c>
    </row>
    <row r="3231" spans="1:26" x14ac:dyDescent="0.2">
      <c r="A3231" s="45">
        <v>557</v>
      </c>
      <c r="B3231" s="45">
        <v>1995</v>
      </c>
      <c r="C3231" s="17">
        <v>0</v>
      </c>
      <c r="D3231" s="14">
        <v>0.76604019999999995</v>
      </c>
      <c r="E3231" s="14">
        <v>8.3312499999999998E-2</v>
      </c>
      <c r="F3231" s="14">
        <v>5.5524299999999999E-2</v>
      </c>
      <c r="G3231" s="14">
        <v>1.067863</v>
      </c>
      <c r="H3231" s="14">
        <v>0.37993090000000002</v>
      </c>
      <c r="R3231" s="11">
        <f t="shared" si="102"/>
        <v>8.0780256368117222E-3</v>
      </c>
      <c r="Z3231" s="11">
        <f t="shared" si="101"/>
        <v>1.0348592628221817E-2</v>
      </c>
    </row>
    <row r="3232" spans="1:26" x14ac:dyDescent="0.2">
      <c r="A3232" s="45">
        <v>557</v>
      </c>
      <c r="B3232" s="45">
        <v>1996</v>
      </c>
      <c r="C3232" s="17">
        <v>0</v>
      </c>
      <c r="D3232" s="14">
        <v>0.75318390000000002</v>
      </c>
      <c r="E3232" s="14">
        <v>5.7469100000000002E-2</v>
      </c>
      <c r="F3232" s="14">
        <v>5.7751400000000001E-2</v>
      </c>
      <c r="G3232" s="14">
        <v>0.76538649999999997</v>
      </c>
      <c r="H3232" s="14">
        <v>0.40564850000000002</v>
      </c>
      <c r="R3232" s="11">
        <f t="shared" si="102"/>
        <v>1.3272364569723612E-2</v>
      </c>
      <c r="Z3232" s="11">
        <f t="shared" si="101"/>
        <v>1.7105283158285779E-2</v>
      </c>
    </row>
    <row r="3233" spans="1:26" x14ac:dyDescent="0.2">
      <c r="A3233" s="45">
        <v>557</v>
      </c>
      <c r="B3233" s="45">
        <v>1997</v>
      </c>
      <c r="C3233" s="17">
        <v>0</v>
      </c>
      <c r="D3233" s="14">
        <v>0.7440544</v>
      </c>
      <c r="E3233" s="14">
        <v>9.3911300000000003E-2</v>
      </c>
      <c r="F3233" s="14">
        <v>7.0257799999999995E-2</v>
      </c>
      <c r="G3233" s="14">
        <v>1.024821</v>
      </c>
      <c r="H3233" s="14">
        <v>0.42312660000000002</v>
      </c>
      <c r="R3233" s="11">
        <f t="shared" si="102"/>
        <v>7.5759592933111099E-3</v>
      </c>
      <c r="Z3233" s="11">
        <f t="shared" si="101"/>
        <v>9.8363296850267883E-3</v>
      </c>
    </row>
    <row r="3234" spans="1:26" x14ac:dyDescent="0.2">
      <c r="A3234" s="45">
        <v>557</v>
      </c>
      <c r="B3234" s="45">
        <v>1998</v>
      </c>
      <c r="C3234" s="17">
        <v>0</v>
      </c>
      <c r="D3234" s="14">
        <v>0.71747490000000003</v>
      </c>
      <c r="E3234" s="14">
        <v>8.7736900000000007E-2</v>
      </c>
      <c r="F3234" s="14">
        <v>5.3485999999999999E-2</v>
      </c>
      <c r="G3234" s="14">
        <v>0.4198171</v>
      </c>
      <c r="H3234" s="14">
        <v>0.38755679999999998</v>
      </c>
      <c r="R3234" s="11">
        <f t="shared" si="102"/>
        <v>2.2578862033258113E-2</v>
      </c>
      <c r="Z3234" s="11">
        <f t="shared" si="101"/>
        <v>2.9165852918090113E-2</v>
      </c>
    </row>
    <row r="3235" spans="1:26" x14ac:dyDescent="0.2">
      <c r="A3235" s="45">
        <v>557</v>
      </c>
      <c r="B3235" s="45">
        <v>1999</v>
      </c>
      <c r="C3235" s="17">
        <v>0</v>
      </c>
      <c r="D3235" s="14">
        <v>0.69584630000000003</v>
      </c>
      <c r="E3235" s="14">
        <v>0.10151250000000001</v>
      </c>
      <c r="F3235" s="14">
        <v>6.4079899999999995E-2</v>
      </c>
      <c r="G3235" s="14">
        <v>0.71603779999999995</v>
      </c>
      <c r="H3235" s="14">
        <v>0.46618510000000002</v>
      </c>
      <c r="R3235" s="11">
        <f t="shared" si="102"/>
        <v>1.280881287210844E-2</v>
      </c>
      <c r="Z3235" s="11">
        <f t="shared" si="101"/>
        <v>1.6636969447909052E-2</v>
      </c>
    </row>
    <row r="3236" spans="1:26" x14ac:dyDescent="0.2">
      <c r="A3236" s="45">
        <v>557</v>
      </c>
      <c r="B3236" s="45">
        <v>2000</v>
      </c>
      <c r="C3236" s="17">
        <v>0</v>
      </c>
      <c r="D3236" s="14">
        <v>0.7365564</v>
      </c>
      <c r="E3236" s="14">
        <v>0.12640940000000001</v>
      </c>
      <c r="F3236" s="14">
        <v>6.5283400000000005E-2</v>
      </c>
      <c r="G3236" s="14">
        <v>0.62884059999999997</v>
      </c>
      <c r="H3236" s="14">
        <v>0.4222785</v>
      </c>
      <c r="R3236" s="11">
        <f t="shared" si="102"/>
        <v>1.4041447748885886E-2</v>
      </c>
      <c r="Z3236" s="11">
        <f t="shared" si="101"/>
        <v>1.8298620188713515E-2</v>
      </c>
    </row>
    <row r="3237" spans="1:26" x14ac:dyDescent="0.2">
      <c r="A3237" s="45">
        <v>557</v>
      </c>
      <c r="B3237" s="45">
        <v>2001</v>
      </c>
      <c r="C3237" s="17">
        <v>0</v>
      </c>
      <c r="D3237" s="14">
        <v>0.68053490000000005</v>
      </c>
      <c r="E3237" s="14">
        <v>8.3685999999999997E-2</v>
      </c>
      <c r="F3237" s="14">
        <v>3.1368E-2</v>
      </c>
      <c r="G3237" s="14">
        <v>0.75484450000000003</v>
      </c>
      <c r="H3237" s="14">
        <v>0.42805110000000002</v>
      </c>
      <c r="R3237" s="11">
        <f t="shared" si="102"/>
        <v>1.6000776028144106E-2</v>
      </c>
      <c r="Z3237" s="11">
        <f t="shared" si="101"/>
        <v>2.0195600683574434E-2</v>
      </c>
    </row>
    <row r="3238" spans="1:26" x14ac:dyDescent="0.2">
      <c r="A3238" s="45">
        <v>557</v>
      </c>
      <c r="B3238" s="45">
        <v>2002</v>
      </c>
      <c r="C3238" s="17">
        <v>0</v>
      </c>
      <c r="D3238" s="14">
        <v>0.72512540000000003</v>
      </c>
      <c r="E3238" s="14">
        <v>-5.6423000000000003E-3</v>
      </c>
      <c r="F3238" s="14">
        <v>3.8696500000000002E-2</v>
      </c>
      <c r="G3238" s="14">
        <v>0.54861499999999996</v>
      </c>
      <c r="H3238" s="14">
        <v>0.47313070000000002</v>
      </c>
      <c r="R3238" s="11">
        <f t="shared" si="102"/>
        <v>2.3681894195426288E-2</v>
      </c>
      <c r="Z3238" s="11">
        <f t="shared" si="101"/>
        <v>3.0046813917663829E-2</v>
      </c>
    </row>
    <row r="3239" spans="1:26" x14ac:dyDescent="0.2">
      <c r="A3239" s="45">
        <v>557</v>
      </c>
      <c r="B3239" s="45">
        <v>2003</v>
      </c>
      <c r="C3239" s="17">
        <v>0</v>
      </c>
      <c r="D3239" s="14">
        <v>0.65391960000000005</v>
      </c>
      <c r="E3239" s="14">
        <v>4.2740500000000001E-2</v>
      </c>
      <c r="F3239" s="14">
        <v>5.1459699999999997E-2</v>
      </c>
      <c r="G3239" s="14">
        <v>0.67836609999999997</v>
      </c>
      <c r="H3239" s="14">
        <v>0.53624590000000005</v>
      </c>
      <c r="R3239" s="11">
        <f t="shared" si="102"/>
        <v>1.6329921559785344E-2</v>
      </c>
      <c r="Z3239" s="11">
        <f t="shared" si="101"/>
        <v>2.0950044513130893E-2</v>
      </c>
    </row>
    <row r="3240" spans="1:26" x14ac:dyDescent="0.2">
      <c r="A3240" s="45">
        <v>558</v>
      </c>
      <c r="B3240" s="45">
        <v>1995</v>
      </c>
      <c r="C3240" s="17">
        <v>0</v>
      </c>
      <c r="D3240" s="14">
        <v>0.25429089999999999</v>
      </c>
      <c r="E3240" s="14">
        <v>0.32870719999999998</v>
      </c>
      <c r="F3240" s="14">
        <v>4.5104900000000003E-2</v>
      </c>
      <c r="G3240" s="14">
        <v>1.056489</v>
      </c>
      <c r="H3240" s="14">
        <v>0.22911329999999999</v>
      </c>
      <c r="R3240" s="11">
        <f t="shared" si="102"/>
        <v>6.2690916717368017E-3</v>
      </c>
      <c r="Z3240" s="11">
        <f t="shared" si="101"/>
        <v>8.036287247090346E-3</v>
      </c>
    </row>
    <row r="3241" spans="1:26" x14ac:dyDescent="0.2">
      <c r="A3241" s="45">
        <v>558</v>
      </c>
      <c r="B3241" s="45">
        <v>1996</v>
      </c>
      <c r="C3241" s="17">
        <v>0</v>
      </c>
      <c r="D3241" s="14">
        <v>0.285939</v>
      </c>
      <c r="E3241" s="14">
        <v>0.3856387</v>
      </c>
      <c r="F3241" s="14">
        <v>4.7522399999999999E-2</v>
      </c>
      <c r="G3241" s="14">
        <v>1.84663</v>
      </c>
      <c r="H3241" s="14">
        <v>0.22153970000000001</v>
      </c>
      <c r="R3241" s="11">
        <f t="shared" si="102"/>
        <v>1.6144963880864211E-3</v>
      </c>
      <c r="Z3241" s="11">
        <f t="shared" si="101"/>
        <v>2.0446790278474069E-3</v>
      </c>
    </row>
    <row r="3242" spans="1:26" x14ac:dyDescent="0.2">
      <c r="A3242" s="45">
        <v>558</v>
      </c>
      <c r="B3242" s="45">
        <v>1997</v>
      </c>
      <c r="C3242" s="17">
        <v>0</v>
      </c>
      <c r="D3242" s="14">
        <v>0.27912229999999999</v>
      </c>
      <c r="E3242" s="14">
        <v>0.48431360000000001</v>
      </c>
      <c r="F3242" s="14">
        <v>3.9432700000000001E-2</v>
      </c>
      <c r="G3242" s="14">
        <v>1.775755</v>
      </c>
      <c r="H3242" s="14">
        <v>0.1904545</v>
      </c>
      <c r="R3242" s="11">
        <f t="shared" si="102"/>
        <v>1.6705410833995691E-3</v>
      </c>
      <c r="Z3242" s="11">
        <f t="shared" si="101"/>
        <v>2.1120642547586103E-3</v>
      </c>
    </row>
    <row r="3243" spans="1:26" x14ac:dyDescent="0.2">
      <c r="A3243" s="45">
        <v>558</v>
      </c>
      <c r="B3243" s="45">
        <v>1998</v>
      </c>
      <c r="C3243" s="17">
        <v>0</v>
      </c>
      <c r="D3243" s="14">
        <v>0.20438490000000001</v>
      </c>
      <c r="E3243" s="14">
        <v>0.45567970000000002</v>
      </c>
      <c r="F3243" s="14">
        <v>2.5000999999999999E-2</v>
      </c>
      <c r="G3243" s="14">
        <v>1.1357330000000001</v>
      </c>
      <c r="H3243" s="14">
        <v>0.2013683</v>
      </c>
      <c r="R3243" s="11">
        <f t="shared" si="102"/>
        <v>5.4000837286317981E-3</v>
      </c>
      <c r="Z3243" s="11">
        <f t="shared" si="101"/>
        <v>6.8292854956317275E-3</v>
      </c>
    </row>
    <row r="3244" spans="1:26" x14ac:dyDescent="0.2">
      <c r="A3244" s="45">
        <v>558</v>
      </c>
      <c r="B3244" s="45">
        <v>1999</v>
      </c>
      <c r="C3244" s="17">
        <v>0</v>
      </c>
      <c r="D3244" s="14">
        <v>0.15991830000000001</v>
      </c>
      <c r="E3244" s="14">
        <v>0.39845259999999999</v>
      </c>
      <c r="F3244" s="14">
        <v>3.4320299999999998E-2</v>
      </c>
      <c r="G3244" s="14">
        <v>1.565941</v>
      </c>
      <c r="H3244" s="14">
        <v>0.2533551</v>
      </c>
      <c r="R3244" s="11">
        <f t="shared" si="102"/>
        <v>2.7515396179823822E-3</v>
      </c>
      <c r="Z3244" s="11">
        <f t="shared" si="101"/>
        <v>3.4690756381553587E-3</v>
      </c>
    </row>
    <row r="3245" spans="1:26" x14ac:dyDescent="0.2">
      <c r="A3245" s="45">
        <v>559</v>
      </c>
      <c r="B3245" s="45">
        <v>1995</v>
      </c>
      <c r="C3245" s="17">
        <v>0</v>
      </c>
      <c r="D3245" s="14">
        <v>0.31418629999999997</v>
      </c>
      <c r="E3245" s="14">
        <v>0.39109319999999997</v>
      </c>
      <c r="F3245" s="14">
        <v>7.7669199999999994E-2</v>
      </c>
      <c r="G3245" s="14">
        <v>1.5514699999999999</v>
      </c>
      <c r="H3245" s="14">
        <v>0.53341970000000005</v>
      </c>
      <c r="R3245" s="11">
        <f t="shared" si="102"/>
        <v>2.0135745691654571E-3</v>
      </c>
      <c r="Z3245" s="11">
        <f t="shared" si="101"/>
        <v>2.6309355876487938E-3</v>
      </c>
    </row>
    <row r="3246" spans="1:26" x14ac:dyDescent="0.2">
      <c r="A3246" s="45">
        <v>559</v>
      </c>
      <c r="B3246" s="45">
        <v>1996</v>
      </c>
      <c r="C3246" s="17">
        <v>0</v>
      </c>
      <c r="D3246" s="14">
        <v>0.27729799999999999</v>
      </c>
      <c r="E3246" s="14">
        <v>0.19755900000000001</v>
      </c>
      <c r="F3246" s="14">
        <v>6.6762299999999997E-2</v>
      </c>
      <c r="G3246" s="14">
        <v>1.3638779999999999</v>
      </c>
      <c r="H3246" s="14">
        <v>0.43068079999999997</v>
      </c>
      <c r="R3246" s="11">
        <f t="shared" si="102"/>
        <v>3.9180519637382321E-3</v>
      </c>
      <c r="Z3246" s="11">
        <f t="shared" si="101"/>
        <v>5.0584134226398739E-3</v>
      </c>
    </row>
    <row r="3247" spans="1:26" x14ac:dyDescent="0.2">
      <c r="A3247" s="45">
        <v>559</v>
      </c>
      <c r="B3247" s="45">
        <v>1997</v>
      </c>
      <c r="C3247" s="17">
        <v>0</v>
      </c>
      <c r="D3247" s="14">
        <v>0.2337881</v>
      </c>
      <c r="E3247" s="14">
        <v>0.20743130000000001</v>
      </c>
      <c r="F3247" s="14">
        <v>6.3237799999999997E-2</v>
      </c>
      <c r="G3247" s="14">
        <v>1.7906869999999999</v>
      </c>
      <c r="H3247" s="14">
        <v>0.45686389999999999</v>
      </c>
      <c r="R3247" s="11">
        <f t="shared" si="102"/>
        <v>2.0161302792079242E-3</v>
      </c>
      <c r="Z3247" s="11">
        <f t="shared" si="101"/>
        <v>2.5735224409462474E-3</v>
      </c>
    </row>
    <row r="3248" spans="1:26" x14ac:dyDescent="0.2">
      <c r="A3248" s="45">
        <v>559</v>
      </c>
      <c r="B3248" s="45">
        <v>1998</v>
      </c>
      <c r="C3248" s="17">
        <v>0</v>
      </c>
      <c r="D3248" s="14">
        <v>3.9377299999999997E-2</v>
      </c>
      <c r="E3248" s="14">
        <v>0.1543274</v>
      </c>
      <c r="F3248" s="14">
        <v>3.5406600000000003E-2</v>
      </c>
      <c r="G3248" s="14">
        <v>1.459516</v>
      </c>
      <c r="H3248" s="14">
        <v>0.3781986</v>
      </c>
      <c r="R3248" s="11">
        <f t="shared" si="102"/>
        <v>4.6005540707744052E-3</v>
      </c>
      <c r="Z3248" s="11">
        <f t="shared" si="101"/>
        <v>5.7679512583122608E-3</v>
      </c>
    </row>
    <row r="3249" spans="1:26" x14ac:dyDescent="0.2">
      <c r="A3249" s="45">
        <v>559</v>
      </c>
      <c r="B3249" s="45">
        <v>1999</v>
      </c>
      <c r="C3249" s="17">
        <v>0</v>
      </c>
      <c r="D3249" s="14">
        <v>9.4273200000000001E-2</v>
      </c>
      <c r="E3249" s="14">
        <v>-0.11486440000000001</v>
      </c>
      <c r="F3249" s="14">
        <v>-3.5434500000000001E-2</v>
      </c>
      <c r="G3249" s="14">
        <v>0.23453470000000001</v>
      </c>
      <c r="H3249" s="14">
        <v>0.384517</v>
      </c>
      <c r="R3249" s="11">
        <f t="shared" si="102"/>
        <v>7.8220689712562658E-2</v>
      </c>
      <c r="Z3249" s="11">
        <f t="shared" si="101"/>
        <v>9.2811684585623749E-2</v>
      </c>
    </row>
    <row r="3250" spans="1:26" x14ac:dyDescent="0.2">
      <c r="A3250" s="45">
        <v>559</v>
      </c>
      <c r="B3250" s="45">
        <v>2000</v>
      </c>
      <c r="C3250" s="17">
        <v>0</v>
      </c>
      <c r="D3250" s="14">
        <v>0.26884789999999997</v>
      </c>
      <c r="E3250" s="14">
        <v>-0.36336190000000002</v>
      </c>
      <c r="F3250" s="14">
        <v>1.0729799999999999E-2</v>
      </c>
      <c r="G3250" s="14">
        <v>0.23812729999999999</v>
      </c>
      <c r="H3250" s="14">
        <v>0.55784889999999998</v>
      </c>
      <c r="R3250" s="11">
        <f t="shared" si="102"/>
        <v>7.7240316552597638E-2</v>
      </c>
      <c r="Z3250" s="11">
        <f t="shared" si="101"/>
        <v>9.4130851946331959E-2</v>
      </c>
    </row>
    <row r="3251" spans="1:26" x14ac:dyDescent="0.2">
      <c r="A3251" s="45">
        <v>559</v>
      </c>
      <c r="B3251" s="45">
        <v>2001</v>
      </c>
      <c r="C3251" s="17">
        <v>0</v>
      </c>
      <c r="D3251" s="14">
        <v>0.27289269999999999</v>
      </c>
      <c r="E3251" s="14">
        <v>-0.58428219999999997</v>
      </c>
      <c r="F3251" s="14">
        <v>2.4110900000000001E-2</v>
      </c>
      <c r="G3251" s="14">
        <v>0.29829250000000002</v>
      </c>
      <c r="H3251" s="14">
        <v>0.659389</v>
      </c>
      <c r="R3251" s="11">
        <f t="shared" si="102"/>
        <v>8.6105666701067327E-2</v>
      </c>
      <c r="Z3251" s="11">
        <f t="shared" si="101"/>
        <v>0.10490917333212882</v>
      </c>
    </row>
    <row r="3252" spans="1:26" x14ac:dyDescent="0.2">
      <c r="A3252" s="45">
        <v>559</v>
      </c>
      <c r="B3252" s="45">
        <v>2002</v>
      </c>
      <c r="C3252" s="17">
        <v>0</v>
      </c>
      <c r="D3252" s="14">
        <v>0.30462590000000001</v>
      </c>
      <c r="E3252" s="14">
        <v>-0.64956999999999998</v>
      </c>
      <c r="F3252" s="14">
        <v>6.5391000000000005E-2</v>
      </c>
      <c r="G3252" s="14">
        <v>0.2313499</v>
      </c>
      <c r="H3252" s="14">
        <v>0.71138500000000005</v>
      </c>
      <c r="R3252" s="11">
        <f t="shared" si="102"/>
        <v>7.6510421288507824E-2</v>
      </c>
      <c r="Z3252" s="11">
        <f t="shared" si="101"/>
        <v>9.6272124675000834E-2</v>
      </c>
    </row>
    <row r="3253" spans="1:26" x14ac:dyDescent="0.2">
      <c r="A3253" s="45">
        <v>559</v>
      </c>
      <c r="B3253" s="45">
        <v>2003</v>
      </c>
      <c r="C3253" s="17">
        <v>0</v>
      </c>
      <c r="D3253" s="14">
        <v>0.33331270000000002</v>
      </c>
      <c r="E3253" s="14">
        <v>-0.61359269999999999</v>
      </c>
      <c r="F3253" s="14">
        <v>6.2578999999999996E-2</v>
      </c>
      <c r="G3253" s="14">
        <v>0.48736350000000001</v>
      </c>
      <c r="H3253" s="14">
        <v>0.73475840000000003</v>
      </c>
      <c r="R3253" s="11">
        <f t="shared" si="102"/>
        <v>5.0760977737493461E-2</v>
      </c>
      <c r="Z3253" s="11">
        <f t="shared" si="101"/>
        <v>6.3932530988319095E-2</v>
      </c>
    </row>
    <row r="3254" spans="1:26" x14ac:dyDescent="0.2">
      <c r="A3254" s="45">
        <v>559</v>
      </c>
      <c r="B3254" s="45">
        <v>2004</v>
      </c>
      <c r="C3254" s="17">
        <v>0</v>
      </c>
      <c r="D3254" s="14">
        <v>0.2659704</v>
      </c>
      <c r="E3254" s="14">
        <v>-0.60572280000000001</v>
      </c>
      <c r="F3254" s="14">
        <v>4.3556900000000003E-2</v>
      </c>
      <c r="G3254" s="14">
        <v>0.3499408</v>
      </c>
      <c r="H3254" s="14">
        <v>0.75646080000000004</v>
      </c>
      <c r="R3254" s="11">
        <f t="shared" si="102"/>
        <v>7.1172217835594173E-2</v>
      </c>
      <c r="Z3254" s="11">
        <f t="shared" si="101"/>
        <v>8.8149347585409904E-2</v>
      </c>
    </row>
    <row r="3255" spans="1:26" x14ac:dyDescent="0.2">
      <c r="A3255" s="45">
        <v>560</v>
      </c>
      <c r="B3255" s="45">
        <v>1996</v>
      </c>
      <c r="C3255" s="17">
        <v>0</v>
      </c>
      <c r="D3255" s="14">
        <v>-4.2689600000000001E-2</v>
      </c>
      <c r="E3255" s="14">
        <v>0.38331549999999998</v>
      </c>
      <c r="F3255" s="14">
        <v>3.6498999999999997E-2</v>
      </c>
      <c r="G3255" s="14">
        <v>0.87458729999999996</v>
      </c>
      <c r="H3255" s="14">
        <v>0.64123770000000002</v>
      </c>
      <c r="R3255" s="11">
        <f t="shared" si="102"/>
        <v>8.2724313999434224E-3</v>
      </c>
      <c r="Z3255" s="11">
        <f t="shared" si="101"/>
        <v>1.0585993564437936E-2</v>
      </c>
    </row>
    <row r="3256" spans="1:26" x14ac:dyDescent="0.2">
      <c r="A3256" s="45">
        <v>561</v>
      </c>
      <c r="B3256" s="45">
        <v>1995</v>
      </c>
      <c r="C3256" s="17">
        <v>0</v>
      </c>
      <c r="D3256" s="14">
        <v>3.8528399999999997E-2</v>
      </c>
      <c r="E3256" s="14">
        <v>0.17715939999999999</v>
      </c>
      <c r="F3256" s="14">
        <v>6.8450200000000003E-2</v>
      </c>
      <c r="G3256" s="14">
        <v>3.9920100000000001</v>
      </c>
      <c r="H3256" s="14">
        <v>0.31434069999999997</v>
      </c>
      <c r="R3256" s="11">
        <f t="shared" si="102"/>
        <v>6.0654804140218984E-5</v>
      </c>
      <c r="Z3256" s="11">
        <f t="shared" si="101"/>
        <v>7.4039495896771103E-5</v>
      </c>
    </row>
    <row r="3257" spans="1:26" x14ac:dyDescent="0.2">
      <c r="A3257" s="45">
        <v>561</v>
      </c>
      <c r="B3257" s="45">
        <v>1996</v>
      </c>
      <c r="C3257" s="17">
        <v>0</v>
      </c>
      <c r="D3257" s="14">
        <v>3.8617699999999998E-2</v>
      </c>
      <c r="E3257" s="14">
        <v>0.1961136</v>
      </c>
      <c r="F3257" s="14">
        <v>7.9120599999999999E-2</v>
      </c>
      <c r="G3257" s="14">
        <v>3.2286109999999999</v>
      </c>
      <c r="H3257" s="14">
        <v>0.28507320000000003</v>
      </c>
      <c r="R3257" s="11">
        <f t="shared" si="102"/>
        <v>1.8285836434744587E-4</v>
      </c>
      <c r="Z3257" s="11">
        <f t="shared" si="101"/>
        <v>2.2912920813964745E-4</v>
      </c>
    </row>
    <row r="3258" spans="1:26" x14ac:dyDescent="0.2">
      <c r="A3258" s="45">
        <v>561</v>
      </c>
      <c r="B3258" s="45">
        <v>1997</v>
      </c>
      <c r="C3258" s="17">
        <v>0</v>
      </c>
      <c r="D3258" s="14">
        <v>2.4091999999999999E-2</v>
      </c>
      <c r="E3258" s="14">
        <v>0.15894610000000001</v>
      </c>
      <c r="F3258" s="14">
        <v>5.0741700000000001E-2</v>
      </c>
      <c r="G3258" s="14">
        <v>2.651373</v>
      </c>
      <c r="H3258" s="14">
        <v>0.27475179999999999</v>
      </c>
      <c r="R3258" s="11">
        <f t="shared" si="102"/>
        <v>6.0741795728210435E-4</v>
      </c>
      <c r="Z3258" s="11">
        <f t="shared" si="101"/>
        <v>7.5209920198177581E-4</v>
      </c>
    </row>
    <row r="3259" spans="1:26" x14ac:dyDescent="0.2">
      <c r="A3259" s="45">
        <v>561</v>
      </c>
      <c r="B3259" s="45">
        <v>1998</v>
      </c>
      <c r="C3259" s="17">
        <v>0</v>
      </c>
      <c r="D3259" s="14">
        <v>2.84698E-2</v>
      </c>
      <c r="E3259" s="14">
        <v>0.12997649999999999</v>
      </c>
      <c r="F3259" s="14">
        <v>5.35478E-2</v>
      </c>
      <c r="G3259" s="14">
        <v>2.8894790000000001</v>
      </c>
      <c r="H3259" s="14">
        <v>0.23852499999999999</v>
      </c>
      <c r="R3259" s="11">
        <f t="shared" si="102"/>
        <v>4.2395722460160574E-4</v>
      </c>
      <c r="Z3259" s="11">
        <f t="shared" si="101"/>
        <v>5.2290157238904782E-4</v>
      </c>
    </row>
    <row r="3260" spans="1:26" x14ac:dyDescent="0.2">
      <c r="A3260" s="45">
        <v>562</v>
      </c>
      <c r="B3260" s="45">
        <v>1998</v>
      </c>
      <c r="C3260" s="17">
        <v>0</v>
      </c>
      <c r="D3260" s="14">
        <v>0.31346550000000001</v>
      </c>
      <c r="E3260" s="14">
        <v>0.53673769999999998</v>
      </c>
      <c r="F3260" s="14">
        <v>6.6702700000000004E-2</v>
      </c>
      <c r="G3260" s="14">
        <v>2.2328480000000002</v>
      </c>
      <c r="H3260" s="14">
        <v>0.28155639999999998</v>
      </c>
      <c r="R3260" s="11">
        <f t="shared" si="102"/>
        <v>6.0135919536231605E-4</v>
      </c>
      <c r="Z3260" s="11">
        <f t="shared" si="101"/>
        <v>7.7129215931638921E-4</v>
      </c>
    </row>
    <row r="3261" spans="1:26" x14ac:dyDescent="0.2">
      <c r="A3261" s="45">
        <v>562</v>
      </c>
      <c r="B3261" s="45">
        <v>1999</v>
      </c>
      <c r="C3261" s="17">
        <v>0</v>
      </c>
      <c r="D3261" s="14">
        <v>0.26406550000000001</v>
      </c>
      <c r="E3261" s="14">
        <v>0.45145350000000001</v>
      </c>
      <c r="F3261" s="14">
        <v>6.3601900000000003E-2</v>
      </c>
      <c r="G3261" s="14">
        <v>3.1010689999999999</v>
      </c>
      <c r="H3261" s="14">
        <v>0.3251443</v>
      </c>
      <c r="R3261" s="11">
        <f t="shared" si="102"/>
        <v>1.7500865828743505E-4</v>
      </c>
      <c r="Z3261" s="11">
        <f t="shared" si="101"/>
        <v>2.1903947419461218E-4</v>
      </c>
    </row>
    <row r="3262" spans="1:26" x14ac:dyDescent="0.2">
      <c r="A3262" s="45">
        <v>562</v>
      </c>
      <c r="B3262" s="45">
        <v>2001</v>
      </c>
      <c r="C3262" s="17">
        <v>0</v>
      </c>
      <c r="D3262" s="14">
        <v>0.2283763</v>
      </c>
      <c r="E3262" s="14">
        <v>0.55043920000000002</v>
      </c>
      <c r="F3262" s="14">
        <v>4.4510500000000001E-2</v>
      </c>
      <c r="G3262" s="14">
        <v>1.139138</v>
      </c>
      <c r="H3262" s="14">
        <v>0.27495190000000003</v>
      </c>
      <c r="R3262" s="11">
        <f t="shared" si="102"/>
        <v>4.0090166715153024E-3</v>
      </c>
      <c r="Z3262" s="11">
        <f t="shared" si="101"/>
        <v>5.1695653606647352E-3</v>
      </c>
    </row>
    <row r="3263" spans="1:26" x14ac:dyDescent="0.2">
      <c r="A3263" s="45">
        <v>562</v>
      </c>
      <c r="B3263" s="45">
        <v>2002</v>
      </c>
      <c r="C3263" s="17">
        <v>0</v>
      </c>
      <c r="D3263" s="14">
        <v>0.23017650000000001</v>
      </c>
      <c r="E3263" s="14">
        <v>0.52084079999999999</v>
      </c>
      <c r="F3263" s="14">
        <v>6.1465800000000001E-2</v>
      </c>
      <c r="G3263" s="14">
        <v>1.288835</v>
      </c>
      <c r="H3263" s="14">
        <v>0.2777965</v>
      </c>
      <c r="R3263" s="11">
        <f t="shared" si="102"/>
        <v>2.882133248003307E-3</v>
      </c>
      <c r="Z3263" s="11">
        <f t="shared" si="101"/>
        <v>3.7533632770403291E-3</v>
      </c>
    </row>
    <row r="3264" spans="1:26" x14ac:dyDescent="0.2">
      <c r="A3264" s="45">
        <v>562</v>
      </c>
      <c r="B3264" s="45">
        <v>2003</v>
      </c>
      <c r="C3264" s="17">
        <v>0</v>
      </c>
      <c r="D3264" s="14">
        <v>0.25465850000000001</v>
      </c>
      <c r="E3264" s="14">
        <v>0.47440969999999999</v>
      </c>
      <c r="F3264" s="14">
        <v>6.2560599999999994E-2</v>
      </c>
      <c r="G3264" s="14">
        <v>2.0596519999999998</v>
      </c>
      <c r="H3264" s="14">
        <v>0.30907879999999999</v>
      </c>
      <c r="R3264" s="11">
        <f t="shared" si="102"/>
        <v>8.9664512333481009E-4</v>
      </c>
      <c r="Z3264" s="11">
        <f t="shared" si="101"/>
        <v>1.1479532106992256E-3</v>
      </c>
    </row>
    <row r="3265" spans="1:26" x14ac:dyDescent="0.2">
      <c r="A3265" s="45">
        <v>563</v>
      </c>
      <c r="B3265" s="45">
        <v>2004</v>
      </c>
      <c r="C3265" s="17">
        <v>0</v>
      </c>
      <c r="D3265" s="14">
        <v>-4.4494699999999998E-2</v>
      </c>
      <c r="E3265" s="14">
        <v>7.2319999999999997E-3</v>
      </c>
      <c r="F3265" s="14">
        <v>3.6708600000000001E-2</v>
      </c>
      <c r="G3265" s="14">
        <v>0.59708499999999998</v>
      </c>
      <c r="H3265" s="14">
        <v>0.15873680000000001</v>
      </c>
      <c r="R3265" s="11">
        <f t="shared" si="102"/>
        <v>2.1899741569594993E-2</v>
      </c>
      <c r="Z3265" s="11">
        <f t="shared" si="101"/>
        <v>2.773842001003363E-2</v>
      </c>
    </row>
    <row r="3266" spans="1:26" x14ac:dyDescent="0.2">
      <c r="A3266" s="45">
        <v>564</v>
      </c>
      <c r="B3266" s="45">
        <v>1995</v>
      </c>
      <c r="C3266" s="17">
        <v>0</v>
      </c>
      <c r="D3266" s="14">
        <v>0.17017379999999999</v>
      </c>
      <c r="E3266" s="14">
        <v>0.44479340000000001</v>
      </c>
      <c r="F3266" s="14">
        <v>5.1094199999999999E-2</v>
      </c>
      <c r="G3266" s="14">
        <v>2.067866</v>
      </c>
      <c r="H3266" s="14">
        <v>0.26270900000000003</v>
      </c>
      <c r="R3266" s="11">
        <f t="shared" si="102"/>
        <v>1.0125604249912911E-3</v>
      </c>
      <c r="Z3266" s="11">
        <f t="shared" ref="Z3266:Z3329" si="103">1/(1+EXP(-(U$2+$V$2*E3266+$W$2*F3266+$X$2*G3266)))</f>
        <v>1.2826701905032933E-3</v>
      </c>
    </row>
    <row r="3267" spans="1:26" x14ac:dyDescent="0.2">
      <c r="A3267" s="45">
        <v>564</v>
      </c>
      <c r="B3267" s="45">
        <v>1996</v>
      </c>
      <c r="C3267" s="17">
        <v>0</v>
      </c>
      <c r="D3267" s="14">
        <v>0.16208310000000001</v>
      </c>
      <c r="E3267" s="14">
        <v>0.51533569999999995</v>
      </c>
      <c r="F3267" s="14">
        <v>6.7718600000000004E-2</v>
      </c>
      <c r="G3267" s="14">
        <v>2.3771450000000001</v>
      </c>
      <c r="H3267" s="14">
        <v>0.2854949</v>
      </c>
      <c r="R3267" s="11">
        <f t="shared" si="102"/>
        <v>4.8899227356567158E-4</v>
      </c>
      <c r="Z3267" s="11">
        <f t="shared" si="103"/>
        <v>6.252657432623531E-4</v>
      </c>
    </row>
    <row r="3268" spans="1:26" x14ac:dyDescent="0.2">
      <c r="A3268" s="45">
        <v>564</v>
      </c>
      <c r="B3268" s="45">
        <v>1997</v>
      </c>
      <c r="C3268" s="17">
        <v>0</v>
      </c>
      <c r="D3268" s="14">
        <v>0.1607712</v>
      </c>
      <c r="E3268" s="14">
        <v>0.58333089999999999</v>
      </c>
      <c r="F3268" s="14">
        <v>5.2708199999999997E-2</v>
      </c>
      <c r="G3268" s="14">
        <v>2.8006509999999998</v>
      </c>
      <c r="H3268" s="14">
        <v>0.26811109999999999</v>
      </c>
      <c r="R3268" s="11">
        <f t="shared" si="102"/>
        <v>2.543947824523841E-4</v>
      </c>
      <c r="Z3268" s="11">
        <f t="shared" si="103"/>
        <v>3.1909519348109815E-4</v>
      </c>
    </row>
    <row r="3269" spans="1:26" x14ac:dyDescent="0.2">
      <c r="A3269" s="45">
        <v>564</v>
      </c>
      <c r="B3269" s="45">
        <v>1998</v>
      </c>
      <c r="C3269" s="17">
        <v>0</v>
      </c>
      <c r="D3269" s="14">
        <v>0.1371666</v>
      </c>
      <c r="E3269" s="14">
        <v>0.33974599999999999</v>
      </c>
      <c r="F3269" s="14">
        <v>5.5356500000000003E-2</v>
      </c>
      <c r="G3269" s="14">
        <v>2.4378069999999998</v>
      </c>
      <c r="H3269" s="14">
        <v>0.26834000000000002</v>
      </c>
      <c r="R3269" s="11">
        <f t="shared" si="102"/>
        <v>6.3253065199823575E-4</v>
      </c>
      <c r="Z3269" s="11">
        <f t="shared" si="103"/>
        <v>7.9476392889265787E-4</v>
      </c>
    </row>
    <row r="3270" spans="1:26" x14ac:dyDescent="0.2">
      <c r="A3270" s="45">
        <v>564</v>
      </c>
      <c r="B3270" s="45">
        <v>1999</v>
      </c>
      <c r="C3270" s="17">
        <v>0</v>
      </c>
      <c r="D3270" s="14">
        <v>1.5741999999999999E-2</v>
      </c>
      <c r="E3270" s="14">
        <v>0.1302517</v>
      </c>
      <c r="F3270" s="14">
        <v>6.0623499999999997E-2</v>
      </c>
      <c r="G3270" s="14">
        <v>1.182086</v>
      </c>
      <c r="H3270" s="14">
        <v>0.17596290000000001</v>
      </c>
      <c r="R3270" s="11">
        <f t="shared" si="102"/>
        <v>6.0504040621181324E-3</v>
      </c>
      <c r="Z3270" s="11">
        <f t="shared" si="103"/>
        <v>7.7807346953721705E-3</v>
      </c>
    </row>
    <row r="3271" spans="1:26" x14ac:dyDescent="0.2">
      <c r="A3271" s="45">
        <v>564</v>
      </c>
      <c r="B3271" s="45">
        <v>2000</v>
      </c>
      <c r="C3271" s="17">
        <v>0</v>
      </c>
      <c r="D3271" s="14">
        <v>8.4708199999999997E-2</v>
      </c>
      <c r="E3271" s="14">
        <v>0.1567673</v>
      </c>
      <c r="F3271" s="14">
        <v>3.7345400000000001E-2</v>
      </c>
      <c r="G3271" s="14">
        <v>1.0677380000000001</v>
      </c>
      <c r="H3271" s="14">
        <v>0.1498516</v>
      </c>
      <c r="R3271" s="11">
        <f t="shared" si="102"/>
        <v>8.3950008255496405E-3</v>
      </c>
      <c r="Z3271" s="11">
        <f t="shared" si="103"/>
        <v>1.0622785085127696E-2</v>
      </c>
    </row>
    <row r="3272" spans="1:26" x14ac:dyDescent="0.2">
      <c r="A3272" s="45">
        <v>564</v>
      </c>
      <c r="B3272" s="45">
        <v>2001</v>
      </c>
      <c r="C3272" s="17">
        <v>0</v>
      </c>
      <c r="D3272" s="14">
        <v>0.1065951</v>
      </c>
      <c r="E3272" s="14">
        <v>0.17856830000000001</v>
      </c>
      <c r="F3272" s="14">
        <v>5.0602000000000001E-2</v>
      </c>
      <c r="G3272" s="14">
        <v>1.202569</v>
      </c>
      <c r="H3272" s="14">
        <v>0.16015979999999999</v>
      </c>
      <c r="R3272" s="11">
        <f t="shared" si="102"/>
        <v>5.9152200861118326E-3</v>
      </c>
      <c r="Z3272" s="11">
        <f t="shared" si="103"/>
        <v>7.5544507360368407E-3</v>
      </c>
    </row>
    <row r="3273" spans="1:26" x14ac:dyDescent="0.2">
      <c r="A3273" s="45">
        <v>564</v>
      </c>
      <c r="B3273" s="45">
        <v>2002</v>
      </c>
      <c r="C3273" s="17">
        <v>0</v>
      </c>
      <c r="D3273" s="14">
        <v>0.1161764</v>
      </c>
      <c r="E3273" s="14">
        <v>0.1238682</v>
      </c>
      <c r="F3273" s="14">
        <v>3.5769099999999998E-2</v>
      </c>
      <c r="G3273" s="14">
        <v>1.108997</v>
      </c>
      <c r="H3273" s="14">
        <v>0.18519530000000001</v>
      </c>
      <c r="R3273" s="11">
        <f t="shared" si="102"/>
        <v>8.3509524144943417E-3</v>
      </c>
      <c r="Z3273" s="11">
        <f t="shared" si="103"/>
        <v>1.0532429378186331E-2</v>
      </c>
    </row>
    <row r="3274" spans="1:26" x14ac:dyDescent="0.2">
      <c r="A3274" s="45">
        <v>564</v>
      </c>
      <c r="B3274" s="45">
        <v>2003</v>
      </c>
      <c r="C3274" s="17">
        <v>0</v>
      </c>
      <c r="D3274" s="14">
        <v>0.12129429999999999</v>
      </c>
      <c r="E3274" s="14">
        <v>0.14681340000000001</v>
      </c>
      <c r="F3274" s="14">
        <v>5.0810300000000003E-2</v>
      </c>
      <c r="G3274" s="14">
        <v>1.5848770000000001</v>
      </c>
      <c r="H3274" s="14">
        <v>0.19504630000000001</v>
      </c>
      <c r="R3274" s="11">
        <f t="shared" si="102"/>
        <v>3.3714623834705834E-3</v>
      </c>
      <c r="Z3274" s="11">
        <f t="shared" si="103"/>
        <v>4.2689486268946168E-3</v>
      </c>
    </row>
    <row r="3275" spans="1:26" x14ac:dyDescent="0.2">
      <c r="A3275" s="45">
        <v>564</v>
      </c>
      <c r="B3275" s="45">
        <v>2004</v>
      </c>
      <c r="C3275" s="17">
        <v>0</v>
      </c>
      <c r="D3275" s="14">
        <v>0.17928530000000001</v>
      </c>
      <c r="E3275" s="14">
        <v>0.16201019999999999</v>
      </c>
      <c r="F3275" s="14">
        <v>6.1024000000000002E-2</v>
      </c>
      <c r="G3275" s="14">
        <v>1.5866309999999999</v>
      </c>
      <c r="H3275" s="14">
        <v>0.2014483</v>
      </c>
      <c r="R3275" s="11">
        <f t="shared" si="102"/>
        <v>3.0316163022820158E-3</v>
      </c>
      <c r="Z3275" s="11">
        <f t="shared" si="103"/>
        <v>3.8729943732951425E-3</v>
      </c>
    </row>
    <row r="3276" spans="1:26" x14ac:dyDescent="0.2">
      <c r="A3276" s="45">
        <v>565</v>
      </c>
      <c r="B3276" s="45">
        <v>1995</v>
      </c>
      <c r="C3276" s="17">
        <v>0</v>
      </c>
      <c r="D3276" s="14">
        <v>0.43758799999999998</v>
      </c>
      <c r="E3276" s="14">
        <v>9.7155500000000006E-2</v>
      </c>
      <c r="F3276" s="14">
        <v>3.6544E-2</v>
      </c>
      <c r="G3276" s="14">
        <v>0.34190389999999998</v>
      </c>
      <c r="H3276" s="14">
        <v>0.22189890000000001</v>
      </c>
      <c r="R3276" s="11">
        <f t="shared" si="102"/>
        <v>2.8695040047316493E-2</v>
      </c>
      <c r="Z3276" s="11">
        <f t="shared" si="103"/>
        <v>3.6578917048929425E-2</v>
      </c>
    </row>
    <row r="3277" spans="1:26" x14ac:dyDescent="0.2">
      <c r="A3277" s="45">
        <v>565</v>
      </c>
      <c r="B3277" s="45">
        <v>1996</v>
      </c>
      <c r="C3277" s="17">
        <v>0</v>
      </c>
      <c r="D3277" s="14">
        <v>0.38082510000000003</v>
      </c>
      <c r="E3277" s="14">
        <v>0.1164351</v>
      </c>
      <c r="F3277" s="14">
        <v>4.0922E-2</v>
      </c>
      <c r="G3277" s="14">
        <v>0.65669599999999995</v>
      </c>
      <c r="H3277" s="14">
        <v>0.25455480000000003</v>
      </c>
      <c r="R3277" s="11">
        <f t="shared" si="102"/>
        <v>1.6518467118710526E-2</v>
      </c>
      <c r="Z3277" s="11">
        <f t="shared" si="103"/>
        <v>2.107422918405855E-2</v>
      </c>
    </row>
    <row r="3278" spans="1:26" x14ac:dyDescent="0.2">
      <c r="A3278" s="45">
        <v>566</v>
      </c>
      <c r="B3278" s="45">
        <v>1999</v>
      </c>
      <c r="C3278" s="17">
        <v>0</v>
      </c>
      <c r="D3278" s="14">
        <v>6.0112199999999998E-2</v>
      </c>
      <c r="E3278" s="14">
        <v>-1.11179E-2</v>
      </c>
      <c r="F3278" s="14">
        <v>5.8844800000000003E-2</v>
      </c>
      <c r="G3278" s="14">
        <v>0.40033099999999999</v>
      </c>
      <c r="H3278" s="14">
        <v>0.141543</v>
      </c>
      <c r="R3278" s="11">
        <f t="shared" si="102"/>
        <v>2.5681209988031736E-2</v>
      </c>
      <c r="Z3278" s="11">
        <f t="shared" si="103"/>
        <v>3.3188528970364201E-2</v>
      </c>
    </row>
    <row r="3279" spans="1:26" x14ac:dyDescent="0.2">
      <c r="A3279" s="45">
        <v>567</v>
      </c>
      <c r="B3279" s="45">
        <v>1995</v>
      </c>
      <c r="C3279" s="17">
        <v>0</v>
      </c>
      <c r="D3279" s="14">
        <v>0.27681660000000002</v>
      </c>
      <c r="E3279" s="14">
        <v>4.5541100000000001E-2</v>
      </c>
      <c r="F3279" s="14">
        <v>3.7419399999999998E-2</v>
      </c>
      <c r="G3279" s="14">
        <v>2.2082869999999999</v>
      </c>
      <c r="H3279" s="14">
        <v>0.19443679999999999</v>
      </c>
      <c r="R3279" s="11">
        <f t="shared" si="102"/>
        <v>1.6128674765436457E-3</v>
      </c>
      <c r="Z3279" s="11">
        <f t="shared" si="103"/>
        <v>1.986521598596002E-3</v>
      </c>
    </row>
    <row r="3280" spans="1:26" x14ac:dyDescent="0.2">
      <c r="A3280" s="45">
        <v>567</v>
      </c>
      <c r="B3280" s="45">
        <v>1996</v>
      </c>
      <c r="C3280" s="17">
        <v>0</v>
      </c>
      <c r="D3280" s="14">
        <v>0.30452129999999999</v>
      </c>
      <c r="E3280" s="14">
        <v>0.13020599999999999</v>
      </c>
      <c r="F3280" s="14">
        <v>5.7123599999999997E-2</v>
      </c>
      <c r="G3280" s="14">
        <v>4.840408</v>
      </c>
      <c r="H3280" s="14">
        <v>0.21191489999999999</v>
      </c>
      <c r="R3280" s="11">
        <f t="shared" si="102"/>
        <v>1.8395615063925995E-5</v>
      </c>
      <c r="Z3280" s="11">
        <f t="shared" si="103"/>
        <v>2.1800774861528204E-5</v>
      </c>
    </row>
    <row r="3281" spans="1:26" x14ac:dyDescent="0.2">
      <c r="A3281" s="45">
        <v>568</v>
      </c>
      <c r="B3281" s="45">
        <v>1996</v>
      </c>
      <c r="C3281" s="17">
        <v>0</v>
      </c>
      <c r="D3281" s="14">
        <v>9.5720600000000003E-2</v>
      </c>
      <c r="E3281" s="14">
        <v>0.58299319999999999</v>
      </c>
      <c r="F3281" s="14">
        <v>4.2210400000000002E-2</v>
      </c>
      <c r="G3281" s="14">
        <v>3.3010160000000002</v>
      </c>
      <c r="H3281" s="14">
        <v>0.33145259999999999</v>
      </c>
      <c r="R3281" s="11">
        <f t="shared" si="102"/>
        <v>1.2472381347105102E-4</v>
      </c>
      <c r="Z3281" s="11">
        <f t="shared" si="103"/>
        <v>1.5340855790280417E-4</v>
      </c>
    </row>
    <row r="3282" spans="1:26" x14ac:dyDescent="0.2">
      <c r="A3282" s="45">
        <v>568</v>
      </c>
      <c r="B3282" s="45">
        <v>1997</v>
      </c>
      <c r="C3282" s="17">
        <v>0</v>
      </c>
      <c r="D3282" s="14">
        <v>0.14700930000000001</v>
      </c>
      <c r="E3282" s="14">
        <v>0.64490270000000005</v>
      </c>
      <c r="F3282" s="14">
        <v>5.0572800000000001E-2</v>
      </c>
      <c r="G3282" s="14">
        <v>4.3058969999999999</v>
      </c>
      <c r="H3282" s="14">
        <v>0.33235819999999999</v>
      </c>
      <c r="R3282" s="11">
        <f t="shared" si="102"/>
        <v>2.1497216586140564E-5</v>
      </c>
      <c r="Z3282" s="11">
        <f t="shared" si="103"/>
        <v>2.6096424236157785E-5</v>
      </c>
    </row>
    <row r="3283" spans="1:26" x14ac:dyDescent="0.2">
      <c r="A3283" s="45">
        <v>569</v>
      </c>
      <c r="B3283" s="45">
        <v>2002</v>
      </c>
      <c r="C3283" s="17">
        <v>0</v>
      </c>
      <c r="D3283" s="14">
        <v>0.421099</v>
      </c>
      <c r="E3283" s="14">
        <v>0.70766059999999997</v>
      </c>
      <c r="F3283" s="14">
        <v>6.2501899999999999E-2</v>
      </c>
      <c r="G3283" s="14">
        <v>1.1132740000000001</v>
      </c>
      <c r="H3283" s="14">
        <v>0.3613903</v>
      </c>
      <c r="R3283" s="11">
        <f t="shared" si="102"/>
        <v>2.8816887597145732E-3</v>
      </c>
      <c r="Z3283" s="11">
        <f t="shared" si="103"/>
        <v>3.7945852486171864E-3</v>
      </c>
    </row>
    <row r="3284" spans="1:26" x14ac:dyDescent="0.2">
      <c r="A3284" s="45">
        <v>569</v>
      </c>
      <c r="B3284" s="45">
        <v>2003</v>
      </c>
      <c r="C3284" s="17">
        <v>0</v>
      </c>
      <c r="D3284" s="14">
        <v>0.42035280000000003</v>
      </c>
      <c r="E3284" s="14">
        <v>0.69391780000000003</v>
      </c>
      <c r="F3284" s="14">
        <v>5.0381099999999998E-2</v>
      </c>
      <c r="G3284" s="14">
        <v>1.1401520000000001</v>
      </c>
      <c r="H3284" s="14">
        <v>0.33034930000000001</v>
      </c>
      <c r="R3284" s="11">
        <f t="shared" si="102"/>
        <v>3.1026592105633101E-3</v>
      </c>
      <c r="Z3284" s="11">
        <f t="shared" si="103"/>
        <v>4.0407661399455E-3</v>
      </c>
    </row>
    <row r="3285" spans="1:26" x14ac:dyDescent="0.2">
      <c r="A3285" s="45">
        <v>569</v>
      </c>
      <c r="B3285" s="45">
        <v>2004</v>
      </c>
      <c r="C3285" s="17">
        <v>0</v>
      </c>
      <c r="D3285" s="14">
        <v>0.39725640000000001</v>
      </c>
      <c r="E3285" s="14">
        <v>0.61065709999999995</v>
      </c>
      <c r="F3285" s="14">
        <v>4.73494E-2</v>
      </c>
      <c r="G3285" s="14">
        <v>0.94761629999999997</v>
      </c>
      <c r="H3285" s="14">
        <v>0.29372589999999998</v>
      </c>
      <c r="R3285" s="11">
        <f t="shared" si="102"/>
        <v>4.8677155316028562E-3</v>
      </c>
      <c r="Z3285" s="11">
        <f t="shared" si="103"/>
        <v>6.329189617552796E-3</v>
      </c>
    </row>
    <row r="3286" spans="1:26" x14ac:dyDescent="0.2">
      <c r="A3286" s="45">
        <v>570</v>
      </c>
      <c r="B3286" s="45">
        <v>1995</v>
      </c>
      <c r="C3286" s="17">
        <v>0</v>
      </c>
      <c r="D3286" s="14">
        <v>-1.0982799999999999E-2</v>
      </c>
      <c r="E3286" s="14">
        <v>0.13872309999999999</v>
      </c>
      <c r="F3286" s="14">
        <v>5.4686199999999997E-2</v>
      </c>
      <c r="G3286" s="14">
        <v>0.4570459</v>
      </c>
      <c r="H3286" s="14">
        <v>0.26478459999999998</v>
      </c>
      <c r="R3286" s="11">
        <f t="shared" si="102"/>
        <v>1.9628162857501977E-2</v>
      </c>
      <c r="Z3286" s="11">
        <f t="shared" si="103"/>
        <v>2.5424009543476782E-2</v>
      </c>
    </row>
    <row r="3287" spans="1:26" x14ac:dyDescent="0.2">
      <c r="A3287" s="45">
        <v>570</v>
      </c>
      <c r="B3287" s="45">
        <v>1996</v>
      </c>
      <c r="C3287" s="17">
        <v>0</v>
      </c>
      <c r="D3287" s="14">
        <v>3.7365200000000001E-2</v>
      </c>
      <c r="E3287" s="14">
        <v>0.1571765</v>
      </c>
      <c r="F3287" s="14">
        <v>4.8821099999999999E-2</v>
      </c>
      <c r="G3287" s="14">
        <v>0.49944</v>
      </c>
      <c r="H3287" s="14">
        <v>0.24495529999999999</v>
      </c>
      <c r="R3287" s="11">
        <f t="shared" ref="R3287:R3350" si="104">1/(1+EXP(-(K$2+$M$2*E3287+$N$2*F3287+$O$2*G3287)))</f>
        <v>1.8735133840784131E-2</v>
      </c>
      <c r="Z3287" s="11">
        <f t="shared" si="103"/>
        <v>2.4153110743064775E-2</v>
      </c>
    </row>
    <row r="3288" spans="1:26" x14ac:dyDescent="0.2">
      <c r="A3288" s="45">
        <v>570</v>
      </c>
      <c r="B3288" s="45">
        <v>1997</v>
      </c>
      <c r="C3288" s="17">
        <v>0</v>
      </c>
      <c r="D3288" s="14">
        <v>2.0781999999999998E-2</v>
      </c>
      <c r="E3288" s="14">
        <v>0.1550328</v>
      </c>
      <c r="F3288" s="14">
        <v>6.0365799999999997E-2</v>
      </c>
      <c r="G3288" s="14">
        <v>0.56603570000000003</v>
      </c>
      <c r="H3288" s="14">
        <v>0.25750509999999999</v>
      </c>
      <c r="R3288" s="11">
        <f t="shared" si="104"/>
        <v>1.5461832118610261E-2</v>
      </c>
      <c r="Z3288" s="11">
        <f t="shared" si="103"/>
        <v>2.0107980106187463E-2</v>
      </c>
    </row>
    <row r="3289" spans="1:26" x14ac:dyDescent="0.2">
      <c r="A3289" s="45">
        <v>570</v>
      </c>
      <c r="B3289" s="45">
        <v>1998</v>
      </c>
      <c r="C3289" s="17">
        <v>0</v>
      </c>
      <c r="D3289" s="14">
        <v>6.3069999999999999E-4</v>
      </c>
      <c r="E3289" s="14">
        <v>0.10505970000000001</v>
      </c>
      <c r="F3289" s="14">
        <v>4.3004500000000001E-2</v>
      </c>
      <c r="G3289" s="14">
        <v>0.41893520000000001</v>
      </c>
      <c r="H3289" s="14">
        <v>0.24637210000000001</v>
      </c>
      <c r="R3289" s="11">
        <f t="shared" si="104"/>
        <v>2.3943031633646743E-2</v>
      </c>
      <c r="Z3289" s="11">
        <f t="shared" si="103"/>
        <v>3.0677267408418155E-2</v>
      </c>
    </row>
    <row r="3290" spans="1:26" x14ac:dyDescent="0.2">
      <c r="A3290" s="45">
        <v>570</v>
      </c>
      <c r="B3290" s="45">
        <v>1999</v>
      </c>
      <c r="C3290" s="17">
        <v>0</v>
      </c>
      <c r="D3290" s="14">
        <v>-4.9302E-3</v>
      </c>
      <c r="E3290" s="14">
        <v>0.15361929999999999</v>
      </c>
      <c r="F3290" s="14">
        <v>4.7790699999999998E-2</v>
      </c>
      <c r="G3290" s="14">
        <v>0.35647289999999998</v>
      </c>
      <c r="H3290" s="14">
        <v>0.24917539999999999</v>
      </c>
      <c r="R3290" s="11">
        <f t="shared" si="104"/>
        <v>2.3725443263334024E-2</v>
      </c>
      <c r="Z3290" s="11">
        <f t="shared" si="103"/>
        <v>3.0606306872992387E-2</v>
      </c>
    </row>
    <row r="3291" spans="1:26" x14ac:dyDescent="0.2">
      <c r="A3291" s="45">
        <v>570</v>
      </c>
      <c r="B3291" s="45">
        <v>2000</v>
      </c>
      <c r="C3291" s="17">
        <v>0</v>
      </c>
      <c r="D3291" s="14">
        <v>-4.2013200000000001E-2</v>
      </c>
      <c r="E3291" s="14">
        <v>0.14478530000000001</v>
      </c>
      <c r="F3291" s="14">
        <v>5.3272300000000002E-2</v>
      </c>
      <c r="G3291" s="14">
        <v>0.26251970000000002</v>
      </c>
      <c r="H3291" s="14">
        <v>0.28115220000000002</v>
      </c>
      <c r="R3291" s="11">
        <f t="shared" si="104"/>
        <v>2.663649392600435E-2</v>
      </c>
      <c r="Z3291" s="11">
        <f t="shared" si="103"/>
        <v>3.454005876487308E-2</v>
      </c>
    </row>
    <row r="3292" spans="1:26" x14ac:dyDescent="0.2">
      <c r="A3292" s="45">
        <v>570</v>
      </c>
      <c r="B3292" s="45">
        <v>2001</v>
      </c>
      <c r="C3292" s="17">
        <v>0</v>
      </c>
      <c r="D3292" s="14">
        <v>1.4702700000000001E-2</v>
      </c>
      <c r="E3292" s="14">
        <v>0.15818889999999999</v>
      </c>
      <c r="F3292" s="14">
        <v>3.7019400000000001E-2</v>
      </c>
      <c r="G3292" s="14">
        <v>0.3965591</v>
      </c>
      <c r="H3292" s="14">
        <v>0.27953430000000001</v>
      </c>
      <c r="R3292" s="11">
        <f t="shared" si="104"/>
        <v>2.4090295415767654E-2</v>
      </c>
      <c r="Z3292" s="11">
        <f t="shared" si="103"/>
        <v>3.0787198573226499E-2</v>
      </c>
    </row>
    <row r="3293" spans="1:26" x14ac:dyDescent="0.2">
      <c r="A3293" s="45">
        <v>570</v>
      </c>
      <c r="B3293" s="45">
        <v>2002</v>
      </c>
      <c r="C3293" s="17">
        <v>0</v>
      </c>
      <c r="D3293" s="14">
        <v>6.2980300000000003E-2</v>
      </c>
      <c r="E3293" s="14">
        <v>0.1605598</v>
      </c>
      <c r="F3293" s="14">
        <v>3.3264700000000001E-2</v>
      </c>
      <c r="G3293" s="14">
        <v>0.41592790000000002</v>
      </c>
      <c r="H3293" s="14">
        <v>0.2765455</v>
      </c>
      <c r="R3293" s="11">
        <f t="shared" si="104"/>
        <v>2.3989894452505212E-2</v>
      </c>
      <c r="Z3293" s="11">
        <f t="shared" si="103"/>
        <v>3.0558196915531889E-2</v>
      </c>
    </row>
    <row r="3294" spans="1:26" x14ac:dyDescent="0.2">
      <c r="A3294" s="45">
        <v>570</v>
      </c>
      <c r="B3294" s="45">
        <v>2003</v>
      </c>
      <c r="C3294" s="17">
        <v>0</v>
      </c>
      <c r="D3294" s="14">
        <v>4.0706899999999997E-2</v>
      </c>
      <c r="E3294" s="14">
        <v>0.18351229999999999</v>
      </c>
      <c r="F3294" s="14">
        <v>5.2087899999999999E-2</v>
      </c>
      <c r="G3294" s="14">
        <v>0.59982999999999997</v>
      </c>
      <c r="H3294" s="14">
        <v>0.26269809999999999</v>
      </c>
      <c r="R3294" s="11">
        <f t="shared" si="104"/>
        <v>1.5025797543316505E-2</v>
      </c>
      <c r="Z3294" s="11">
        <f t="shared" si="103"/>
        <v>1.941834278233457E-2</v>
      </c>
    </row>
    <row r="3295" spans="1:26" x14ac:dyDescent="0.2">
      <c r="A3295" s="45">
        <v>570</v>
      </c>
      <c r="B3295" s="45">
        <v>2004</v>
      </c>
      <c r="C3295" s="17">
        <v>0</v>
      </c>
      <c r="D3295" s="14">
        <v>6.3150999999999997E-3</v>
      </c>
      <c r="E3295" s="14">
        <v>0.17364789999999999</v>
      </c>
      <c r="F3295" s="14">
        <v>4.68055E-2</v>
      </c>
      <c r="G3295" s="14">
        <v>0.77019919999999997</v>
      </c>
      <c r="H3295" s="14">
        <v>0.26266460000000003</v>
      </c>
      <c r="R3295" s="11">
        <f t="shared" si="104"/>
        <v>1.2155434758431094E-2</v>
      </c>
      <c r="Z3295" s="11">
        <f t="shared" si="103"/>
        <v>1.5592502541751848E-2</v>
      </c>
    </row>
    <row r="3296" spans="1:26" x14ac:dyDescent="0.2">
      <c r="A3296" s="45">
        <v>571</v>
      </c>
      <c r="B3296" s="45">
        <v>1995</v>
      </c>
      <c r="C3296" s="17">
        <v>0</v>
      </c>
      <c r="D3296" s="14">
        <v>0.16497970000000001</v>
      </c>
      <c r="E3296" s="14">
        <v>0.19675819999999999</v>
      </c>
      <c r="F3296" s="14">
        <v>1.6463499999999999E-2</v>
      </c>
      <c r="G3296" s="14">
        <v>0.56054040000000005</v>
      </c>
      <c r="H3296" s="14">
        <v>0.81455759999999999</v>
      </c>
      <c r="R3296" s="11">
        <f t="shared" si="104"/>
        <v>2.0744055309807139E-2</v>
      </c>
      <c r="Z3296" s="11">
        <f t="shared" si="103"/>
        <v>2.6046091008873201E-2</v>
      </c>
    </row>
    <row r="3297" spans="1:26" x14ac:dyDescent="0.2">
      <c r="A3297" s="45">
        <v>571</v>
      </c>
      <c r="B3297" s="45">
        <v>1997</v>
      </c>
      <c r="C3297" s="17">
        <v>0</v>
      </c>
      <c r="D3297" s="14">
        <v>9.4015899999999999E-2</v>
      </c>
      <c r="E3297" s="14">
        <v>7.8600500000000004E-2</v>
      </c>
      <c r="F3297" s="14">
        <v>5.9579399999999998E-2</v>
      </c>
      <c r="G3297" s="14">
        <v>0.78018719999999997</v>
      </c>
      <c r="H3297" s="14">
        <v>0.72832509999999995</v>
      </c>
      <c r="R3297" s="11">
        <f t="shared" si="104"/>
        <v>1.2399230647773977E-2</v>
      </c>
      <c r="Z3297" s="11">
        <f t="shared" si="103"/>
        <v>1.6013943163447543E-2</v>
      </c>
    </row>
    <row r="3298" spans="1:26" x14ac:dyDescent="0.2">
      <c r="A3298" s="45">
        <v>572</v>
      </c>
      <c r="B3298" s="45">
        <v>1995</v>
      </c>
      <c r="C3298" s="17">
        <v>0</v>
      </c>
      <c r="D3298" s="14">
        <v>0.31355709999999998</v>
      </c>
      <c r="E3298" s="14">
        <v>0.254884</v>
      </c>
      <c r="F3298" s="14">
        <v>6.7696400000000004E-2</v>
      </c>
      <c r="G3298" s="14">
        <v>1.1359790000000001</v>
      </c>
      <c r="H3298" s="14">
        <v>0.89715590000000001</v>
      </c>
      <c r="R3298" s="11">
        <f t="shared" si="104"/>
        <v>5.1383070003278514E-3</v>
      </c>
      <c r="Z3298" s="11">
        <f t="shared" si="103"/>
        <v>6.6827065106644015E-3</v>
      </c>
    </row>
    <row r="3299" spans="1:26" x14ac:dyDescent="0.2">
      <c r="A3299" s="45">
        <v>572</v>
      </c>
      <c r="B3299" s="45">
        <v>1996</v>
      </c>
      <c r="C3299" s="17">
        <v>0</v>
      </c>
      <c r="D3299" s="14">
        <v>0.45925939999999998</v>
      </c>
      <c r="E3299" s="14">
        <v>0.26697769999999998</v>
      </c>
      <c r="F3299" s="14">
        <v>6.4249100000000003E-2</v>
      </c>
      <c r="G3299" s="14">
        <v>1.5143580000000001</v>
      </c>
      <c r="H3299" s="14">
        <v>1.0842689999999999</v>
      </c>
      <c r="R3299" s="11">
        <f t="shared" si="104"/>
        <v>2.8463369611080366E-3</v>
      </c>
      <c r="Z3299" s="11">
        <f t="shared" si="103"/>
        <v>3.6649729809608662E-3</v>
      </c>
    </row>
    <row r="3300" spans="1:26" x14ac:dyDescent="0.2">
      <c r="A3300" s="45">
        <v>572</v>
      </c>
      <c r="B3300" s="45">
        <v>1997</v>
      </c>
      <c r="C3300" s="17">
        <v>0</v>
      </c>
      <c r="D3300" s="14">
        <v>0.44169000000000003</v>
      </c>
      <c r="E3300" s="14">
        <v>0.25839630000000002</v>
      </c>
      <c r="F3300" s="14">
        <v>6.0454300000000002E-2</v>
      </c>
      <c r="G3300" s="14">
        <v>1.5099100000000001</v>
      </c>
      <c r="H3300" s="14">
        <v>0.84916809999999998</v>
      </c>
      <c r="R3300" s="11">
        <f t="shared" si="104"/>
        <v>2.9915985443349897E-3</v>
      </c>
      <c r="Z3300" s="11">
        <f t="shared" si="103"/>
        <v>3.8391845458107931E-3</v>
      </c>
    </row>
    <row r="3301" spans="1:26" x14ac:dyDescent="0.2">
      <c r="A3301" s="45">
        <v>572</v>
      </c>
      <c r="B3301" s="45">
        <v>1998</v>
      </c>
      <c r="C3301" s="17">
        <v>0</v>
      </c>
      <c r="D3301" s="14">
        <v>0.41567809999999999</v>
      </c>
      <c r="E3301" s="14">
        <v>0.3090328</v>
      </c>
      <c r="F3301" s="14">
        <v>6.4380300000000001E-2</v>
      </c>
      <c r="G3301" s="14">
        <v>1.9206540000000001</v>
      </c>
      <c r="H3301" s="14">
        <v>0.8541569</v>
      </c>
      <c r="R3301" s="11">
        <f t="shared" si="104"/>
        <v>1.401875543395271E-3</v>
      </c>
      <c r="Z3301" s="11">
        <f t="shared" si="103"/>
        <v>1.7925352802085339E-3</v>
      </c>
    </row>
    <row r="3302" spans="1:26" x14ac:dyDescent="0.2">
      <c r="A3302" s="45">
        <v>572</v>
      </c>
      <c r="B3302" s="45">
        <v>1999</v>
      </c>
      <c r="C3302" s="17">
        <v>0</v>
      </c>
      <c r="D3302" s="14">
        <v>0.41058990000000001</v>
      </c>
      <c r="E3302" s="14">
        <v>0.34401340000000002</v>
      </c>
      <c r="F3302" s="14">
        <v>4.827E-2</v>
      </c>
      <c r="G3302" s="14">
        <v>2.9759980000000001</v>
      </c>
      <c r="H3302" s="14">
        <v>0.82448949999999999</v>
      </c>
      <c r="R3302" s="11">
        <f t="shared" si="104"/>
        <v>2.8228056219058932E-4</v>
      </c>
      <c r="Z3302" s="11">
        <f t="shared" si="103"/>
        <v>3.48556303466131E-4</v>
      </c>
    </row>
    <row r="3303" spans="1:26" x14ac:dyDescent="0.2">
      <c r="A3303" s="45">
        <v>572</v>
      </c>
      <c r="B3303" s="45">
        <v>2000</v>
      </c>
      <c r="C3303" s="17">
        <v>0</v>
      </c>
      <c r="D3303" s="14">
        <v>0.39802510000000002</v>
      </c>
      <c r="E3303" s="14">
        <v>0.29308279999999998</v>
      </c>
      <c r="F3303" s="14">
        <v>5.8991300000000003E-2</v>
      </c>
      <c r="G3303" s="14">
        <v>2.8877570000000001</v>
      </c>
      <c r="H3303" s="14">
        <v>0.72456010000000004</v>
      </c>
      <c r="R3303" s="11">
        <f t="shared" si="104"/>
        <v>3.2110777456161716E-4</v>
      </c>
      <c r="Z3303" s="11">
        <f t="shared" si="103"/>
        <v>4.0007343630275632E-4</v>
      </c>
    </row>
    <row r="3304" spans="1:26" x14ac:dyDescent="0.2">
      <c r="A3304" s="45">
        <v>573</v>
      </c>
      <c r="B3304" s="45">
        <v>1995</v>
      </c>
      <c r="C3304" s="17">
        <v>0</v>
      </c>
      <c r="D3304" s="14">
        <v>0.4157555</v>
      </c>
      <c r="E3304" s="14">
        <v>-0.22630320000000001</v>
      </c>
      <c r="F3304" s="14">
        <v>6.9212200000000001E-2</v>
      </c>
      <c r="G3304" s="14">
        <v>1.66205</v>
      </c>
      <c r="H3304" s="14">
        <v>0.22935320000000001</v>
      </c>
      <c r="R3304" s="11">
        <f t="shared" si="104"/>
        <v>4.4221706630732591E-3</v>
      </c>
      <c r="Z3304" s="11">
        <f t="shared" si="103"/>
        <v>5.6011012445842598E-3</v>
      </c>
    </row>
    <row r="3305" spans="1:26" x14ac:dyDescent="0.2">
      <c r="A3305" s="45">
        <v>573</v>
      </c>
      <c r="B3305" s="45">
        <v>1996</v>
      </c>
      <c r="C3305" s="17">
        <v>0</v>
      </c>
      <c r="D3305" s="14">
        <v>0.41863359999999999</v>
      </c>
      <c r="E3305" s="14">
        <v>-3.9449199999999997E-2</v>
      </c>
      <c r="F3305" s="14">
        <v>6.5135999999999999E-2</v>
      </c>
      <c r="G3305" s="14">
        <v>1.4658659999999999</v>
      </c>
      <c r="H3305" s="14">
        <v>0.23782120000000001</v>
      </c>
      <c r="R3305" s="11">
        <f t="shared" si="104"/>
        <v>4.7580935906345653E-3</v>
      </c>
      <c r="Z3305" s="11">
        <f t="shared" si="103"/>
        <v>6.0704252643172182E-3</v>
      </c>
    </row>
    <row r="3306" spans="1:26" x14ac:dyDescent="0.2">
      <c r="A3306" s="45">
        <v>573</v>
      </c>
      <c r="B3306" s="45">
        <v>1997</v>
      </c>
      <c r="C3306" s="17">
        <v>0</v>
      </c>
      <c r="D3306" s="14">
        <v>0.42748269999999999</v>
      </c>
      <c r="E3306" s="14">
        <v>5.3894200000000003E-2</v>
      </c>
      <c r="F3306" s="14">
        <v>6.2193499999999999E-2</v>
      </c>
      <c r="G3306" s="14">
        <v>3.3731460000000002</v>
      </c>
      <c r="H3306" s="14">
        <v>0.1990912</v>
      </c>
      <c r="R3306" s="11">
        <f t="shared" si="104"/>
        <v>2.0449651439008307E-4</v>
      </c>
      <c r="Z3306" s="11">
        <f t="shared" si="103"/>
        <v>2.5068382251099711E-4</v>
      </c>
    </row>
    <row r="3307" spans="1:26" x14ac:dyDescent="0.2">
      <c r="A3307" s="45">
        <v>573</v>
      </c>
      <c r="B3307" s="45">
        <v>1998</v>
      </c>
      <c r="C3307" s="17">
        <v>0</v>
      </c>
      <c r="D3307" s="14">
        <v>0.20192969999999999</v>
      </c>
      <c r="E3307" s="14">
        <v>-0.2255617</v>
      </c>
      <c r="F3307" s="14">
        <v>6.2211500000000003E-2</v>
      </c>
      <c r="G3307" s="14">
        <v>2.2670409999999999</v>
      </c>
      <c r="H3307" s="14">
        <v>0.19880970000000001</v>
      </c>
      <c r="R3307" s="11">
        <f t="shared" si="104"/>
        <v>1.7861912685334502E-3</v>
      </c>
      <c r="Z3307" s="11">
        <f t="shared" si="103"/>
        <v>2.2213856707961671E-3</v>
      </c>
    </row>
    <row r="3308" spans="1:26" x14ac:dyDescent="0.2">
      <c r="A3308" s="45">
        <v>573</v>
      </c>
      <c r="B3308" s="45">
        <v>1999</v>
      </c>
      <c r="C3308" s="17">
        <v>0</v>
      </c>
      <c r="D3308" s="14">
        <v>0.32722810000000002</v>
      </c>
      <c r="E3308" s="14">
        <v>-0.158221</v>
      </c>
      <c r="F3308" s="14">
        <v>7.9754800000000001E-2</v>
      </c>
      <c r="G3308" s="14">
        <v>2.5444300000000002</v>
      </c>
      <c r="H3308" s="14">
        <v>0.1640173</v>
      </c>
      <c r="R3308" s="11">
        <f t="shared" si="104"/>
        <v>9.0545049457123252E-4</v>
      </c>
      <c r="Z3308" s="11">
        <f t="shared" si="103"/>
        <v>1.138265808649087E-3</v>
      </c>
    </row>
    <row r="3309" spans="1:26" x14ac:dyDescent="0.2">
      <c r="A3309" s="45">
        <v>573</v>
      </c>
      <c r="B3309" s="45">
        <v>2000</v>
      </c>
      <c r="C3309" s="17">
        <v>0</v>
      </c>
      <c r="D3309" s="14">
        <v>0.315803</v>
      </c>
      <c r="E3309" s="14">
        <v>-0.1151406</v>
      </c>
      <c r="F3309" s="14">
        <v>3.4833900000000001E-2</v>
      </c>
      <c r="G3309" s="14">
        <v>3.4175170000000001</v>
      </c>
      <c r="H3309" s="14">
        <v>0.1725285</v>
      </c>
      <c r="R3309" s="11">
        <f t="shared" si="104"/>
        <v>3.0319434331493189E-4</v>
      </c>
      <c r="Z3309" s="11">
        <f t="shared" si="103"/>
        <v>3.609741394818323E-4</v>
      </c>
    </row>
    <row r="3310" spans="1:26" x14ac:dyDescent="0.2">
      <c r="A3310" s="45">
        <v>573</v>
      </c>
      <c r="B3310" s="45">
        <v>2001</v>
      </c>
      <c r="C3310" s="17">
        <v>0</v>
      </c>
      <c r="D3310" s="14">
        <v>0.39786120000000003</v>
      </c>
      <c r="E3310" s="14">
        <v>-9.2899999999999996E-2</v>
      </c>
      <c r="F3310" s="14">
        <v>6.7002199999999998E-2</v>
      </c>
      <c r="G3310" s="14">
        <v>2.9165930000000002</v>
      </c>
      <c r="H3310" s="14">
        <v>0.1374882</v>
      </c>
      <c r="R3310" s="11">
        <f t="shared" si="104"/>
        <v>5.0410680086051759E-4</v>
      </c>
      <c r="Z3310" s="11">
        <f t="shared" si="103"/>
        <v>6.2348236078634748E-4</v>
      </c>
    </row>
    <row r="3311" spans="1:26" x14ac:dyDescent="0.2">
      <c r="A3311" s="45">
        <v>573</v>
      </c>
      <c r="B3311" s="45">
        <v>2002</v>
      </c>
      <c r="C3311" s="17">
        <v>0</v>
      </c>
      <c r="D3311" s="14">
        <v>0.31034319999999999</v>
      </c>
      <c r="E3311" s="14">
        <v>-0.1885677</v>
      </c>
      <c r="F3311" s="14">
        <v>4.21635E-2</v>
      </c>
      <c r="G3311" s="14">
        <v>1.1817230000000001</v>
      </c>
      <c r="H3311" s="14">
        <v>0.15378269999999999</v>
      </c>
      <c r="R3311" s="11">
        <f t="shared" si="104"/>
        <v>1.1098877898340787E-2</v>
      </c>
      <c r="Z3311" s="11">
        <f t="shared" si="103"/>
        <v>1.3890889278560088E-2</v>
      </c>
    </row>
    <row r="3312" spans="1:26" x14ac:dyDescent="0.2">
      <c r="A3312" s="45">
        <v>573</v>
      </c>
      <c r="B3312" s="45">
        <v>2003</v>
      </c>
      <c r="C3312" s="17">
        <v>0</v>
      </c>
      <c r="D3312" s="14">
        <v>0.52467319999999995</v>
      </c>
      <c r="E3312" s="14">
        <v>-0.1628378</v>
      </c>
      <c r="F3312" s="14">
        <v>2.8163400000000002E-2</v>
      </c>
      <c r="G3312" s="14">
        <v>1.5547740000000001</v>
      </c>
      <c r="H3312" s="14">
        <v>0.10408530000000001</v>
      </c>
      <c r="R3312" s="11">
        <f t="shared" si="104"/>
        <v>6.6288934794088263E-3</v>
      </c>
      <c r="Z3312" s="11">
        <f t="shared" si="103"/>
        <v>8.1523852410758518E-3</v>
      </c>
    </row>
    <row r="3313" spans="1:26" x14ac:dyDescent="0.2">
      <c r="A3313" s="45">
        <v>573</v>
      </c>
      <c r="B3313" s="45">
        <v>2004</v>
      </c>
      <c r="C3313" s="17">
        <v>0</v>
      </c>
      <c r="D3313" s="14">
        <v>0.41349429999999998</v>
      </c>
      <c r="E3313" s="14">
        <v>-0.33296829999999999</v>
      </c>
      <c r="F3313" s="14">
        <v>4.0139000000000001E-2</v>
      </c>
      <c r="G3313" s="14">
        <v>2.1563400000000001</v>
      </c>
      <c r="H3313" s="14">
        <v>0.14899599999999999</v>
      </c>
      <c r="R3313" s="11">
        <f t="shared" si="104"/>
        <v>2.9684609215819679E-3</v>
      </c>
      <c r="Z3313" s="11">
        <f t="shared" si="103"/>
        <v>3.6202202157247332E-3</v>
      </c>
    </row>
    <row r="3314" spans="1:26" x14ac:dyDescent="0.2">
      <c r="A3314" s="45">
        <v>574</v>
      </c>
      <c r="B3314" s="45">
        <v>1996</v>
      </c>
      <c r="C3314" s="17">
        <v>0</v>
      </c>
      <c r="D3314" s="14">
        <v>0.40356979999999998</v>
      </c>
      <c r="E3314" s="14">
        <v>0.1845977</v>
      </c>
      <c r="F3314" s="14">
        <v>3.9898099999999999E-2</v>
      </c>
      <c r="G3314" s="14">
        <v>1.290689</v>
      </c>
      <c r="H3314" s="14">
        <v>0.66067229999999999</v>
      </c>
      <c r="R3314" s="11">
        <f t="shared" si="104"/>
        <v>5.5528974582451885E-3</v>
      </c>
      <c r="Z3314" s="11">
        <f t="shared" si="103"/>
        <v>7.0188217725829141E-3</v>
      </c>
    </row>
    <row r="3315" spans="1:26" x14ac:dyDescent="0.2">
      <c r="A3315" s="45">
        <v>574</v>
      </c>
      <c r="B3315" s="45">
        <v>1997</v>
      </c>
      <c r="C3315" s="17">
        <v>0</v>
      </c>
      <c r="D3315" s="14">
        <v>0.34856470000000001</v>
      </c>
      <c r="E3315" s="14">
        <v>0.26955099999999999</v>
      </c>
      <c r="F3315" s="14">
        <v>4.52288E-2</v>
      </c>
      <c r="G3315" s="14">
        <v>1.9739899999999999</v>
      </c>
      <c r="H3315" s="14">
        <v>0.76908699999999997</v>
      </c>
      <c r="R3315" s="11">
        <f t="shared" si="104"/>
        <v>1.5891969273279024E-3</v>
      </c>
      <c r="Z3315" s="11">
        <f t="shared" si="103"/>
        <v>1.9953249589621377E-3</v>
      </c>
    </row>
    <row r="3316" spans="1:26" x14ac:dyDescent="0.2">
      <c r="A3316" s="45">
        <v>574</v>
      </c>
      <c r="B3316" s="45">
        <v>1998</v>
      </c>
      <c r="C3316" s="17">
        <v>0</v>
      </c>
      <c r="D3316" s="14">
        <v>0.2681905</v>
      </c>
      <c r="E3316" s="14">
        <v>0.31496489999999999</v>
      </c>
      <c r="F3316" s="14">
        <v>2.23906E-2</v>
      </c>
      <c r="G3316" s="14">
        <v>1.239671</v>
      </c>
      <c r="H3316" s="14">
        <v>0.61087420000000003</v>
      </c>
      <c r="R3316" s="11">
        <f t="shared" si="104"/>
        <v>5.7312258213791552E-3</v>
      </c>
      <c r="Z3316" s="11">
        <f t="shared" si="103"/>
        <v>7.1811669220966535E-3</v>
      </c>
    </row>
    <row r="3317" spans="1:26" x14ac:dyDescent="0.2">
      <c r="A3317" s="45">
        <v>575</v>
      </c>
      <c r="B3317" s="45">
        <v>1996</v>
      </c>
      <c r="C3317" s="17">
        <v>0</v>
      </c>
      <c r="D3317" s="14">
        <v>0.30982910000000002</v>
      </c>
      <c r="E3317" s="14">
        <v>1.9061600000000001E-2</v>
      </c>
      <c r="F3317" s="14">
        <v>3.7319900000000003E-2</v>
      </c>
      <c r="G3317" s="14">
        <v>2.4847389999999998</v>
      </c>
      <c r="H3317" s="14">
        <v>0.43126759999999997</v>
      </c>
      <c r="R3317" s="11">
        <f t="shared" si="104"/>
        <v>1.0803577149930759E-3</v>
      </c>
      <c r="Z3317" s="11">
        <f t="shared" si="103"/>
        <v>1.3214368662380395E-3</v>
      </c>
    </row>
    <row r="3318" spans="1:26" x14ac:dyDescent="0.2">
      <c r="A3318" s="45">
        <v>575</v>
      </c>
      <c r="B3318" s="45">
        <v>1997</v>
      </c>
      <c r="C3318" s="17">
        <v>0</v>
      </c>
      <c r="D3318" s="14">
        <v>0.28378150000000002</v>
      </c>
      <c r="E3318" s="14">
        <v>9.6310000000000005E-4</v>
      </c>
      <c r="F3318" s="14">
        <v>3.9500599999999997E-2</v>
      </c>
      <c r="G3318" s="14">
        <v>1.04704</v>
      </c>
      <c r="H3318" s="14">
        <v>0.4090568</v>
      </c>
      <c r="R3318" s="11">
        <f t="shared" si="104"/>
        <v>1.0672012109338443E-2</v>
      </c>
      <c r="Z3318" s="11">
        <f t="shared" si="103"/>
        <v>1.3454374873991298E-2</v>
      </c>
    </row>
    <row r="3319" spans="1:26" x14ac:dyDescent="0.2">
      <c r="A3319" s="45">
        <v>575</v>
      </c>
      <c r="B3319" s="45">
        <v>1998</v>
      </c>
      <c r="C3319" s="17">
        <v>0</v>
      </c>
      <c r="D3319" s="14">
        <v>4.1666300000000003E-2</v>
      </c>
      <c r="E3319" s="14">
        <v>-2.0238699999999998E-2</v>
      </c>
      <c r="F3319" s="14">
        <v>2.3908100000000002E-2</v>
      </c>
      <c r="G3319" s="14">
        <v>0.62447459999999999</v>
      </c>
      <c r="H3319" s="14">
        <v>0.21339060000000001</v>
      </c>
      <c r="R3319" s="11">
        <f t="shared" si="104"/>
        <v>2.4116420848630377E-2</v>
      </c>
      <c r="Z3319" s="11">
        <f t="shared" si="103"/>
        <v>3.0173395345612163E-2</v>
      </c>
    </row>
    <row r="3320" spans="1:26" x14ac:dyDescent="0.2">
      <c r="A3320" s="45">
        <v>575</v>
      </c>
      <c r="B3320" s="45">
        <v>1999</v>
      </c>
      <c r="C3320" s="17">
        <v>0</v>
      </c>
      <c r="D3320" s="14">
        <v>0.11969059999999999</v>
      </c>
      <c r="E3320" s="14">
        <v>3.3086600000000001E-2</v>
      </c>
      <c r="F3320" s="14">
        <v>3.99669E-2</v>
      </c>
      <c r="G3320" s="14">
        <v>0.56373620000000002</v>
      </c>
      <c r="H3320" s="14">
        <v>0.25138290000000002</v>
      </c>
      <c r="R3320" s="11">
        <f t="shared" si="104"/>
        <v>2.1675701001875158E-2</v>
      </c>
      <c r="Z3320" s="11">
        <f t="shared" si="103"/>
        <v>2.7571148718084235E-2</v>
      </c>
    </row>
    <row r="3321" spans="1:26" x14ac:dyDescent="0.2">
      <c r="A3321" s="45">
        <v>575</v>
      </c>
      <c r="B3321" s="45">
        <v>2000</v>
      </c>
      <c r="C3321" s="17">
        <v>0</v>
      </c>
      <c r="D3321" s="14">
        <v>0.1055856</v>
      </c>
      <c r="E3321" s="14">
        <v>-5.7558400000000003E-2</v>
      </c>
      <c r="F3321" s="14">
        <v>-1.77007E-2</v>
      </c>
      <c r="G3321" s="14">
        <v>0.49079610000000001</v>
      </c>
      <c r="H3321" s="14">
        <v>0.35145189999999998</v>
      </c>
      <c r="R3321" s="11">
        <f t="shared" si="104"/>
        <v>4.3093803172475457E-2</v>
      </c>
      <c r="Z3321" s="11">
        <f t="shared" si="103"/>
        <v>5.2031368942223835E-2</v>
      </c>
    </row>
    <row r="3322" spans="1:26" x14ac:dyDescent="0.2">
      <c r="A3322" s="45">
        <v>576</v>
      </c>
      <c r="B3322" s="45">
        <v>1995</v>
      </c>
      <c r="C3322" s="17">
        <v>0</v>
      </c>
      <c r="D3322" s="14">
        <v>-4.36251E-2</v>
      </c>
      <c r="E3322" s="14">
        <v>4.60594E-2</v>
      </c>
      <c r="F3322" s="14">
        <v>7.1730199999999994E-2</v>
      </c>
      <c r="G3322" s="14">
        <v>1.275272</v>
      </c>
      <c r="H3322" s="14">
        <v>1.0237369999999999</v>
      </c>
      <c r="R3322" s="11">
        <f t="shared" si="104"/>
        <v>5.3970670860454192E-3</v>
      </c>
      <c r="Z3322" s="11">
        <f t="shared" si="103"/>
        <v>6.9706374219158347E-3</v>
      </c>
    </row>
    <row r="3323" spans="1:26" x14ac:dyDescent="0.2">
      <c r="A3323" s="45">
        <v>576</v>
      </c>
      <c r="B3323" s="45">
        <v>1996</v>
      </c>
      <c r="C3323" s="17">
        <v>0</v>
      </c>
      <c r="D3323" s="14">
        <v>-4.1002499999999997E-2</v>
      </c>
      <c r="E3323" s="14">
        <v>0.1261563</v>
      </c>
      <c r="F3323" s="14">
        <v>7.4153999999999998E-2</v>
      </c>
      <c r="G3323" s="14">
        <v>2.1992240000000001</v>
      </c>
      <c r="H3323" s="14">
        <v>1.010149</v>
      </c>
      <c r="R3323" s="11">
        <f t="shared" si="104"/>
        <v>1.0853756722429594E-3</v>
      </c>
      <c r="Z3323" s="11">
        <f t="shared" si="103"/>
        <v>1.3818859861766532E-3</v>
      </c>
    </row>
    <row r="3324" spans="1:26" x14ac:dyDescent="0.2">
      <c r="A3324" s="45">
        <v>576</v>
      </c>
      <c r="B3324" s="45">
        <v>1997</v>
      </c>
      <c r="C3324" s="17">
        <v>0</v>
      </c>
      <c r="D3324" s="14">
        <v>-3.1295900000000001E-2</v>
      </c>
      <c r="E3324" s="14">
        <v>0.1523333</v>
      </c>
      <c r="F3324" s="14">
        <v>7.7388100000000001E-2</v>
      </c>
      <c r="G3324" s="14">
        <v>2.395753</v>
      </c>
      <c r="H3324" s="14">
        <v>0.95045089999999999</v>
      </c>
      <c r="R3324" s="11">
        <f t="shared" si="104"/>
        <v>7.446418469560643E-4</v>
      </c>
      <c r="Z3324" s="11">
        <f t="shared" si="103"/>
        <v>9.4741834423393628E-4</v>
      </c>
    </row>
    <row r="3325" spans="1:26" x14ac:dyDescent="0.2">
      <c r="A3325" s="45">
        <v>576</v>
      </c>
      <c r="B3325" s="45">
        <v>1998</v>
      </c>
      <c r="C3325" s="17">
        <v>0</v>
      </c>
      <c r="D3325" s="14">
        <v>-2.07672E-2</v>
      </c>
      <c r="E3325" s="14">
        <v>0.1970749</v>
      </c>
      <c r="F3325" s="14">
        <v>6.9544999999999996E-2</v>
      </c>
      <c r="G3325" s="14">
        <v>3.592714</v>
      </c>
      <c r="H3325" s="14">
        <v>0.7324271</v>
      </c>
      <c r="R3325" s="11">
        <f t="shared" si="104"/>
        <v>1.1036024928912284E-4</v>
      </c>
      <c r="Z3325" s="11">
        <f t="shared" si="103"/>
        <v>1.3611641735046103E-4</v>
      </c>
    </row>
    <row r="3326" spans="1:26" x14ac:dyDescent="0.2">
      <c r="A3326" s="45">
        <v>576</v>
      </c>
      <c r="B3326" s="45">
        <v>1999</v>
      </c>
      <c r="C3326" s="17">
        <v>0</v>
      </c>
      <c r="D3326" s="14">
        <v>-8.4241999999999997E-3</v>
      </c>
      <c r="E3326" s="14">
        <v>0.21652460000000001</v>
      </c>
      <c r="F3326" s="14">
        <v>6.8449599999999999E-2</v>
      </c>
      <c r="G3326" s="14">
        <v>1.7089240000000001</v>
      </c>
      <c r="H3326" s="14">
        <v>0.69350210000000001</v>
      </c>
      <c r="R3326" s="11">
        <f t="shared" si="104"/>
        <v>2.1736500808635663E-3</v>
      </c>
      <c r="Z3326" s="11">
        <f t="shared" si="103"/>
        <v>2.792190245139345E-3</v>
      </c>
    </row>
    <row r="3327" spans="1:26" x14ac:dyDescent="0.2">
      <c r="A3327" s="45">
        <v>576</v>
      </c>
      <c r="B3327" s="45">
        <v>2000</v>
      </c>
      <c r="C3327" s="17">
        <v>0</v>
      </c>
      <c r="D3327" s="14">
        <v>2.8186999999999999E-3</v>
      </c>
      <c r="E3327" s="14">
        <v>0.27161259999999998</v>
      </c>
      <c r="F3327" s="14">
        <v>6.2901399999999996E-2</v>
      </c>
      <c r="G3327" s="14">
        <v>2.9861879999999998</v>
      </c>
      <c r="H3327" s="14">
        <v>0.65525069999999996</v>
      </c>
      <c r="R3327" s="11">
        <f t="shared" si="104"/>
        <v>2.7448740250883352E-4</v>
      </c>
      <c r="Z3327" s="11">
        <f t="shared" si="103"/>
        <v>3.4209539998343602E-4</v>
      </c>
    </row>
    <row r="3328" spans="1:26" x14ac:dyDescent="0.2">
      <c r="A3328" s="45">
        <v>576</v>
      </c>
      <c r="B3328" s="45">
        <v>2001</v>
      </c>
      <c r="C3328" s="17">
        <v>0</v>
      </c>
      <c r="D3328" s="14">
        <v>1.1727E-3</v>
      </c>
      <c r="E3328" s="14">
        <v>0.32480710000000002</v>
      </c>
      <c r="F3328" s="14">
        <v>8.5510900000000001E-2</v>
      </c>
      <c r="G3328" s="14">
        <v>1.837561</v>
      </c>
      <c r="H3328" s="14">
        <v>0.64700199999999997</v>
      </c>
      <c r="R3328" s="11">
        <f t="shared" si="104"/>
        <v>1.3209451379008984E-3</v>
      </c>
      <c r="Z3328" s="11">
        <f t="shared" si="103"/>
        <v>1.7226222203040071E-3</v>
      </c>
    </row>
    <row r="3329" spans="1:26" x14ac:dyDescent="0.2">
      <c r="A3329" s="45">
        <v>576</v>
      </c>
      <c r="B3329" s="45">
        <v>2002</v>
      </c>
      <c r="C3329" s="17">
        <v>0</v>
      </c>
      <c r="D3329" s="14">
        <v>4.2164899999999998E-2</v>
      </c>
      <c r="E3329" s="14">
        <v>0.28019110000000003</v>
      </c>
      <c r="F3329" s="14">
        <v>6.3340400000000005E-2</v>
      </c>
      <c r="G3329" s="14">
        <v>0.85877780000000004</v>
      </c>
      <c r="H3329" s="14">
        <v>0.64628430000000003</v>
      </c>
      <c r="R3329" s="11">
        <f t="shared" si="104"/>
        <v>7.9540594725244027E-3</v>
      </c>
      <c r="Z3329" s="11">
        <f t="shared" si="103"/>
        <v>1.0370834246465602E-2</v>
      </c>
    </row>
    <row r="3330" spans="1:26" x14ac:dyDescent="0.2">
      <c r="A3330" s="45">
        <v>576</v>
      </c>
      <c r="B3330" s="45">
        <v>2003</v>
      </c>
      <c r="C3330" s="17">
        <v>0</v>
      </c>
      <c r="D3330" s="14">
        <v>3.6643799999999997E-2</v>
      </c>
      <c r="E3330" s="14">
        <v>0.31076930000000003</v>
      </c>
      <c r="F3330" s="14">
        <v>5.5252299999999997E-2</v>
      </c>
      <c r="G3330" s="14">
        <v>0.87754259999999995</v>
      </c>
      <c r="H3330" s="14">
        <v>0.77682569999999995</v>
      </c>
      <c r="R3330" s="11">
        <f t="shared" si="104"/>
        <v>7.87813605945447E-3</v>
      </c>
      <c r="Z3330" s="11">
        <f t="shared" ref="Z3330:Z3393" si="105">1/(1+EXP(-(U$2+$V$2*E3330+$W$2*F3330+$X$2*G3330)))</f>
        <v>1.0211311813729061E-2</v>
      </c>
    </row>
    <row r="3331" spans="1:26" x14ac:dyDescent="0.2">
      <c r="A3331" s="45">
        <v>576</v>
      </c>
      <c r="B3331" s="45">
        <v>2004</v>
      </c>
      <c r="C3331" s="17">
        <v>0</v>
      </c>
      <c r="D3331" s="14">
        <v>2.2890199999999999E-2</v>
      </c>
      <c r="E3331" s="14">
        <v>0.33059300000000003</v>
      </c>
      <c r="F3331" s="14">
        <v>4.8475200000000003E-2</v>
      </c>
      <c r="G3331" s="14">
        <v>0.82898749999999999</v>
      </c>
      <c r="H3331" s="14">
        <v>0.7664204</v>
      </c>
      <c r="R3331" s="11">
        <f t="shared" si="104"/>
        <v>8.7233430061380447E-3</v>
      </c>
      <c r="Z3331" s="11">
        <f t="shared" si="105"/>
        <v>1.1261519216407546E-2</v>
      </c>
    </row>
    <row r="3332" spans="1:26" x14ac:dyDescent="0.2">
      <c r="A3332" s="45">
        <v>577</v>
      </c>
      <c r="B3332" s="45">
        <v>1995</v>
      </c>
      <c r="C3332" s="17">
        <v>1</v>
      </c>
      <c r="D3332" s="14">
        <v>0.41947109999999999</v>
      </c>
      <c r="E3332" s="14">
        <v>-0.15654470000000001</v>
      </c>
      <c r="F3332" s="14">
        <v>3.0897500000000001E-2</v>
      </c>
      <c r="G3332" s="14">
        <v>0.35354479999999999</v>
      </c>
      <c r="H3332" s="14">
        <v>0.53427619999999998</v>
      </c>
      <c r="R3332" s="11">
        <f t="shared" si="104"/>
        <v>4.2030715158813847E-2</v>
      </c>
      <c r="Z3332" s="11">
        <f t="shared" si="105"/>
        <v>5.269512326495767E-2</v>
      </c>
    </row>
    <row r="3333" spans="1:26" x14ac:dyDescent="0.2">
      <c r="A3333" s="45">
        <v>578</v>
      </c>
      <c r="B3333" s="45">
        <v>1995</v>
      </c>
      <c r="C3333" s="17">
        <v>0</v>
      </c>
      <c r="D3333" s="14">
        <v>0.42684450000000002</v>
      </c>
      <c r="E3333" s="14">
        <v>0.1798478</v>
      </c>
      <c r="F3333" s="14">
        <v>5.9582999999999997E-3</v>
      </c>
      <c r="G3333" s="14">
        <v>0.1890068</v>
      </c>
      <c r="H3333" s="14">
        <v>0.3104691</v>
      </c>
      <c r="R3333" s="11">
        <f t="shared" si="104"/>
        <v>4.0940247882753328E-2</v>
      </c>
      <c r="Z3333" s="11">
        <f t="shared" si="105"/>
        <v>5.1085802391983903E-2</v>
      </c>
    </row>
    <row r="3334" spans="1:26" x14ac:dyDescent="0.2">
      <c r="A3334" s="45">
        <v>578</v>
      </c>
      <c r="B3334" s="45">
        <v>1996</v>
      </c>
      <c r="C3334" s="17">
        <v>0</v>
      </c>
      <c r="D3334" s="14">
        <v>0.58372590000000002</v>
      </c>
      <c r="E3334" s="14">
        <v>0.12425949999999999</v>
      </c>
      <c r="F3334" s="14">
        <v>6.6033999999999997E-3</v>
      </c>
      <c r="G3334" s="14">
        <v>0.37617040000000002</v>
      </c>
      <c r="H3334" s="14">
        <v>0.43979040000000003</v>
      </c>
      <c r="R3334" s="11">
        <f t="shared" si="104"/>
        <v>3.3040062298151089E-2</v>
      </c>
      <c r="Z3334" s="11">
        <f t="shared" si="105"/>
        <v>4.1094966071040476E-2</v>
      </c>
    </row>
    <row r="3335" spans="1:26" x14ac:dyDescent="0.2">
      <c r="A3335" s="45">
        <v>579</v>
      </c>
      <c r="B3335" s="45">
        <v>1995</v>
      </c>
      <c r="C3335" s="17">
        <v>0</v>
      </c>
      <c r="D3335" s="14">
        <v>9.4093499999999997E-2</v>
      </c>
      <c r="E3335" s="14">
        <v>-0.1273533</v>
      </c>
      <c r="F3335" s="14">
        <v>3.0569599999999999E-2</v>
      </c>
      <c r="G3335" s="14">
        <v>1.6337269999999999</v>
      </c>
      <c r="H3335" s="14">
        <v>0.1480892</v>
      </c>
      <c r="R3335" s="11">
        <f t="shared" si="104"/>
        <v>5.4518798973703592E-3</v>
      </c>
      <c r="Z3335" s="11">
        <f t="shared" si="105"/>
        <v>6.7163560141349663E-3</v>
      </c>
    </row>
    <row r="3336" spans="1:26" x14ac:dyDescent="0.2">
      <c r="A3336" s="45">
        <v>579</v>
      </c>
      <c r="B3336" s="45">
        <v>1996</v>
      </c>
      <c r="C3336" s="17">
        <v>0</v>
      </c>
      <c r="D3336" s="14">
        <v>1.45684E-2</v>
      </c>
      <c r="E3336" s="14">
        <v>-0.1186166</v>
      </c>
      <c r="F3336" s="14">
        <v>3.5596000000000003E-2</v>
      </c>
      <c r="G3336" s="14">
        <v>2.225444</v>
      </c>
      <c r="H3336" s="14">
        <v>0.17568110000000001</v>
      </c>
      <c r="R3336" s="11">
        <f t="shared" si="104"/>
        <v>2.0208894704368029E-3</v>
      </c>
      <c r="Z3336" s="11">
        <f t="shared" si="105"/>
        <v>2.4702862269989105E-3</v>
      </c>
    </row>
    <row r="3337" spans="1:26" x14ac:dyDescent="0.2">
      <c r="A3337" s="45">
        <v>579</v>
      </c>
      <c r="B3337" s="45">
        <v>1997</v>
      </c>
      <c r="C3337" s="17">
        <v>0</v>
      </c>
      <c r="D3337" s="14">
        <v>-1.2167E-3</v>
      </c>
      <c r="E3337" s="14">
        <v>-0.32425349999999997</v>
      </c>
      <c r="F3337" s="14">
        <v>4.0749899999999999E-2</v>
      </c>
      <c r="G3337" s="14">
        <v>3.5023230000000001</v>
      </c>
      <c r="H3337" s="14">
        <v>0.14784630000000001</v>
      </c>
      <c r="R3337" s="11">
        <f t="shared" si="104"/>
        <v>3.4237974526323196E-4</v>
      </c>
      <c r="Z3337" s="11">
        <f t="shared" si="105"/>
        <v>4.0592208339249367E-4</v>
      </c>
    </row>
    <row r="3338" spans="1:26" x14ac:dyDescent="0.2">
      <c r="A3338" s="45">
        <v>579</v>
      </c>
      <c r="B3338" s="45">
        <v>1998</v>
      </c>
      <c r="C3338" s="17">
        <v>0</v>
      </c>
      <c r="D3338" s="14">
        <v>2.4848000000000001E-3</v>
      </c>
      <c r="E3338" s="14">
        <v>-0.41607129999999998</v>
      </c>
      <c r="F3338" s="14">
        <v>-0.11181480000000001</v>
      </c>
      <c r="G3338" s="14">
        <v>1.473644</v>
      </c>
      <c r="H3338" s="14">
        <v>0.1049915</v>
      </c>
      <c r="R3338" s="11">
        <f t="shared" si="104"/>
        <v>3.2531392302717899E-2</v>
      </c>
      <c r="Z3338" s="11">
        <f t="shared" si="105"/>
        <v>3.5376053462851109E-2</v>
      </c>
    </row>
    <row r="3339" spans="1:26" x14ac:dyDescent="0.2">
      <c r="A3339" s="45">
        <v>579</v>
      </c>
      <c r="B3339" s="45">
        <v>1999</v>
      </c>
      <c r="C3339" s="17">
        <v>0</v>
      </c>
      <c r="D3339" s="14">
        <v>-5.9642999999999996E-3</v>
      </c>
      <c r="E3339" s="14">
        <v>-0.2392301</v>
      </c>
      <c r="F3339" s="14">
        <v>4.54332E-2</v>
      </c>
      <c r="G3339" s="14">
        <v>1.354033</v>
      </c>
      <c r="H3339" s="14">
        <v>9.8438700000000004E-2</v>
      </c>
      <c r="R3339" s="11">
        <f t="shared" si="104"/>
        <v>8.8641820958701573E-3</v>
      </c>
      <c r="Z3339" s="11">
        <f t="shared" si="105"/>
        <v>1.1069097558994361E-2</v>
      </c>
    </row>
    <row r="3340" spans="1:26" x14ac:dyDescent="0.2">
      <c r="A3340" s="45">
        <v>580</v>
      </c>
      <c r="B3340" s="45">
        <v>1999</v>
      </c>
      <c r="C3340" s="17">
        <v>0</v>
      </c>
      <c r="D3340" s="14">
        <v>-6.04436E-2</v>
      </c>
      <c r="E3340" s="14">
        <v>0.13814969999999999</v>
      </c>
      <c r="F3340" s="14">
        <v>6.7840499999999998E-2</v>
      </c>
      <c r="G3340" s="14">
        <v>2.249339</v>
      </c>
      <c r="H3340" s="14">
        <v>0.52713719999999997</v>
      </c>
      <c r="R3340" s="11">
        <f t="shared" si="104"/>
        <v>1.0358022340508505E-3</v>
      </c>
      <c r="Z3340" s="11">
        <f t="shared" si="105"/>
        <v>1.3110821731279071E-3</v>
      </c>
    </row>
    <row r="3341" spans="1:26" x14ac:dyDescent="0.2">
      <c r="A3341" s="45">
        <v>580</v>
      </c>
      <c r="B3341" s="45">
        <v>2000</v>
      </c>
      <c r="C3341" s="17">
        <v>0</v>
      </c>
      <c r="D3341" s="14">
        <v>-3.56589E-2</v>
      </c>
      <c r="E3341" s="14">
        <v>0.1494086</v>
      </c>
      <c r="F3341" s="14">
        <v>6.5200800000000003E-2</v>
      </c>
      <c r="G3341" s="14">
        <v>1.634822</v>
      </c>
      <c r="H3341" s="14">
        <v>0.41511759999999998</v>
      </c>
      <c r="R3341" s="11">
        <f t="shared" si="104"/>
        <v>2.7662087654911345E-3</v>
      </c>
      <c r="Z3341" s="11">
        <f t="shared" si="105"/>
        <v>3.5409935525494382E-3</v>
      </c>
    </row>
    <row r="3342" spans="1:26" x14ac:dyDescent="0.2">
      <c r="A3342" s="45">
        <v>580</v>
      </c>
      <c r="B3342" s="45">
        <v>2001</v>
      </c>
      <c r="C3342" s="17">
        <v>0</v>
      </c>
      <c r="D3342" s="14">
        <v>3.1663700000000003E-2</v>
      </c>
      <c r="E3342" s="14">
        <v>0.1432177</v>
      </c>
      <c r="F3342" s="14">
        <v>6.3390600000000005E-2</v>
      </c>
      <c r="G3342" s="14">
        <v>1.773741</v>
      </c>
      <c r="H3342" s="14">
        <v>0.41311569999999997</v>
      </c>
      <c r="R3342" s="11">
        <f t="shared" si="104"/>
        <v>2.2706714357620516E-3</v>
      </c>
      <c r="Z3342" s="11">
        <f t="shared" si="105"/>
        <v>2.8933152853439685E-3</v>
      </c>
    </row>
    <row r="3343" spans="1:26" x14ac:dyDescent="0.2">
      <c r="A3343" s="45">
        <v>580</v>
      </c>
      <c r="B3343" s="45">
        <v>2002</v>
      </c>
      <c r="C3343" s="17">
        <v>0</v>
      </c>
      <c r="D3343" s="14">
        <v>8.6642999999999998E-3</v>
      </c>
      <c r="E3343" s="14">
        <v>0.14865220000000001</v>
      </c>
      <c r="F3343" s="14">
        <v>6.7582100000000006E-2</v>
      </c>
      <c r="G3343" s="14">
        <v>1.3858790000000001</v>
      </c>
      <c r="H3343" s="14">
        <v>0.3547034</v>
      </c>
      <c r="R3343" s="11">
        <f t="shared" si="104"/>
        <v>4.0348556002343886E-3</v>
      </c>
      <c r="Z3343" s="11">
        <f t="shared" si="105"/>
        <v>5.2013259767867718E-3</v>
      </c>
    </row>
    <row r="3344" spans="1:26" x14ac:dyDescent="0.2">
      <c r="A3344" s="45">
        <v>580</v>
      </c>
      <c r="B3344" s="45">
        <v>2003</v>
      </c>
      <c r="C3344" s="17">
        <v>0</v>
      </c>
      <c r="D3344" s="14">
        <v>7.7670500000000003E-2</v>
      </c>
      <c r="E3344" s="14">
        <v>0.16484799999999999</v>
      </c>
      <c r="F3344" s="14">
        <v>6.9551299999999996E-2</v>
      </c>
      <c r="G3344" s="14">
        <v>1.177187</v>
      </c>
      <c r="H3344" s="14">
        <v>0.33594170000000001</v>
      </c>
      <c r="R3344" s="11">
        <f t="shared" si="104"/>
        <v>5.4025223708191687E-3</v>
      </c>
      <c r="Z3344" s="11">
        <f t="shared" si="105"/>
        <v>7.0085428535894365E-3</v>
      </c>
    </row>
    <row r="3345" spans="1:26" x14ac:dyDescent="0.2">
      <c r="A3345" s="45">
        <v>580</v>
      </c>
      <c r="B3345" s="45">
        <v>2004</v>
      </c>
      <c r="C3345" s="17">
        <v>0</v>
      </c>
      <c r="D3345" s="14">
        <v>4.6979600000000003E-2</v>
      </c>
      <c r="E3345" s="14">
        <v>0.2383777</v>
      </c>
      <c r="F3345" s="14">
        <v>6.9153099999999995E-2</v>
      </c>
      <c r="G3345" s="14">
        <v>1.5547260000000001</v>
      </c>
      <c r="H3345" s="14">
        <v>0.38791779999999998</v>
      </c>
      <c r="R3345" s="11">
        <f t="shared" si="104"/>
        <v>2.6757543418486429E-3</v>
      </c>
      <c r="Z3345" s="11">
        <f t="shared" si="105"/>
        <v>3.4528906122145756E-3</v>
      </c>
    </row>
    <row r="3346" spans="1:26" x14ac:dyDescent="0.2">
      <c r="A3346" s="45">
        <v>581</v>
      </c>
      <c r="B3346" s="45">
        <v>1995</v>
      </c>
      <c r="C3346" s="17">
        <v>0</v>
      </c>
      <c r="D3346" s="14">
        <v>1.5344699999999999E-2</v>
      </c>
      <c r="E3346" s="14">
        <v>0.1500127</v>
      </c>
      <c r="F3346" s="14">
        <v>3.9074699999999997E-2</v>
      </c>
      <c r="G3346" s="14">
        <v>1.0607880000000001</v>
      </c>
      <c r="H3346" s="14">
        <v>9.8844699999999994E-2</v>
      </c>
      <c r="R3346" s="11">
        <f t="shared" si="104"/>
        <v>8.4540102296704576E-3</v>
      </c>
      <c r="Z3346" s="11">
        <f t="shared" si="105"/>
        <v>1.0711464955465225E-2</v>
      </c>
    </row>
    <row r="3347" spans="1:26" x14ac:dyDescent="0.2">
      <c r="A3347" s="45">
        <v>581</v>
      </c>
      <c r="B3347" s="45">
        <v>1996</v>
      </c>
      <c r="C3347" s="17">
        <v>0</v>
      </c>
      <c r="D3347" s="14">
        <v>9.7035999999999997E-3</v>
      </c>
      <c r="E3347" s="14">
        <v>0.1396763</v>
      </c>
      <c r="F3347" s="14">
        <v>4.4254099999999998E-2</v>
      </c>
      <c r="G3347" s="14">
        <v>0.9709333</v>
      </c>
      <c r="H3347" s="14">
        <v>0.12414409999999999</v>
      </c>
      <c r="R3347" s="11">
        <f t="shared" si="104"/>
        <v>9.4913900753498259E-3</v>
      </c>
      <c r="Z3347" s="11">
        <f t="shared" si="105"/>
        <v>1.2092418555508638E-2</v>
      </c>
    </row>
    <row r="3348" spans="1:26" x14ac:dyDescent="0.2">
      <c r="A3348" s="45">
        <v>581</v>
      </c>
      <c r="B3348" s="45">
        <v>1997</v>
      </c>
      <c r="C3348" s="17">
        <v>0</v>
      </c>
      <c r="D3348" s="14">
        <v>3.7045099999999997E-2</v>
      </c>
      <c r="E3348" s="14">
        <v>0.15194440000000001</v>
      </c>
      <c r="F3348" s="14">
        <v>3.9661299999999997E-2</v>
      </c>
      <c r="G3348" s="14">
        <v>1.069917</v>
      </c>
      <c r="H3348" s="14">
        <v>0.1205807</v>
      </c>
      <c r="R3348" s="11">
        <f t="shared" si="104"/>
        <v>8.2711734333808171E-3</v>
      </c>
      <c r="Z3348" s="11">
        <f t="shared" si="105"/>
        <v>1.0483910653723146E-2</v>
      </c>
    </row>
    <row r="3349" spans="1:26" x14ac:dyDescent="0.2">
      <c r="A3349" s="45">
        <v>581</v>
      </c>
      <c r="B3349" s="45">
        <v>1998</v>
      </c>
      <c r="C3349" s="17">
        <v>0</v>
      </c>
      <c r="D3349" s="14">
        <v>-2.7376000000000002E-3</v>
      </c>
      <c r="E3349" s="14">
        <v>0.1562779</v>
      </c>
      <c r="F3349" s="14">
        <v>4.5935400000000001E-2</v>
      </c>
      <c r="G3349" s="14">
        <v>1.0076270000000001</v>
      </c>
      <c r="H3349" s="14">
        <v>8.5986400000000004E-2</v>
      </c>
      <c r="R3349" s="11">
        <f t="shared" si="104"/>
        <v>8.629547298131127E-3</v>
      </c>
      <c r="Z3349" s="11">
        <f t="shared" si="105"/>
        <v>1.1009414295937712E-2</v>
      </c>
    </row>
    <row r="3350" spans="1:26" x14ac:dyDescent="0.2">
      <c r="A3350" s="45">
        <v>581</v>
      </c>
      <c r="B3350" s="45">
        <v>1999</v>
      </c>
      <c r="C3350" s="17">
        <v>0</v>
      </c>
      <c r="D3350" s="14">
        <v>-2.4103800000000002E-2</v>
      </c>
      <c r="E3350" s="14">
        <v>0.2164488</v>
      </c>
      <c r="F3350" s="14">
        <v>5.3505999999999998E-2</v>
      </c>
      <c r="G3350" s="14">
        <v>0.76170959999999999</v>
      </c>
      <c r="H3350" s="14">
        <v>0.12010949999999999</v>
      </c>
      <c r="R3350" s="11">
        <f t="shared" si="104"/>
        <v>1.0986387370511153E-2</v>
      </c>
      <c r="Z3350" s="11">
        <f t="shared" si="105"/>
        <v>1.4197285591896033E-2</v>
      </c>
    </row>
    <row r="3351" spans="1:26" x14ac:dyDescent="0.2">
      <c r="A3351" s="45">
        <v>581</v>
      </c>
      <c r="B3351" s="45">
        <v>2000</v>
      </c>
      <c r="C3351" s="17">
        <v>0</v>
      </c>
      <c r="D3351" s="14">
        <v>8.7642399999999995E-2</v>
      </c>
      <c r="E3351" s="14">
        <v>0.16253719999999999</v>
      </c>
      <c r="F3351" s="14">
        <v>3.4013300000000003E-2</v>
      </c>
      <c r="G3351" s="14">
        <v>0.61923030000000001</v>
      </c>
      <c r="H3351" s="14">
        <v>0.1792492</v>
      </c>
      <c r="R3351" s="11">
        <f t="shared" ref="R3351:R3414" si="106">1/(1+EXP(-(K$2+$M$2*E3351+$N$2*F3351+$O$2*G3351)))</f>
        <v>1.7315516867774178E-2</v>
      </c>
      <c r="Z3351" s="11">
        <f t="shared" si="105"/>
        <v>2.2015913406953677E-2</v>
      </c>
    </row>
    <row r="3352" spans="1:26" x14ac:dyDescent="0.2">
      <c r="A3352" s="45">
        <v>581</v>
      </c>
      <c r="B3352" s="45">
        <v>2001</v>
      </c>
      <c r="C3352" s="17">
        <v>0</v>
      </c>
      <c r="D3352" s="14">
        <v>3.6879299999999997E-2</v>
      </c>
      <c r="E3352" s="14">
        <v>0.182171</v>
      </c>
      <c r="F3352" s="14">
        <v>4.4829899999999999E-2</v>
      </c>
      <c r="G3352" s="14">
        <v>0.5600366</v>
      </c>
      <c r="H3352" s="14">
        <v>0.13382269999999999</v>
      </c>
      <c r="R3352" s="11">
        <f t="shared" si="106"/>
        <v>1.6966124407550142E-2</v>
      </c>
      <c r="Z3352" s="11">
        <f t="shared" si="105"/>
        <v>2.1803824231766342E-2</v>
      </c>
    </row>
    <row r="3353" spans="1:26" x14ac:dyDescent="0.2">
      <c r="A3353" s="45">
        <v>581</v>
      </c>
      <c r="B3353" s="45">
        <v>2002</v>
      </c>
      <c r="C3353" s="17">
        <v>0</v>
      </c>
      <c r="D3353" s="14">
        <v>1.5280500000000001E-2</v>
      </c>
      <c r="E3353" s="14">
        <v>0.1585162</v>
      </c>
      <c r="F3353" s="14">
        <v>5.5251500000000002E-2</v>
      </c>
      <c r="G3353" s="14">
        <v>0.62564019999999998</v>
      </c>
      <c r="H3353" s="14">
        <v>0.1386135</v>
      </c>
      <c r="R3353" s="11">
        <f t="shared" si="106"/>
        <v>1.4586874469391511E-2</v>
      </c>
      <c r="Z3353" s="11">
        <f t="shared" si="105"/>
        <v>1.8875182669554028E-2</v>
      </c>
    </row>
    <row r="3354" spans="1:26" x14ac:dyDescent="0.2">
      <c r="A3354" s="45">
        <v>581</v>
      </c>
      <c r="B3354" s="45">
        <v>2003</v>
      </c>
      <c r="C3354" s="17">
        <v>0</v>
      </c>
      <c r="D3354" s="14">
        <v>2.1036699999999998E-2</v>
      </c>
      <c r="E3354" s="14">
        <v>0.16035469999999999</v>
      </c>
      <c r="F3354" s="14">
        <v>5.1674600000000001E-2</v>
      </c>
      <c r="G3354" s="14">
        <v>0.65922239999999999</v>
      </c>
      <c r="H3354" s="14">
        <v>0.13266049999999999</v>
      </c>
      <c r="R3354" s="11">
        <f t="shared" si="106"/>
        <v>1.419572965659956E-2</v>
      </c>
      <c r="Z3354" s="11">
        <f t="shared" si="105"/>
        <v>1.8306229932102874E-2</v>
      </c>
    </row>
    <row r="3355" spans="1:26" x14ac:dyDescent="0.2">
      <c r="A3355" s="45">
        <v>581</v>
      </c>
      <c r="B3355" s="45">
        <v>2004</v>
      </c>
      <c r="C3355" s="17">
        <v>0</v>
      </c>
      <c r="D3355" s="14">
        <v>1.7641400000000002E-2</v>
      </c>
      <c r="E3355" s="14">
        <v>0.1582876</v>
      </c>
      <c r="F3355" s="14">
        <v>3.06062E-2</v>
      </c>
      <c r="G3355" s="14">
        <v>0.70615859999999997</v>
      </c>
      <c r="H3355" s="14">
        <v>0.1596108</v>
      </c>
      <c r="R3355" s="11">
        <f t="shared" si="106"/>
        <v>1.5615064393981902E-2</v>
      </c>
      <c r="Z3355" s="11">
        <f t="shared" si="105"/>
        <v>1.976893738683588E-2</v>
      </c>
    </row>
    <row r="3356" spans="1:26" x14ac:dyDescent="0.2">
      <c r="A3356" s="45">
        <v>582</v>
      </c>
      <c r="B3356" s="45">
        <v>1995</v>
      </c>
      <c r="C3356" s="17">
        <v>0</v>
      </c>
      <c r="D3356" s="14">
        <v>0.19576560000000001</v>
      </c>
      <c r="E3356" s="14">
        <v>0.1160272</v>
      </c>
      <c r="F3356" s="14">
        <v>7.3962899999999998E-2</v>
      </c>
      <c r="G3356" s="14">
        <v>2.5559500000000002</v>
      </c>
      <c r="H3356" s="14">
        <v>0.25520900000000002</v>
      </c>
      <c r="R3356" s="11">
        <f t="shared" si="106"/>
        <v>6.2510658036647889E-4</v>
      </c>
      <c r="Z3356" s="11">
        <f t="shared" si="105"/>
        <v>7.8935670753308167E-4</v>
      </c>
    </row>
    <row r="3357" spans="1:26" x14ac:dyDescent="0.2">
      <c r="A3357" s="45">
        <v>582</v>
      </c>
      <c r="B3357" s="45">
        <v>1996</v>
      </c>
      <c r="C3357" s="17">
        <v>0</v>
      </c>
      <c r="D3357" s="14">
        <v>0.20030439999999999</v>
      </c>
      <c r="E3357" s="14">
        <v>0.18116489999999999</v>
      </c>
      <c r="F3357" s="14">
        <v>7.2105799999999998E-2</v>
      </c>
      <c r="G3357" s="14">
        <v>3.293304</v>
      </c>
      <c r="H3357" s="14">
        <v>0.24298130000000001</v>
      </c>
      <c r="R3357" s="11">
        <f t="shared" si="106"/>
        <v>1.7830036598209828E-4</v>
      </c>
      <c r="Z3357" s="11">
        <f t="shared" si="105"/>
        <v>2.2170764360455845E-4</v>
      </c>
    </row>
    <row r="3358" spans="1:26" x14ac:dyDescent="0.2">
      <c r="A3358" s="45">
        <v>582</v>
      </c>
      <c r="B3358" s="45">
        <v>1997</v>
      </c>
      <c r="C3358" s="17">
        <v>0</v>
      </c>
      <c r="D3358" s="14">
        <v>0.17897879999999999</v>
      </c>
      <c r="E3358" s="14">
        <v>0.23445830000000001</v>
      </c>
      <c r="F3358" s="14">
        <v>7.09616E-2</v>
      </c>
      <c r="G3358" s="14">
        <v>3.8550339999999998</v>
      </c>
      <c r="H3358" s="14">
        <v>0.23511960000000001</v>
      </c>
      <c r="R3358" s="11">
        <f t="shared" si="106"/>
        <v>6.8038450750911817E-5</v>
      </c>
      <c r="Z3358" s="11">
        <f t="shared" si="105"/>
        <v>8.3638972831621711E-5</v>
      </c>
    </row>
    <row r="3359" spans="1:26" x14ac:dyDescent="0.2">
      <c r="A3359" s="45">
        <v>583</v>
      </c>
      <c r="B3359" s="45">
        <v>1995</v>
      </c>
      <c r="C3359" s="17">
        <v>0</v>
      </c>
      <c r="D3359" s="14">
        <v>-6.6325400000000007E-2</v>
      </c>
      <c r="E3359" s="14">
        <v>0.93291349999999995</v>
      </c>
      <c r="F3359" s="14">
        <v>9.2381699999999997E-2</v>
      </c>
      <c r="G3359" s="14">
        <v>6.5930809999999997</v>
      </c>
      <c r="H3359" s="14">
        <v>0.3079114</v>
      </c>
      <c r="R3359" s="11">
        <f t="shared" si="106"/>
        <v>2.6444975497435457E-7</v>
      </c>
      <c r="Z3359" s="11">
        <f t="shared" si="105"/>
        <v>3.1903680950593045E-7</v>
      </c>
    </row>
    <row r="3360" spans="1:26" x14ac:dyDescent="0.2">
      <c r="A3360" s="45">
        <v>583</v>
      </c>
      <c r="B3360" s="45">
        <v>1996</v>
      </c>
      <c r="C3360" s="17">
        <v>0</v>
      </c>
      <c r="D3360" s="14">
        <v>-1.60392E-2</v>
      </c>
      <c r="E3360" s="14">
        <v>0.93895729999999999</v>
      </c>
      <c r="F3360" s="14">
        <v>9.4502000000000003E-2</v>
      </c>
      <c r="G3360" s="14">
        <v>7.1240360000000003</v>
      </c>
      <c r="H3360" s="14">
        <v>0.29318680000000003</v>
      </c>
      <c r="R3360" s="11">
        <f t="shared" si="106"/>
        <v>1.1058410864662506E-7</v>
      </c>
      <c r="Z3360" s="11">
        <f t="shared" si="105"/>
        <v>1.3211654925706282E-7</v>
      </c>
    </row>
    <row r="3361" spans="1:26" x14ac:dyDescent="0.2">
      <c r="A3361" s="45">
        <v>583</v>
      </c>
      <c r="B3361" s="45">
        <v>1997</v>
      </c>
      <c r="C3361" s="17">
        <v>0</v>
      </c>
      <c r="D3361" s="14">
        <v>3.1858600000000001E-2</v>
      </c>
      <c r="E3361" s="14">
        <v>0.8557572</v>
      </c>
      <c r="F3361" s="14">
        <v>0.1045452</v>
      </c>
      <c r="G3361" s="14">
        <v>12.373989999999999</v>
      </c>
      <c r="H3361" s="14">
        <v>0.29277310000000001</v>
      </c>
      <c r="R3361" s="11">
        <f t="shared" si="106"/>
        <v>2.6785856386099861E-11</v>
      </c>
      <c r="Z3361" s="11">
        <f t="shared" si="105"/>
        <v>2.8661415678116944E-11</v>
      </c>
    </row>
    <row r="3362" spans="1:26" x14ac:dyDescent="0.2">
      <c r="A3362" s="45">
        <v>583</v>
      </c>
      <c r="B3362" s="45">
        <v>1998</v>
      </c>
      <c r="C3362" s="17">
        <v>0</v>
      </c>
      <c r="D3362" s="14">
        <v>0.15683710000000001</v>
      </c>
      <c r="E3362" s="14">
        <v>0.86939</v>
      </c>
      <c r="F3362" s="14">
        <v>9.3288599999999999E-2</v>
      </c>
      <c r="G3362" s="14">
        <v>21.19228</v>
      </c>
      <c r="H3362" s="14">
        <v>0.29647859999999998</v>
      </c>
      <c r="R3362" s="11">
        <f t="shared" si="106"/>
        <v>2.2665150409294997E-17</v>
      </c>
      <c r="Z3362" s="11">
        <f t="shared" si="105"/>
        <v>1.9797511353229852E-17</v>
      </c>
    </row>
    <row r="3363" spans="1:26" x14ac:dyDescent="0.2">
      <c r="A3363" s="45">
        <v>583</v>
      </c>
      <c r="B3363" s="45">
        <v>1999</v>
      </c>
      <c r="C3363" s="17">
        <v>0</v>
      </c>
      <c r="D3363" s="14">
        <v>0.20617820000000001</v>
      </c>
      <c r="E3363" s="14">
        <v>0.89207049999999999</v>
      </c>
      <c r="F3363" s="14">
        <v>9.2951199999999998E-2</v>
      </c>
      <c r="G3363" s="14">
        <v>14.81564</v>
      </c>
      <c r="H3363" s="14">
        <v>0.27888400000000002</v>
      </c>
      <c r="R3363" s="11">
        <f t="shared" si="106"/>
        <v>5.6939294647286284E-13</v>
      </c>
      <c r="Z3363" s="11">
        <f t="shared" si="105"/>
        <v>5.7261944614088874E-13</v>
      </c>
    </row>
    <row r="3364" spans="1:26" x14ac:dyDescent="0.2">
      <c r="A3364" s="45">
        <v>583</v>
      </c>
      <c r="B3364" s="45">
        <v>2000</v>
      </c>
      <c r="C3364" s="17">
        <v>0</v>
      </c>
      <c r="D3364" s="14">
        <v>0.2179219</v>
      </c>
      <c r="E3364" s="14">
        <v>0.92123189999999999</v>
      </c>
      <c r="F3364" s="14">
        <v>0.113082</v>
      </c>
      <c r="G3364" s="14">
        <v>17.748380000000001</v>
      </c>
      <c r="H3364" s="14">
        <v>0.24481520000000001</v>
      </c>
      <c r="R3364" s="11">
        <f t="shared" si="106"/>
        <v>4.3385689620620106E-15</v>
      </c>
      <c r="Z3364" s="11">
        <f t="shared" si="105"/>
        <v>4.1624883845585043E-15</v>
      </c>
    </row>
    <row r="3365" spans="1:26" x14ac:dyDescent="0.2">
      <c r="A3365" s="45">
        <v>583</v>
      </c>
      <c r="B3365" s="45">
        <v>2001</v>
      </c>
      <c r="C3365" s="17">
        <v>0</v>
      </c>
      <c r="D3365" s="14">
        <v>0.24173320000000001</v>
      </c>
      <c r="E3365" s="14">
        <v>0.88917259999999998</v>
      </c>
      <c r="F3365" s="14">
        <v>8.4196999999999994E-2</v>
      </c>
      <c r="G3365" s="14">
        <v>10.41367</v>
      </c>
      <c r="H3365" s="14">
        <v>0.23681360000000001</v>
      </c>
      <c r="R3365" s="11">
        <f t="shared" si="106"/>
        <v>6.8266781633601432E-10</v>
      </c>
      <c r="Z3365" s="11">
        <f t="shared" si="105"/>
        <v>7.5093642037563954E-10</v>
      </c>
    </row>
    <row r="3366" spans="1:26" x14ac:dyDescent="0.2">
      <c r="A3366" s="45">
        <v>583</v>
      </c>
      <c r="B3366" s="45">
        <v>2002</v>
      </c>
      <c r="C3366" s="17">
        <v>0</v>
      </c>
      <c r="D3366" s="14">
        <v>0.29852780000000001</v>
      </c>
      <c r="E3366" s="14">
        <v>0.82960929999999999</v>
      </c>
      <c r="F3366" s="14">
        <v>6.8214800000000006E-2</v>
      </c>
      <c r="G3366" s="14">
        <v>5.4592109999999998</v>
      </c>
      <c r="H3366" s="14">
        <v>0.19775209999999999</v>
      </c>
      <c r="R3366" s="11">
        <f t="shared" si="106"/>
        <v>2.2712754862597469E-6</v>
      </c>
      <c r="Z3366" s="11">
        <f t="shared" si="105"/>
        <v>2.7445447395061953E-6</v>
      </c>
    </row>
    <row r="3367" spans="1:26" x14ac:dyDescent="0.2">
      <c r="A3367" s="45">
        <v>583</v>
      </c>
      <c r="B3367" s="45">
        <v>2003</v>
      </c>
      <c r="C3367" s="17">
        <v>0</v>
      </c>
      <c r="D3367" s="14">
        <v>0.3404761</v>
      </c>
      <c r="E3367" s="14">
        <v>0.71352959999999999</v>
      </c>
      <c r="F3367" s="14">
        <v>3.7469799999999998E-2</v>
      </c>
      <c r="G3367" s="14">
        <v>3.323858</v>
      </c>
      <c r="H3367" s="14">
        <v>0.15817200000000001</v>
      </c>
      <c r="R3367" s="11">
        <f t="shared" si="106"/>
        <v>1.0332093803593233E-4</v>
      </c>
      <c r="Z3367" s="11">
        <f t="shared" si="105"/>
        <v>1.2709479966906132E-4</v>
      </c>
    </row>
    <row r="3368" spans="1:26" x14ac:dyDescent="0.2">
      <c r="A3368" s="45">
        <v>583</v>
      </c>
      <c r="B3368" s="45">
        <v>2004</v>
      </c>
      <c r="C3368" s="17">
        <v>0</v>
      </c>
      <c r="D3368" s="14">
        <v>0.32905970000000001</v>
      </c>
      <c r="E3368" s="14">
        <v>0.62737719999999997</v>
      </c>
      <c r="F3368" s="14">
        <v>1.7831699999999999E-2</v>
      </c>
      <c r="G3368" s="14">
        <v>3.7182919999999999</v>
      </c>
      <c r="H3368" s="14">
        <v>0.1836324</v>
      </c>
      <c r="R3368" s="11">
        <f t="shared" si="106"/>
        <v>7.3087418892192702E-5</v>
      </c>
      <c r="Z3368" s="11">
        <f t="shared" si="105"/>
        <v>8.7446100721613303E-5</v>
      </c>
    </row>
    <row r="3369" spans="1:26" x14ac:dyDescent="0.2">
      <c r="A3369" s="45">
        <v>584</v>
      </c>
      <c r="B3369" s="45">
        <v>1995</v>
      </c>
      <c r="C3369" s="17">
        <v>0</v>
      </c>
      <c r="D3369" s="14">
        <v>0.28414859999999997</v>
      </c>
      <c r="E3369" s="14">
        <v>0.22620129999999999</v>
      </c>
      <c r="F3369" s="14">
        <v>6.9597999999999993E-2</v>
      </c>
      <c r="G3369" s="14">
        <v>2.602392</v>
      </c>
      <c r="H3369" s="14">
        <v>0.45804489999999998</v>
      </c>
      <c r="R3369" s="11">
        <f t="shared" si="106"/>
        <v>5.122153260083978E-4</v>
      </c>
      <c r="Z3369" s="11">
        <f t="shared" si="105"/>
        <v>6.4628928122567131E-4</v>
      </c>
    </row>
    <row r="3370" spans="1:26" x14ac:dyDescent="0.2">
      <c r="A3370" s="45">
        <v>584</v>
      </c>
      <c r="B3370" s="45">
        <v>1996</v>
      </c>
      <c r="C3370" s="17">
        <v>0</v>
      </c>
      <c r="D3370" s="14">
        <v>0.3091641</v>
      </c>
      <c r="E3370" s="14">
        <v>0.19779169999999999</v>
      </c>
      <c r="F3370" s="14">
        <v>3.2172199999999998E-2</v>
      </c>
      <c r="G3370" s="14">
        <v>1.023331</v>
      </c>
      <c r="H3370" s="14">
        <v>0.3496089</v>
      </c>
      <c r="R3370" s="11">
        <f t="shared" si="106"/>
        <v>8.8434860831591404E-3</v>
      </c>
      <c r="Z3370" s="11">
        <f t="shared" si="105"/>
        <v>1.1168421982636234E-2</v>
      </c>
    </row>
    <row r="3371" spans="1:26" x14ac:dyDescent="0.2">
      <c r="A3371" s="45">
        <v>584</v>
      </c>
      <c r="B3371" s="45">
        <v>1997</v>
      </c>
      <c r="C3371" s="17">
        <v>0</v>
      </c>
      <c r="D3371" s="14">
        <v>0.29052050000000001</v>
      </c>
      <c r="E3371" s="14">
        <v>0.2274591</v>
      </c>
      <c r="F3371" s="14">
        <v>7.3396199999999995E-2</v>
      </c>
      <c r="G3371" s="14">
        <v>1.4141570000000001</v>
      </c>
      <c r="H3371" s="14">
        <v>0.40716639999999998</v>
      </c>
      <c r="R3371" s="11">
        <f t="shared" si="106"/>
        <v>3.285650399569955E-3</v>
      </c>
      <c r="Z3371" s="11">
        <f t="shared" si="105"/>
        <v>4.2654189096554586E-3</v>
      </c>
    </row>
    <row r="3372" spans="1:26" x14ac:dyDescent="0.2">
      <c r="A3372" s="45">
        <v>584</v>
      </c>
      <c r="B3372" s="45">
        <v>1998</v>
      </c>
      <c r="C3372" s="17">
        <v>0</v>
      </c>
      <c r="D3372" s="14">
        <v>0.29918479999999997</v>
      </c>
      <c r="E3372" s="14">
        <v>0.25568930000000001</v>
      </c>
      <c r="F3372" s="14">
        <v>8.5171300000000005E-2</v>
      </c>
      <c r="G3372" s="14">
        <v>1.627807</v>
      </c>
      <c r="H3372" s="14">
        <v>0.43781710000000001</v>
      </c>
      <c r="R3372" s="11">
        <f t="shared" si="106"/>
        <v>2.044392697265085E-3</v>
      </c>
      <c r="Z3372" s="11">
        <f t="shared" si="105"/>
        <v>2.6707171497960583E-3</v>
      </c>
    </row>
    <row r="3373" spans="1:26" x14ac:dyDescent="0.2">
      <c r="A3373" s="45">
        <v>584</v>
      </c>
      <c r="B3373" s="45">
        <v>1999</v>
      </c>
      <c r="C3373" s="17">
        <v>0</v>
      </c>
      <c r="D3373" s="14">
        <v>0.28564460000000003</v>
      </c>
      <c r="E3373" s="14">
        <v>0.25599319999999998</v>
      </c>
      <c r="F3373" s="14">
        <v>7.7493099999999995E-2</v>
      </c>
      <c r="G3373" s="14">
        <v>1.5830139999999999</v>
      </c>
      <c r="H3373" s="14">
        <v>0.43592439999999999</v>
      </c>
      <c r="R3373" s="11">
        <f t="shared" si="106"/>
        <v>2.3330347030213606E-3</v>
      </c>
      <c r="Z3373" s="11">
        <f t="shared" si="105"/>
        <v>3.0314668913853683E-3</v>
      </c>
    </row>
    <row r="3374" spans="1:26" x14ac:dyDescent="0.2">
      <c r="A3374" s="45">
        <v>584</v>
      </c>
      <c r="B3374" s="45">
        <v>2000</v>
      </c>
      <c r="C3374" s="17">
        <v>0</v>
      </c>
      <c r="D3374" s="14">
        <v>0.28921649999999999</v>
      </c>
      <c r="E3374" s="14">
        <v>0.1987506</v>
      </c>
      <c r="F3374" s="14">
        <v>8.2819599999999993E-2</v>
      </c>
      <c r="G3374" s="14">
        <v>1.3529169999999999</v>
      </c>
      <c r="H3374" s="14">
        <v>0.34755770000000002</v>
      </c>
      <c r="R3374" s="11">
        <f t="shared" si="106"/>
        <v>3.5018933095767859E-3</v>
      </c>
      <c r="Z3374" s="11">
        <f t="shared" si="105"/>
        <v>4.5826014612707451E-3</v>
      </c>
    </row>
    <row r="3375" spans="1:26" x14ac:dyDescent="0.2">
      <c r="A3375" s="45">
        <v>584</v>
      </c>
      <c r="B3375" s="45">
        <v>2001</v>
      </c>
      <c r="C3375" s="17">
        <v>0</v>
      </c>
      <c r="D3375" s="14">
        <v>0.32508199999999998</v>
      </c>
      <c r="E3375" s="14">
        <v>0.2474508</v>
      </c>
      <c r="F3375" s="14">
        <v>8.8138900000000006E-2</v>
      </c>
      <c r="G3375" s="14">
        <v>1.9573149999999999</v>
      </c>
      <c r="H3375" s="14">
        <v>0.3640352</v>
      </c>
      <c r="R3375" s="11">
        <f t="shared" si="106"/>
        <v>1.1961275741134943E-3</v>
      </c>
      <c r="Z3375" s="11">
        <f t="shared" si="105"/>
        <v>1.5550348058295889E-3</v>
      </c>
    </row>
    <row r="3376" spans="1:26" x14ac:dyDescent="0.2">
      <c r="A3376" s="45">
        <v>584</v>
      </c>
      <c r="B3376" s="45">
        <v>2002</v>
      </c>
      <c r="C3376" s="17">
        <v>0</v>
      </c>
      <c r="D3376" s="14">
        <v>0.25920300000000002</v>
      </c>
      <c r="E3376" s="14">
        <v>0.25443080000000001</v>
      </c>
      <c r="F3376" s="14">
        <v>7.1182599999999999E-2</v>
      </c>
      <c r="G3376" s="14">
        <v>1.1669959999999999</v>
      </c>
      <c r="H3376" s="14">
        <v>0.3387656</v>
      </c>
      <c r="R3376" s="11">
        <f t="shared" si="106"/>
        <v>4.7609489724684149E-3</v>
      </c>
      <c r="Z3376" s="11">
        <f t="shared" si="105"/>
        <v>6.2059352284405721E-3</v>
      </c>
    </row>
    <row r="3377" spans="1:26" x14ac:dyDescent="0.2">
      <c r="A3377" s="45">
        <v>584</v>
      </c>
      <c r="B3377" s="45">
        <v>2003</v>
      </c>
      <c r="C3377" s="17">
        <v>0</v>
      </c>
      <c r="D3377" s="14">
        <v>0.30799530000000003</v>
      </c>
      <c r="E3377" s="14">
        <v>0.3019056</v>
      </c>
      <c r="F3377" s="14">
        <v>5.17151E-2</v>
      </c>
      <c r="G3377" s="14">
        <v>1.2248779999999999</v>
      </c>
      <c r="H3377" s="14">
        <v>0.3622264</v>
      </c>
      <c r="R3377" s="11">
        <f t="shared" si="106"/>
        <v>4.7347327544458584E-3</v>
      </c>
      <c r="Z3377" s="11">
        <f t="shared" si="105"/>
        <v>6.076829534669378E-3</v>
      </c>
    </row>
    <row r="3378" spans="1:26" x14ac:dyDescent="0.2">
      <c r="A3378" s="45">
        <v>585</v>
      </c>
      <c r="B3378" s="45">
        <v>1995</v>
      </c>
      <c r="C3378" s="17">
        <v>0</v>
      </c>
      <c r="D3378" s="14">
        <v>0.2153534</v>
      </c>
      <c r="E3378" s="14">
        <v>0.34901280000000001</v>
      </c>
      <c r="F3378" s="14">
        <v>0.1155482</v>
      </c>
      <c r="G3378" s="14">
        <v>1.552216</v>
      </c>
      <c r="H3378" s="14">
        <v>0.32311479999999998</v>
      </c>
      <c r="R3378" s="11">
        <f t="shared" si="106"/>
        <v>1.579876357262425E-3</v>
      </c>
      <c r="Z3378" s="11">
        <f t="shared" si="105"/>
        <v>2.1264127348354866E-3</v>
      </c>
    </row>
    <row r="3379" spans="1:26" x14ac:dyDescent="0.2">
      <c r="A3379" s="45">
        <v>585</v>
      </c>
      <c r="B3379" s="45">
        <v>1996</v>
      </c>
      <c r="C3379" s="17">
        <v>0</v>
      </c>
      <c r="D3379" s="14">
        <v>0.20965790000000001</v>
      </c>
      <c r="E3379" s="14">
        <v>0.33074409999999999</v>
      </c>
      <c r="F3379" s="14">
        <v>0.1273687</v>
      </c>
      <c r="G3379" s="14">
        <v>0.81711060000000002</v>
      </c>
      <c r="H3379" s="14">
        <v>0.35714980000000002</v>
      </c>
      <c r="R3379" s="11">
        <f t="shared" si="106"/>
        <v>4.747597518867803E-3</v>
      </c>
      <c r="Z3379" s="11">
        <f t="shared" si="105"/>
        <v>6.5451177514456466E-3</v>
      </c>
    </row>
    <row r="3380" spans="1:26" x14ac:dyDescent="0.2">
      <c r="A3380" s="45">
        <v>585</v>
      </c>
      <c r="B3380" s="45">
        <v>1997</v>
      </c>
      <c r="C3380" s="17">
        <v>0</v>
      </c>
      <c r="D3380" s="14">
        <v>0.33537050000000002</v>
      </c>
      <c r="E3380" s="14">
        <v>0.4685105</v>
      </c>
      <c r="F3380" s="14">
        <v>7.88885E-2</v>
      </c>
      <c r="G3380" s="14">
        <v>2.0769069999999998</v>
      </c>
      <c r="H3380" s="14">
        <v>0.33363870000000001</v>
      </c>
      <c r="R3380" s="11">
        <f t="shared" si="106"/>
        <v>7.7221031640098046E-4</v>
      </c>
      <c r="Z3380" s="11">
        <f t="shared" si="105"/>
        <v>1.0014022548440508E-3</v>
      </c>
    </row>
    <row r="3381" spans="1:26" x14ac:dyDescent="0.2">
      <c r="A3381" s="45">
        <v>585</v>
      </c>
      <c r="B3381" s="45">
        <v>1998</v>
      </c>
      <c r="C3381" s="17">
        <v>0</v>
      </c>
      <c r="D3381" s="14">
        <v>0.26650459999999998</v>
      </c>
      <c r="E3381" s="14">
        <v>0.4136532</v>
      </c>
      <c r="F3381" s="14">
        <v>4.1357400000000002E-2</v>
      </c>
      <c r="G3381" s="14">
        <v>1.0888720000000001</v>
      </c>
      <c r="H3381" s="14">
        <v>0.3011315</v>
      </c>
      <c r="R3381" s="11">
        <f t="shared" si="106"/>
        <v>5.426729597135505E-3</v>
      </c>
      <c r="Z3381" s="11">
        <f t="shared" si="105"/>
        <v>6.9521025187051725E-3</v>
      </c>
    </row>
    <row r="3382" spans="1:26" x14ac:dyDescent="0.2">
      <c r="A3382" s="45">
        <v>586</v>
      </c>
      <c r="B3382" s="45">
        <v>2004</v>
      </c>
      <c r="C3382" s="17">
        <v>0</v>
      </c>
      <c r="D3382" s="14">
        <v>-3.7901499999999998E-2</v>
      </c>
      <c r="E3382" s="14">
        <v>0.29685349999999999</v>
      </c>
      <c r="F3382" s="14">
        <v>2.77851E-2</v>
      </c>
      <c r="G3382" s="14">
        <v>0.41161370000000003</v>
      </c>
      <c r="H3382" s="14">
        <v>0.1991531</v>
      </c>
      <c r="R3382" s="11">
        <f t="shared" si="106"/>
        <v>2.0768973406197825E-2</v>
      </c>
      <c r="Z3382" s="11">
        <f t="shared" si="105"/>
        <v>2.6486421093391152E-2</v>
      </c>
    </row>
    <row r="3383" spans="1:26" x14ac:dyDescent="0.2">
      <c r="A3383" s="45">
        <v>587</v>
      </c>
      <c r="B3383" s="45">
        <v>1995</v>
      </c>
      <c r="C3383" s="17">
        <v>0</v>
      </c>
      <c r="D3383" s="14">
        <v>0.48960229999999999</v>
      </c>
      <c r="E3383" s="14">
        <v>0.37949929999999998</v>
      </c>
      <c r="F3383" s="14">
        <v>8.0890199999999995E-2</v>
      </c>
      <c r="G3383" s="14">
        <v>1.596867</v>
      </c>
      <c r="H3383" s="14">
        <v>0.65100880000000005</v>
      </c>
      <c r="R3383" s="11">
        <f t="shared" si="106"/>
        <v>1.856730391031573E-3</v>
      </c>
      <c r="Z3383" s="11">
        <f t="shared" si="105"/>
        <v>2.429130541657114E-3</v>
      </c>
    </row>
    <row r="3384" spans="1:26" x14ac:dyDescent="0.2">
      <c r="A3384" s="45">
        <v>587</v>
      </c>
      <c r="B3384" s="45">
        <v>1996</v>
      </c>
      <c r="C3384" s="17">
        <v>0</v>
      </c>
      <c r="D3384" s="14">
        <v>0.38848339999999998</v>
      </c>
      <c r="E3384" s="14">
        <v>0.2967265</v>
      </c>
      <c r="F3384" s="14">
        <v>5.8426400000000003E-2</v>
      </c>
      <c r="G3384" s="14">
        <v>1.763671</v>
      </c>
      <c r="H3384" s="14">
        <v>0.4118579</v>
      </c>
      <c r="R3384" s="11">
        <f t="shared" si="106"/>
        <v>1.9212522502828607E-3</v>
      </c>
      <c r="Z3384" s="11">
        <f t="shared" si="105"/>
        <v>2.4517731667932272E-3</v>
      </c>
    </row>
    <row r="3385" spans="1:26" x14ac:dyDescent="0.2">
      <c r="A3385" s="45">
        <v>587</v>
      </c>
      <c r="B3385" s="45">
        <v>1997</v>
      </c>
      <c r="C3385" s="17">
        <v>0</v>
      </c>
      <c r="D3385" s="14">
        <v>0.43275780000000003</v>
      </c>
      <c r="E3385" s="14">
        <v>0.31948579999999999</v>
      </c>
      <c r="F3385" s="14">
        <v>6.5560400000000005E-2</v>
      </c>
      <c r="G3385" s="14">
        <v>2.68275</v>
      </c>
      <c r="H3385" s="14">
        <v>0.314581</v>
      </c>
      <c r="R3385" s="11">
        <f t="shared" si="106"/>
        <v>4.06446489206267E-4</v>
      </c>
      <c r="Z3385" s="11">
        <f t="shared" si="105"/>
        <v>5.118856703238676E-4</v>
      </c>
    </row>
    <row r="3386" spans="1:26" x14ac:dyDescent="0.2">
      <c r="A3386" s="45">
        <v>587</v>
      </c>
      <c r="B3386" s="45">
        <v>1998</v>
      </c>
      <c r="C3386" s="17">
        <v>0</v>
      </c>
      <c r="D3386" s="14">
        <v>0.42588100000000001</v>
      </c>
      <c r="E3386" s="14">
        <v>0.2643993</v>
      </c>
      <c r="F3386" s="14">
        <v>2.1570200000000001E-2</v>
      </c>
      <c r="G3386" s="14">
        <v>2.1791100000000001</v>
      </c>
      <c r="H3386" s="14">
        <v>0.31501299999999999</v>
      </c>
      <c r="R3386" s="11">
        <f t="shared" si="106"/>
        <v>1.3955407016279884E-3</v>
      </c>
      <c r="Z3386" s="11">
        <f t="shared" si="105"/>
        <v>1.7106352775197913E-3</v>
      </c>
    </row>
    <row r="3387" spans="1:26" x14ac:dyDescent="0.2">
      <c r="A3387" s="45">
        <v>587</v>
      </c>
      <c r="B3387" s="45">
        <v>1999</v>
      </c>
      <c r="C3387" s="17">
        <v>0</v>
      </c>
      <c r="D3387" s="14">
        <v>0.27130749999999998</v>
      </c>
      <c r="E3387" s="14">
        <v>0.3585603</v>
      </c>
      <c r="F3387" s="14">
        <v>3.1047100000000001E-2</v>
      </c>
      <c r="G3387" s="14">
        <v>1.6775359999999999</v>
      </c>
      <c r="H3387" s="14">
        <v>0.25750489999999998</v>
      </c>
      <c r="R3387" s="11">
        <f t="shared" si="106"/>
        <v>2.5061713619796595E-3</v>
      </c>
      <c r="Z3387" s="11">
        <f t="shared" si="105"/>
        <v>3.1394906928394655E-3</v>
      </c>
    </row>
    <row r="3388" spans="1:26" x14ac:dyDescent="0.2">
      <c r="A3388" s="45">
        <v>588</v>
      </c>
      <c r="B3388" s="45">
        <v>1995</v>
      </c>
      <c r="C3388" s="17">
        <v>0</v>
      </c>
      <c r="D3388" s="14">
        <v>0.15260309999999999</v>
      </c>
      <c r="E3388" s="14">
        <v>0.43364960000000002</v>
      </c>
      <c r="F3388" s="14">
        <v>4.0712600000000002E-2</v>
      </c>
      <c r="G3388" s="14">
        <v>1.1573599999999999</v>
      </c>
      <c r="H3388" s="14">
        <v>0.18858369999999999</v>
      </c>
      <c r="R3388" s="11">
        <f t="shared" si="106"/>
        <v>4.7538438939691381E-3</v>
      </c>
      <c r="Z3388" s="11">
        <f t="shared" si="105"/>
        <v>6.083061323142366E-3</v>
      </c>
    </row>
    <row r="3389" spans="1:26" x14ac:dyDescent="0.2">
      <c r="A3389" s="45">
        <v>588</v>
      </c>
      <c r="B3389" s="45">
        <v>1997</v>
      </c>
      <c r="C3389" s="17">
        <v>0</v>
      </c>
      <c r="D3389" s="14">
        <v>0.1967168</v>
      </c>
      <c r="E3389" s="14">
        <v>0.4454361</v>
      </c>
      <c r="F3389" s="14">
        <v>2.3474200000000001E-2</v>
      </c>
      <c r="G3389" s="14">
        <v>1.3120270000000001</v>
      </c>
      <c r="H3389" s="14">
        <v>6.9245500000000001E-2</v>
      </c>
      <c r="R3389" s="11">
        <f t="shared" si="106"/>
        <v>4.1945751147209887E-3</v>
      </c>
      <c r="Z3389" s="11">
        <f t="shared" si="105"/>
        <v>5.2775535957846498E-3</v>
      </c>
    </row>
    <row r="3390" spans="1:26" x14ac:dyDescent="0.2">
      <c r="A3390" s="45">
        <v>588</v>
      </c>
      <c r="B3390" s="45">
        <v>1998</v>
      </c>
      <c r="C3390" s="17">
        <v>0</v>
      </c>
      <c r="D3390" s="14">
        <v>0.1438238</v>
      </c>
      <c r="E3390" s="14">
        <v>0.39838020000000002</v>
      </c>
      <c r="F3390" s="14">
        <v>2.4634099999999999E-2</v>
      </c>
      <c r="G3390" s="14">
        <v>1.136652</v>
      </c>
      <c r="H3390" s="14">
        <v>0.1194043</v>
      </c>
      <c r="R3390" s="11">
        <f t="shared" si="106"/>
        <v>5.8750922102719658E-3</v>
      </c>
      <c r="Z3390" s="11">
        <f t="shared" si="105"/>
        <v>7.4122417044189025E-3</v>
      </c>
    </row>
    <row r="3391" spans="1:26" x14ac:dyDescent="0.2">
      <c r="A3391" s="45">
        <v>588</v>
      </c>
      <c r="B3391" s="45">
        <v>1999</v>
      </c>
      <c r="C3391" s="17">
        <v>0</v>
      </c>
      <c r="D3391" s="14">
        <v>5.0816E-2</v>
      </c>
      <c r="E3391" s="14">
        <v>0.26072810000000002</v>
      </c>
      <c r="F3391" s="14">
        <v>3.5834299999999999E-2</v>
      </c>
      <c r="G3391" s="14">
        <v>1.0098199999999999</v>
      </c>
      <c r="H3391" s="14">
        <v>0.1195581</v>
      </c>
      <c r="R3391" s="11">
        <f t="shared" si="106"/>
        <v>8.0144336516227641E-3</v>
      </c>
      <c r="Z3391" s="11">
        <f t="shared" si="105"/>
        <v>1.0178466995877178E-2</v>
      </c>
    </row>
    <row r="3392" spans="1:26" x14ac:dyDescent="0.2">
      <c r="A3392" s="45">
        <v>588</v>
      </c>
      <c r="B3392" s="45">
        <v>2000</v>
      </c>
      <c r="C3392" s="17">
        <v>0</v>
      </c>
      <c r="D3392" s="14">
        <v>6.1120099999999997E-2</v>
      </c>
      <c r="E3392" s="14">
        <v>0.25539040000000002</v>
      </c>
      <c r="F3392" s="14">
        <v>3.25721E-2</v>
      </c>
      <c r="G3392" s="14">
        <v>1.2200610000000001</v>
      </c>
      <c r="H3392" s="14">
        <v>0.13151119999999999</v>
      </c>
      <c r="R3392" s="11">
        <f t="shared" si="106"/>
        <v>5.9426034648984204E-3</v>
      </c>
      <c r="Z3392" s="11">
        <f t="shared" si="105"/>
        <v>7.4955633502950232E-3</v>
      </c>
    </row>
    <row r="3393" spans="1:26" x14ac:dyDescent="0.2">
      <c r="A3393" s="45">
        <v>589</v>
      </c>
      <c r="B3393" s="45">
        <v>1995</v>
      </c>
      <c r="C3393" s="17">
        <v>0</v>
      </c>
      <c r="D3393" s="14">
        <v>4.75533E-2</v>
      </c>
      <c r="E3393" s="14">
        <v>0.12555259999999999</v>
      </c>
      <c r="F3393" s="14">
        <v>3.4552600000000003E-2</v>
      </c>
      <c r="G3393" s="14">
        <v>1.0990200000000001</v>
      </c>
      <c r="H3393" s="14">
        <v>0.1074991</v>
      </c>
      <c r="R3393" s="11">
        <f t="shared" si="106"/>
        <v>8.5451234330318603E-3</v>
      </c>
      <c r="Z3393" s="11">
        <f t="shared" si="105"/>
        <v>1.0769101493234685E-2</v>
      </c>
    </row>
    <row r="3394" spans="1:26" x14ac:dyDescent="0.2">
      <c r="A3394" s="45">
        <v>589</v>
      </c>
      <c r="B3394" s="45">
        <v>1996</v>
      </c>
      <c r="C3394" s="17">
        <v>0</v>
      </c>
      <c r="D3394" s="14">
        <v>2.8281799999999999E-2</v>
      </c>
      <c r="E3394" s="14">
        <v>0.1140007</v>
      </c>
      <c r="F3394" s="14">
        <v>5.24004E-2</v>
      </c>
      <c r="G3394" s="14">
        <v>1.5488949999999999</v>
      </c>
      <c r="H3394" s="14">
        <v>0.12718189999999999</v>
      </c>
      <c r="R3394" s="11">
        <f t="shared" si="106"/>
        <v>3.6963737592206609E-3</v>
      </c>
      <c r="Z3394" s="11">
        <f t="shared" ref="Z3394:Z3457" si="107">1/(1+EXP(-(U$2+$V$2*E3394+$W$2*F3394+$X$2*G3394)))</f>
        <v>4.6844710434651255E-3</v>
      </c>
    </row>
    <row r="3395" spans="1:26" x14ac:dyDescent="0.2">
      <c r="A3395" s="45">
        <v>589</v>
      </c>
      <c r="B3395" s="45">
        <v>1997</v>
      </c>
      <c r="C3395" s="17">
        <v>0</v>
      </c>
      <c r="D3395" s="14">
        <v>3.3825399999999999E-2</v>
      </c>
      <c r="E3395" s="14">
        <v>0.13809199999999999</v>
      </c>
      <c r="F3395" s="14">
        <v>5.6373800000000002E-2</v>
      </c>
      <c r="G3395" s="14">
        <v>1.782009</v>
      </c>
      <c r="H3395" s="14">
        <v>0.1240902</v>
      </c>
      <c r="R3395" s="11">
        <f t="shared" si="106"/>
        <v>2.3877775364798152E-3</v>
      </c>
      <c r="Z3395" s="11">
        <f t="shared" si="107"/>
        <v>3.0239604607323464E-3</v>
      </c>
    </row>
    <row r="3396" spans="1:26" x14ac:dyDescent="0.2">
      <c r="A3396" s="45">
        <v>589</v>
      </c>
      <c r="B3396" s="45">
        <v>1998</v>
      </c>
      <c r="C3396" s="17">
        <v>0</v>
      </c>
      <c r="D3396" s="14">
        <v>-1.5994899999999999E-2</v>
      </c>
      <c r="E3396" s="14">
        <v>9.1336600000000004E-2</v>
      </c>
      <c r="F3396" s="14">
        <v>-0.21019099999999999</v>
      </c>
      <c r="G3396" s="14">
        <v>0.50486699999999995</v>
      </c>
      <c r="H3396" s="14">
        <v>0.11716219999999999</v>
      </c>
      <c r="R3396" s="11">
        <f t="shared" si="106"/>
        <v>0.14191139139450212</v>
      </c>
      <c r="Z3396" s="11">
        <f t="shared" si="107"/>
        <v>0.14746249800159406</v>
      </c>
    </row>
    <row r="3397" spans="1:26" x14ac:dyDescent="0.2">
      <c r="A3397" s="45">
        <v>589</v>
      </c>
      <c r="B3397" s="45">
        <v>1999</v>
      </c>
      <c r="C3397" s="17">
        <v>0</v>
      </c>
      <c r="D3397" s="14">
        <v>9.0305999999999997E-3</v>
      </c>
      <c r="E3397" s="14">
        <v>-0.16882730000000001</v>
      </c>
      <c r="F3397" s="14">
        <v>5.6762199999999999E-2</v>
      </c>
      <c r="G3397" s="14">
        <v>0.71825059999999996</v>
      </c>
      <c r="H3397" s="14">
        <v>0.1246558</v>
      </c>
      <c r="R3397" s="11">
        <f t="shared" si="106"/>
        <v>1.9905708709871607E-2</v>
      </c>
      <c r="Z3397" s="11">
        <f t="shared" si="107"/>
        <v>2.5417375611822626E-2</v>
      </c>
    </row>
    <row r="3398" spans="1:26" x14ac:dyDescent="0.2">
      <c r="A3398" s="45">
        <v>589</v>
      </c>
      <c r="B3398" s="45">
        <v>2000</v>
      </c>
      <c r="C3398" s="17">
        <v>0</v>
      </c>
      <c r="D3398" s="14">
        <v>1.6385500000000001E-2</v>
      </c>
      <c r="E3398" s="14">
        <v>-8.98336E-2</v>
      </c>
      <c r="F3398" s="14">
        <v>8.5164299999999998E-2</v>
      </c>
      <c r="G3398" s="14">
        <v>1.7152559999999999</v>
      </c>
      <c r="H3398" s="14">
        <v>0.1341502</v>
      </c>
      <c r="R3398" s="11">
        <f t="shared" si="106"/>
        <v>2.9367437568626393E-3</v>
      </c>
      <c r="Z3398" s="11">
        <f t="shared" si="107"/>
        <v>3.7831292229293864E-3</v>
      </c>
    </row>
    <row r="3399" spans="1:26" x14ac:dyDescent="0.2">
      <c r="A3399" s="45">
        <v>589</v>
      </c>
      <c r="B3399" s="45">
        <v>2001</v>
      </c>
      <c r="C3399" s="17">
        <v>0</v>
      </c>
      <c r="D3399" s="14">
        <v>1.6442E-3</v>
      </c>
      <c r="E3399" s="14">
        <v>-4.5234000000000003E-3</v>
      </c>
      <c r="F3399" s="14">
        <v>3.8293000000000001E-2</v>
      </c>
      <c r="G3399" s="14">
        <v>1.690464</v>
      </c>
      <c r="H3399" s="14">
        <v>9.1414300000000004E-2</v>
      </c>
      <c r="R3399" s="11">
        <f t="shared" si="106"/>
        <v>3.9224021654007332E-3</v>
      </c>
      <c r="Z3399" s="11">
        <f t="shared" si="107"/>
        <v>4.8787680492778443E-3</v>
      </c>
    </row>
    <row r="3400" spans="1:26" x14ac:dyDescent="0.2">
      <c r="A3400" s="45">
        <v>589</v>
      </c>
      <c r="B3400" s="45">
        <v>2002</v>
      </c>
      <c r="C3400" s="17">
        <v>0</v>
      </c>
      <c r="D3400" s="14">
        <v>1.04653E-2</v>
      </c>
      <c r="E3400" s="14">
        <v>1.0131599999999999E-2</v>
      </c>
      <c r="F3400" s="14">
        <v>7.2766700000000004E-2</v>
      </c>
      <c r="G3400" s="14">
        <v>1.540934</v>
      </c>
      <c r="H3400" s="14">
        <v>0.1165834</v>
      </c>
      <c r="R3400" s="11">
        <f t="shared" si="106"/>
        <v>3.6993327981863608E-3</v>
      </c>
      <c r="Z3400" s="11">
        <f t="shared" si="107"/>
        <v>4.7507328841982725E-3</v>
      </c>
    </row>
    <row r="3401" spans="1:26" x14ac:dyDescent="0.2">
      <c r="A3401" s="45">
        <v>590</v>
      </c>
      <c r="B3401" s="45">
        <v>1995</v>
      </c>
      <c r="C3401" s="17">
        <v>0</v>
      </c>
      <c r="D3401" s="14">
        <v>0.11048910000000001</v>
      </c>
      <c r="E3401" s="14">
        <v>-7.1230100000000005E-2</v>
      </c>
      <c r="F3401" s="14">
        <v>9.8848900000000003E-2</v>
      </c>
      <c r="G3401" s="14">
        <v>3.5334720000000002</v>
      </c>
      <c r="H3401" s="14">
        <v>0.46629029999999999</v>
      </c>
      <c r="R3401" s="11">
        <f t="shared" si="106"/>
        <v>1.4171864591263445E-4</v>
      </c>
      <c r="Z3401" s="11">
        <f t="shared" si="107"/>
        <v>1.7763351831122853E-4</v>
      </c>
    </row>
    <row r="3402" spans="1:26" x14ac:dyDescent="0.2">
      <c r="A3402" s="45">
        <v>590</v>
      </c>
      <c r="B3402" s="45">
        <v>1996</v>
      </c>
      <c r="C3402" s="17">
        <v>0</v>
      </c>
      <c r="D3402" s="14">
        <v>0.16818159999999999</v>
      </c>
      <c r="E3402" s="14">
        <v>7.8109399999999996E-2</v>
      </c>
      <c r="F3402" s="14">
        <v>0.10859439999999999</v>
      </c>
      <c r="G3402" s="14">
        <v>6.3452849999999996</v>
      </c>
      <c r="H3402" s="14">
        <v>0.4991023</v>
      </c>
      <c r="R3402" s="11">
        <f t="shared" si="106"/>
        <v>1.1948226852655076E-6</v>
      </c>
      <c r="Z3402" s="11">
        <f t="shared" si="107"/>
        <v>1.426322780954816E-6</v>
      </c>
    </row>
    <row r="3403" spans="1:26" x14ac:dyDescent="0.2">
      <c r="A3403" s="45">
        <v>590</v>
      </c>
      <c r="B3403" s="45">
        <v>1997</v>
      </c>
      <c r="C3403" s="17">
        <v>0</v>
      </c>
      <c r="D3403" s="14">
        <v>0.2090021</v>
      </c>
      <c r="E3403" s="14">
        <v>0.22445000000000001</v>
      </c>
      <c r="F3403" s="14">
        <v>0.1900568</v>
      </c>
      <c r="G3403" s="14">
        <v>10.95776</v>
      </c>
      <c r="H3403" s="14">
        <v>1.006103</v>
      </c>
      <c r="R3403" s="11">
        <f t="shared" si="106"/>
        <v>3.2333575040785146E-10</v>
      </c>
      <c r="Z3403" s="11">
        <f t="shared" si="107"/>
        <v>3.7465709837190402E-10</v>
      </c>
    </row>
    <row r="3404" spans="1:26" x14ac:dyDescent="0.2">
      <c r="A3404" s="45">
        <v>590</v>
      </c>
      <c r="B3404" s="45">
        <v>1998</v>
      </c>
      <c r="C3404" s="17">
        <v>0</v>
      </c>
      <c r="D3404" s="14">
        <v>0.10743850000000001</v>
      </c>
      <c r="E3404" s="14">
        <v>7.2230000000000005E-4</v>
      </c>
      <c r="F3404" s="14">
        <v>7.0521200000000006E-2</v>
      </c>
      <c r="G3404" s="14">
        <v>2.3719299999999999</v>
      </c>
      <c r="H3404" s="14">
        <v>0.2115177</v>
      </c>
      <c r="R3404" s="11">
        <f t="shared" si="106"/>
        <v>1.0183794237874264E-3</v>
      </c>
      <c r="Z3404" s="11">
        <f t="shared" si="107"/>
        <v>1.2823416265674516E-3</v>
      </c>
    </row>
    <row r="3405" spans="1:26" x14ac:dyDescent="0.2">
      <c r="A3405" s="45">
        <v>590</v>
      </c>
      <c r="B3405" s="45">
        <v>1999</v>
      </c>
      <c r="C3405" s="17">
        <v>0</v>
      </c>
      <c r="D3405" s="14">
        <v>9.6994300000000006E-2</v>
      </c>
      <c r="E3405" s="14">
        <v>2.4186200000000001E-2</v>
      </c>
      <c r="F3405" s="14">
        <v>6.6303899999999999E-2</v>
      </c>
      <c r="G3405" s="14">
        <v>2.8334109999999999</v>
      </c>
      <c r="H3405" s="14">
        <v>0.23570489999999999</v>
      </c>
      <c r="R3405" s="11">
        <f t="shared" si="106"/>
        <v>4.8818890042419421E-4</v>
      </c>
      <c r="Z3405" s="11">
        <f t="shared" si="107"/>
        <v>6.0698737039646081E-4</v>
      </c>
    </row>
    <row r="3406" spans="1:26" x14ac:dyDescent="0.2">
      <c r="A3406" s="45">
        <v>590</v>
      </c>
      <c r="B3406" s="45">
        <v>2000</v>
      </c>
      <c r="C3406" s="17">
        <v>0</v>
      </c>
      <c r="D3406" s="14">
        <v>7.3366799999999996E-2</v>
      </c>
      <c r="E3406" s="14">
        <v>6.0584699999999998E-2</v>
      </c>
      <c r="F3406" s="14">
        <v>5.7647799999999999E-2</v>
      </c>
      <c r="G3406" s="14">
        <v>1.372204</v>
      </c>
      <c r="H3406" s="14">
        <v>0.2209624</v>
      </c>
      <c r="R3406" s="11">
        <f t="shared" si="106"/>
        <v>5.0694917585902537E-3</v>
      </c>
      <c r="Z3406" s="11">
        <f t="shared" si="107"/>
        <v>6.4629981430923775E-3</v>
      </c>
    </row>
    <row r="3407" spans="1:26" x14ac:dyDescent="0.2">
      <c r="A3407" s="45">
        <v>590</v>
      </c>
      <c r="B3407" s="45">
        <v>2001</v>
      </c>
      <c r="C3407" s="17">
        <v>0</v>
      </c>
      <c r="D3407" s="14">
        <v>6.9333900000000004E-2</v>
      </c>
      <c r="E3407" s="14">
        <v>7.2180900000000006E-2</v>
      </c>
      <c r="F3407" s="14">
        <v>6.8508700000000006E-2</v>
      </c>
      <c r="G3407" s="14">
        <v>2.0570569999999999</v>
      </c>
      <c r="H3407" s="14">
        <v>0.226242</v>
      </c>
      <c r="R3407" s="11">
        <f t="shared" si="106"/>
        <v>1.5398208384155045E-3</v>
      </c>
      <c r="Z3407" s="11">
        <f t="shared" si="107"/>
        <v>1.9536991643851454E-3</v>
      </c>
    </row>
    <row r="3408" spans="1:26" x14ac:dyDescent="0.2">
      <c r="A3408" s="45">
        <v>590</v>
      </c>
      <c r="B3408" s="45">
        <v>2002</v>
      </c>
      <c r="C3408" s="17">
        <v>0</v>
      </c>
      <c r="D3408" s="14">
        <v>1.5692000000000001E-2</v>
      </c>
      <c r="E3408" s="14">
        <v>-1.38643E-2</v>
      </c>
      <c r="F3408" s="14">
        <v>6.7399799999999996E-2</v>
      </c>
      <c r="G3408" s="14">
        <v>1.497139</v>
      </c>
      <c r="H3408" s="14">
        <v>0.24339849999999999</v>
      </c>
      <c r="R3408" s="11">
        <f t="shared" si="106"/>
        <v>4.2852391804479358E-3</v>
      </c>
      <c r="Z3408" s="11">
        <f t="shared" si="107"/>
        <v>5.4789952121750106E-3</v>
      </c>
    </row>
    <row r="3409" spans="1:26" x14ac:dyDescent="0.2">
      <c r="A3409" s="45">
        <v>590</v>
      </c>
      <c r="B3409" s="45">
        <v>2003</v>
      </c>
      <c r="C3409" s="17">
        <v>0</v>
      </c>
      <c r="D3409" s="14">
        <v>7.4828699999999998E-2</v>
      </c>
      <c r="E3409" s="14">
        <v>4.3723699999999997E-2</v>
      </c>
      <c r="F3409" s="14">
        <v>6.5092800000000006E-2</v>
      </c>
      <c r="G3409" s="14">
        <v>1.309515</v>
      </c>
      <c r="H3409" s="14">
        <v>0.2318163</v>
      </c>
      <c r="R3409" s="11">
        <f t="shared" si="106"/>
        <v>5.40738153084621E-3</v>
      </c>
      <c r="Z3409" s="11">
        <f t="shared" si="107"/>
        <v>6.9405556035931773E-3</v>
      </c>
    </row>
    <row r="3410" spans="1:26" x14ac:dyDescent="0.2">
      <c r="A3410" s="45">
        <v>590</v>
      </c>
      <c r="B3410" s="45">
        <v>2004</v>
      </c>
      <c r="C3410" s="17">
        <v>0</v>
      </c>
      <c r="D3410" s="14">
        <v>8.8633600000000007E-2</v>
      </c>
      <c r="E3410" s="14">
        <v>0.1168141</v>
      </c>
      <c r="F3410" s="14">
        <v>6.1485199999999997E-2</v>
      </c>
      <c r="G3410" s="14">
        <v>1.289145</v>
      </c>
      <c r="H3410" s="14">
        <v>0.24848239999999999</v>
      </c>
      <c r="R3410" s="11">
        <f t="shared" si="106"/>
        <v>5.170899613011452E-3</v>
      </c>
      <c r="Z3410" s="11">
        <f t="shared" si="107"/>
        <v>6.6374488121289732E-3</v>
      </c>
    </row>
    <row r="3411" spans="1:26" x14ac:dyDescent="0.2">
      <c r="A3411" s="45">
        <v>591</v>
      </c>
      <c r="B3411" s="45">
        <v>1995</v>
      </c>
      <c r="C3411" s="17">
        <v>0</v>
      </c>
      <c r="D3411" s="14">
        <v>0.38266430000000001</v>
      </c>
      <c r="E3411" s="14">
        <v>9.4944299999999995E-2</v>
      </c>
      <c r="F3411" s="14">
        <v>5.0637399999999999E-2</v>
      </c>
      <c r="G3411" s="14">
        <v>0.554871</v>
      </c>
      <c r="H3411" s="14">
        <v>0.35656690000000002</v>
      </c>
      <c r="R3411" s="11">
        <f t="shared" si="106"/>
        <v>1.8508956259272399E-2</v>
      </c>
      <c r="Z3411" s="11">
        <f t="shared" si="107"/>
        <v>2.3819713360025058E-2</v>
      </c>
    </row>
    <row r="3412" spans="1:26" x14ac:dyDescent="0.2">
      <c r="A3412" s="45">
        <v>591</v>
      </c>
      <c r="B3412" s="45">
        <v>1996</v>
      </c>
      <c r="C3412" s="17">
        <v>0</v>
      </c>
      <c r="D3412" s="14">
        <v>0.40853099999999998</v>
      </c>
      <c r="E3412" s="14">
        <v>0.1102697</v>
      </c>
      <c r="F3412" s="14">
        <v>6.4714099999999997E-2</v>
      </c>
      <c r="G3412" s="14">
        <v>0.6178247</v>
      </c>
      <c r="H3412" s="14">
        <v>0.36581019999999997</v>
      </c>
      <c r="R3412" s="11">
        <f t="shared" si="106"/>
        <v>1.4686594756666727E-2</v>
      </c>
      <c r="Z3412" s="11">
        <f t="shared" si="107"/>
        <v>1.9120987013631248E-2</v>
      </c>
    </row>
    <row r="3413" spans="1:26" x14ac:dyDescent="0.2">
      <c r="A3413" s="45">
        <v>591</v>
      </c>
      <c r="B3413" s="45">
        <v>1997</v>
      </c>
      <c r="C3413" s="17">
        <v>0</v>
      </c>
      <c r="D3413" s="14">
        <v>0.4029199</v>
      </c>
      <c r="E3413" s="14">
        <v>0.1181104</v>
      </c>
      <c r="F3413" s="14">
        <v>6.7863999999999994E-2</v>
      </c>
      <c r="G3413" s="14">
        <v>0.57017779999999996</v>
      </c>
      <c r="H3413" s="14">
        <v>0.36778509999999998</v>
      </c>
      <c r="R3413" s="11">
        <f t="shared" si="106"/>
        <v>1.5266779556816126E-2</v>
      </c>
      <c r="Z3413" s="11">
        <f t="shared" si="107"/>
        <v>1.9948922070165628E-2</v>
      </c>
    </row>
    <row r="3414" spans="1:26" x14ac:dyDescent="0.2">
      <c r="A3414" s="45">
        <v>591</v>
      </c>
      <c r="B3414" s="45">
        <v>1998</v>
      </c>
      <c r="C3414" s="17">
        <v>0</v>
      </c>
      <c r="D3414" s="14">
        <v>0.43291940000000001</v>
      </c>
      <c r="E3414" s="14">
        <v>0.1529259</v>
      </c>
      <c r="F3414" s="14">
        <v>5.9482800000000002E-2</v>
      </c>
      <c r="G3414" s="14">
        <v>0.55666800000000005</v>
      </c>
      <c r="H3414" s="14">
        <v>0.35732920000000001</v>
      </c>
      <c r="R3414" s="11">
        <f t="shared" si="106"/>
        <v>1.5847904585315979E-2</v>
      </c>
      <c r="Z3414" s="11">
        <f t="shared" si="107"/>
        <v>2.0595736809665265E-2</v>
      </c>
    </row>
    <row r="3415" spans="1:26" x14ac:dyDescent="0.2">
      <c r="A3415" s="45">
        <v>591</v>
      </c>
      <c r="B3415" s="45">
        <v>1999</v>
      </c>
      <c r="C3415" s="17">
        <v>0</v>
      </c>
      <c r="D3415" s="14">
        <v>0.42488969999999998</v>
      </c>
      <c r="E3415" s="14">
        <v>0.1889276</v>
      </c>
      <c r="F3415" s="14">
        <v>6.0414799999999998E-2</v>
      </c>
      <c r="G3415" s="14">
        <v>0.40753539999999999</v>
      </c>
      <c r="H3415" s="14">
        <v>0.3654037</v>
      </c>
      <c r="R3415" s="11">
        <f t="shared" ref="R3415:R3478" si="108">1/(1+EXP(-(K$2+$M$2*E3415+$N$2*F3415+$O$2*G3415)))</f>
        <v>1.8874498547675402E-2</v>
      </c>
      <c r="Z3415" s="11">
        <f t="shared" si="107"/>
        <v>2.463307167214716E-2</v>
      </c>
    </row>
    <row r="3416" spans="1:26" x14ac:dyDescent="0.2">
      <c r="A3416" s="45">
        <v>591</v>
      </c>
      <c r="B3416" s="45">
        <v>2000</v>
      </c>
      <c r="C3416" s="17">
        <v>0</v>
      </c>
      <c r="D3416" s="14">
        <v>0.37693939999999998</v>
      </c>
      <c r="E3416" s="14">
        <v>0.19685079999999999</v>
      </c>
      <c r="F3416" s="14">
        <v>8.0279400000000001E-2</v>
      </c>
      <c r="G3416" s="14">
        <v>0.43297629999999998</v>
      </c>
      <c r="H3416" s="14">
        <v>0.3749807</v>
      </c>
      <c r="R3416" s="11">
        <f t="shared" si="108"/>
        <v>1.5339741225616665E-2</v>
      </c>
      <c r="Z3416" s="11">
        <f t="shared" si="107"/>
        <v>2.0358451940445759E-2</v>
      </c>
    </row>
    <row r="3417" spans="1:26" x14ac:dyDescent="0.2">
      <c r="A3417" s="45">
        <v>591</v>
      </c>
      <c r="B3417" s="45">
        <v>2001</v>
      </c>
      <c r="C3417" s="17">
        <v>0</v>
      </c>
      <c r="D3417" s="14">
        <v>0.4865582</v>
      </c>
      <c r="E3417" s="14">
        <v>0.17911859999999999</v>
      </c>
      <c r="F3417" s="14">
        <v>5.4146399999999997E-2</v>
      </c>
      <c r="G3417" s="14">
        <v>0.42446309999999998</v>
      </c>
      <c r="H3417" s="14">
        <v>0.3134747</v>
      </c>
      <c r="R3417" s="11">
        <f t="shared" si="108"/>
        <v>1.9580223963544276E-2</v>
      </c>
      <c r="Z3417" s="11">
        <f t="shared" si="107"/>
        <v>2.5403338640079081E-2</v>
      </c>
    </row>
    <row r="3418" spans="1:26" x14ac:dyDescent="0.2">
      <c r="A3418" s="45">
        <v>591</v>
      </c>
      <c r="B3418" s="45">
        <v>2002</v>
      </c>
      <c r="C3418" s="17">
        <v>0</v>
      </c>
      <c r="D3418" s="14">
        <v>0.45162069999999999</v>
      </c>
      <c r="E3418" s="14">
        <v>0.175201</v>
      </c>
      <c r="F3418" s="14">
        <v>4.3331300000000003E-2</v>
      </c>
      <c r="G3418" s="14">
        <v>0.197293</v>
      </c>
      <c r="H3418" s="14">
        <v>0.28229029999999999</v>
      </c>
      <c r="R3418" s="11">
        <f t="shared" si="108"/>
        <v>3.0494586216442895E-2</v>
      </c>
      <c r="Z3418" s="11">
        <f t="shared" si="107"/>
        <v>3.9281941982763573E-2</v>
      </c>
    </row>
    <row r="3419" spans="1:26" x14ac:dyDescent="0.2">
      <c r="A3419" s="45">
        <v>591</v>
      </c>
      <c r="B3419" s="45">
        <v>2003</v>
      </c>
      <c r="C3419" s="17">
        <v>0</v>
      </c>
      <c r="D3419" s="14">
        <v>0.1924816</v>
      </c>
      <c r="E3419" s="14">
        <v>0.4123329</v>
      </c>
      <c r="F3419" s="14">
        <v>7.1695200000000001E-2</v>
      </c>
      <c r="G3419" s="14">
        <v>0.60399380000000003</v>
      </c>
      <c r="H3419" s="14">
        <v>0.47528280000000001</v>
      </c>
      <c r="R3419" s="11">
        <f t="shared" si="108"/>
        <v>9.2025260182416798E-3</v>
      </c>
      <c r="Z3419" s="11">
        <f t="shared" si="107"/>
        <v>1.2197044879149384E-2</v>
      </c>
    </row>
    <row r="3420" spans="1:26" x14ac:dyDescent="0.2">
      <c r="A3420" s="45">
        <v>591</v>
      </c>
      <c r="B3420" s="45">
        <v>2004</v>
      </c>
      <c r="C3420" s="17">
        <v>0</v>
      </c>
      <c r="D3420" s="14">
        <v>0.1710526</v>
      </c>
      <c r="E3420" s="14">
        <v>0.50965490000000002</v>
      </c>
      <c r="F3420" s="14">
        <v>6.32133E-2</v>
      </c>
      <c r="G3420" s="14">
        <v>0.66916640000000005</v>
      </c>
      <c r="H3420" s="14">
        <v>0.53410579999999996</v>
      </c>
      <c r="R3420" s="11">
        <f t="shared" si="108"/>
        <v>7.7172364180287572E-3</v>
      </c>
      <c r="Z3420" s="11">
        <f t="shared" si="107"/>
        <v>1.0182387888875318E-2</v>
      </c>
    </row>
    <row r="3421" spans="1:26" x14ac:dyDescent="0.2">
      <c r="A3421" s="45">
        <v>592</v>
      </c>
      <c r="B3421" s="45">
        <v>1995</v>
      </c>
      <c r="C3421" s="17">
        <v>0</v>
      </c>
      <c r="D3421" s="14">
        <v>3.5441599999999997E-2</v>
      </c>
      <c r="E3421" s="14">
        <v>0.1020794</v>
      </c>
      <c r="F3421" s="14">
        <v>5.80583E-2</v>
      </c>
      <c r="G3421" s="14">
        <v>0.92801480000000003</v>
      </c>
      <c r="H3421" s="14">
        <v>0.11047940000000001</v>
      </c>
      <c r="R3421" s="11">
        <f t="shared" si="108"/>
        <v>9.6109692138677625E-3</v>
      </c>
      <c r="Z3421" s="11">
        <f t="shared" si="107"/>
        <v>1.2377771612243507E-2</v>
      </c>
    </row>
    <row r="3422" spans="1:26" x14ac:dyDescent="0.2">
      <c r="A3422" s="45">
        <v>592</v>
      </c>
      <c r="B3422" s="45">
        <v>1996</v>
      </c>
      <c r="C3422" s="17">
        <v>0</v>
      </c>
      <c r="D3422" s="14">
        <v>4.1663100000000002E-2</v>
      </c>
      <c r="E3422" s="14">
        <v>0.1268736</v>
      </c>
      <c r="F3422" s="14">
        <v>4.0035099999999997E-2</v>
      </c>
      <c r="G3422" s="14">
        <v>1.033277</v>
      </c>
      <c r="H3422" s="14">
        <v>9.7584699999999996E-2</v>
      </c>
      <c r="R3422" s="11">
        <f t="shared" si="108"/>
        <v>9.0596790593859694E-3</v>
      </c>
      <c r="Z3422" s="11">
        <f t="shared" si="107"/>
        <v>1.1483800653979165E-2</v>
      </c>
    </row>
    <row r="3423" spans="1:26" x14ac:dyDescent="0.2">
      <c r="A3423" s="45">
        <v>592</v>
      </c>
      <c r="B3423" s="45">
        <v>1997</v>
      </c>
      <c r="C3423" s="17">
        <v>0</v>
      </c>
      <c r="D3423" s="14">
        <v>6.1834100000000003E-2</v>
      </c>
      <c r="E3423" s="14">
        <v>0.1209982</v>
      </c>
      <c r="F3423" s="14">
        <v>6.1831200000000003E-2</v>
      </c>
      <c r="G3423" s="14">
        <v>1.2713300000000001</v>
      </c>
      <c r="H3423" s="14">
        <v>8.7783100000000003E-2</v>
      </c>
      <c r="R3423" s="11">
        <f t="shared" si="108"/>
        <v>5.2723864594810058E-3</v>
      </c>
      <c r="Z3423" s="11">
        <f t="shared" si="107"/>
        <v>6.7730327442431073E-3</v>
      </c>
    </row>
    <row r="3424" spans="1:26" x14ac:dyDescent="0.2">
      <c r="A3424" s="45">
        <v>592</v>
      </c>
      <c r="B3424" s="45">
        <v>1998</v>
      </c>
      <c r="C3424" s="17">
        <v>0</v>
      </c>
      <c r="D3424" s="14">
        <v>7.59856E-2</v>
      </c>
      <c r="E3424" s="14">
        <v>0.12851770000000001</v>
      </c>
      <c r="F3424" s="14">
        <v>3.8415199999999997E-2</v>
      </c>
      <c r="G3424" s="14">
        <v>0.99216970000000004</v>
      </c>
      <c r="H3424" s="14">
        <v>9.0774199999999999E-2</v>
      </c>
      <c r="R3424" s="11">
        <f t="shared" si="108"/>
        <v>9.7687968859364906E-3</v>
      </c>
      <c r="Z3424" s="11">
        <f t="shared" si="107"/>
        <v>1.2375811225896571E-2</v>
      </c>
    </row>
    <row r="3425" spans="1:26" x14ac:dyDescent="0.2">
      <c r="A3425" s="45">
        <v>592</v>
      </c>
      <c r="B3425" s="45">
        <v>1999</v>
      </c>
      <c r="C3425" s="17">
        <v>0</v>
      </c>
      <c r="D3425" s="14">
        <v>1.9137999999999999E-2</v>
      </c>
      <c r="E3425" s="14">
        <v>9.4253000000000003E-2</v>
      </c>
      <c r="F3425" s="14">
        <v>2.3900399999999999E-2</v>
      </c>
      <c r="G3425" s="14">
        <v>0.2055756</v>
      </c>
      <c r="H3425" s="14">
        <v>7.1799799999999997E-2</v>
      </c>
      <c r="R3425" s="11">
        <f t="shared" si="108"/>
        <v>3.9191809685476336E-2</v>
      </c>
      <c r="Z3425" s="11">
        <f t="shared" si="107"/>
        <v>4.9459780665159207E-2</v>
      </c>
    </row>
    <row r="3426" spans="1:26" x14ac:dyDescent="0.2">
      <c r="A3426" s="45">
        <v>592</v>
      </c>
      <c r="B3426" s="45">
        <v>2000</v>
      </c>
      <c r="C3426" s="17">
        <v>0</v>
      </c>
      <c r="D3426" s="14">
        <v>4.47134E-2</v>
      </c>
      <c r="E3426" s="14">
        <v>-9.4888000000000004E-3</v>
      </c>
      <c r="F3426" s="14">
        <v>2.63684E-2</v>
      </c>
      <c r="G3426" s="14">
        <v>6.4169100000000007E-2</v>
      </c>
      <c r="H3426" s="14">
        <v>7.8213500000000005E-2</v>
      </c>
      <c r="R3426" s="11">
        <f t="shared" si="108"/>
        <v>5.5051496425800137E-2</v>
      </c>
      <c r="Z3426" s="11">
        <f t="shared" si="107"/>
        <v>6.927730988966839E-2</v>
      </c>
    </row>
    <row r="3427" spans="1:26" x14ac:dyDescent="0.2">
      <c r="A3427" s="45">
        <v>592</v>
      </c>
      <c r="B3427" s="45">
        <v>2001</v>
      </c>
      <c r="C3427" s="17">
        <v>0</v>
      </c>
      <c r="D3427" s="14">
        <v>4.6820899999999999E-2</v>
      </c>
      <c r="E3427" s="14">
        <v>-8.0237199999999995E-2</v>
      </c>
      <c r="F3427" s="14">
        <v>2.8888299999999999E-2</v>
      </c>
      <c r="G3427" s="14">
        <v>0.16573299999999999</v>
      </c>
      <c r="H3427" s="14">
        <v>7.8707799999999994E-2</v>
      </c>
      <c r="R3427" s="11">
        <f t="shared" si="108"/>
        <v>5.1076667233261541E-2</v>
      </c>
      <c r="Z3427" s="11">
        <f t="shared" si="107"/>
        <v>6.4189174051617476E-2</v>
      </c>
    </row>
    <row r="3428" spans="1:26" x14ac:dyDescent="0.2">
      <c r="A3428" s="45">
        <v>592</v>
      </c>
      <c r="B3428" s="45">
        <v>2002</v>
      </c>
      <c r="C3428" s="17">
        <v>0</v>
      </c>
      <c r="D3428" s="14">
        <v>5.9881700000000003E-2</v>
      </c>
      <c r="E3428" s="14">
        <v>-8.7387500000000007E-2</v>
      </c>
      <c r="F3428" s="14">
        <v>2.58765E-2</v>
      </c>
      <c r="G3428" s="14">
        <v>0.12957640000000001</v>
      </c>
      <c r="H3428" s="14">
        <v>8.3374599999999993E-2</v>
      </c>
      <c r="R3428" s="11">
        <f t="shared" si="108"/>
        <v>5.5730027116115646E-2</v>
      </c>
      <c r="Z3428" s="11">
        <f t="shared" si="107"/>
        <v>6.9824442159268807E-2</v>
      </c>
    </row>
    <row r="3429" spans="1:26" x14ac:dyDescent="0.2">
      <c r="A3429" s="45">
        <v>593</v>
      </c>
      <c r="B3429" s="45">
        <v>1995</v>
      </c>
      <c r="C3429" s="17">
        <v>0</v>
      </c>
      <c r="D3429" s="14">
        <v>0.2265353</v>
      </c>
      <c r="E3429" s="14">
        <v>0.2068459</v>
      </c>
      <c r="F3429" s="14">
        <v>0.1071242</v>
      </c>
      <c r="G3429" s="14">
        <v>0.35106379999999998</v>
      </c>
      <c r="H3429" s="14">
        <v>0.91352009999999995</v>
      </c>
      <c r="R3429" s="11">
        <f t="shared" si="108"/>
        <v>1.3917668707696503E-2</v>
      </c>
      <c r="Z3429" s="11">
        <f t="shared" si="107"/>
        <v>1.8923043908945582E-2</v>
      </c>
    </row>
    <row r="3430" spans="1:26" x14ac:dyDescent="0.2">
      <c r="A3430" s="45">
        <v>593</v>
      </c>
      <c r="B3430" s="45">
        <v>1996</v>
      </c>
      <c r="C3430" s="17">
        <v>0</v>
      </c>
      <c r="D3430" s="14">
        <v>0.26937179999999999</v>
      </c>
      <c r="E3430" s="14">
        <v>0.21129619999999999</v>
      </c>
      <c r="F3430" s="14">
        <v>9.6218600000000001E-2</v>
      </c>
      <c r="G3430" s="14">
        <v>0.2818657</v>
      </c>
      <c r="H3430" s="14">
        <v>0.83254019999999995</v>
      </c>
      <c r="R3430" s="11">
        <f t="shared" si="108"/>
        <v>1.6798189582557264E-2</v>
      </c>
      <c r="Z3430" s="11">
        <f t="shared" si="107"/>
        <v>2.2654183828145234E-2</v>
      </c>
    </row>
    <row r="3431" spans="1:26" x14ac:dyDescent="0.2">
      <c r="A3431" s="45">
        <v>593</v>
      </c>
      <c r="B3431" s="45">
        <v>1997</v>
      </c>
      <c r="C3431" s="17">
        <v>1</v>
      </c>
      <c r="D3431" s="14">
        <v>0.33965990000000001</v>
      </c>
      <c r="E3431" s="14">
        <v>0.17113719999999999</v>
      </c>
      <c r="F3431" s="14">
        <v>9.5745800000000006E-2</v>
      </c>
      <c r="G3431" s="14">
        <v>0.16033249999999999</v>
      </c>
      <c r="H3431" s="14">
        <v>0.77600309999999995</v>
      </c>
      <c r="R3431" s="11">
        <f t="shared" si="108"/>
        <v>2.1590081390105546E-2</v>
      </c>
      <c r="Z3431" s="11">
        <f t="shared" si="107"/>
        <v>2.9092941708037879E-2</v>
      </c>
    </row>
    <row r="3432" spans="1:26" x14ac:dyDescent="0.2">
      <c r="A3432" s="45">
        <v>594</v>
      </c>
      <c r="B3432" s="45">
        <v>1998</v>
      </c>
      <c r="C3432" s="17">
        <v>0</v>
      </c>
      <c r="D3432" s="14">
        <v>-2.2472999999999998E-3</v>
      </c>
      <c r="E3432" s="14">
        <v>9.3627199999999994E-2</v>
      </c>
      <c r="F3432" s="14">
        <v>5.7150699999999999E-2</v>
      </c>
      <c r="G3432" s="14">
        <v>3.3877380000000001</v>
      </c>
      <c r="H3432" s="14">
        <v>0.43609229999999999</v>
      </c>
      <c r="R3432" s="11">
        <f t="shared" si="108"/>
        <v>1.9634442991756971E-4</v>
      </c>
      <c r="Z3432" s="11">
        <f t="shared" si="107"/>
        <v>2.3994783090121254E-4</v>
      </c>
    </row>
    <row r="3433" spans="1:26" x14ac:dyDescent="0.2">
      <c r="A3433" s="45">
        <v>594</v>
      </c>
      <c r="B3433" s="45">
        <v>1999</v>
      </c>
      <c r="C3433" s="17">
        <v>0</v>
      </c>
      <c r="D3433" s="14">
        <v>6.7142199999999999E-2</v>
      </c>
      <c r="E3433" s="14">
        <v>9.7681299999999999E-2</v>
      </c>
      <c r="F3433" s="14">
        <v>6.5393099999999996E-2</v>
      </c>
      <c r="G3433" s="14">
        <v>1.4544649999999999</v>
      </c>
      <c r="H3433" s="14">
        <v>0.41868670000000002</v>
      </c>
      <c r="R3433" s="11">
        <f t="shared" si="108"/>
        <v>3.9644440801747194E-3</v>
      </c>
      <c r="Z3433" s="11">
        <f t="shared" si="107"/>
        <v>5.0850412283423574E-3</v>
      </c>
    </row>
    <row r="3434" spans="1:26" x14ac:dyDescent="0.2">
      <c r="A3434" s="45">
        <v>594</v>
      </c>
      <c r="B3434" s="45">
        <v>2001</v>
      </c>
      <c r="C3434" s="17">
        <v>0</v>
      </c>
      <c r="D3434" s="14">
        <v>0.1130512</v>
      </c>
      <c r="E3434" s="14">
        <v>0.1241097</v>
      </c>
      <c r="F3434" s="14">
        <v>5.4771599999999997E-2</v>
      </c>
      <c r="G3434" s="14">
        <v>1.702213</v>
      </c>
      <c r="H3434" s="14">
        <v>0.25788240000000001</v>
      </c>
      <c r="R3434" s="11">
        <f t="shared" si="108"/>
        <v>2.8017859031138695E-3</v>
      </c>
      <c r="Z3434" s="11">
        <f t="shared" si="107"/>
        <v>3.5477570250598616E-3</v>
      </c>
    </row>
    <row r="3435" spans="1:26" x14ac:dyDescent="0.2">
      <c r="A3435" s="45">
        <v>594</v>
      </c>
      <c r="B3435" s="45">
        <v>2002</v>
      </c>
      <c r="C3435" s="17">
        <v>0</v>
      </c>
      <c r="D3435" s="14">
        <v>4.5765100000000003E-2</v>
      </c>
      <c r="E3435" s="14">
        <v>0.13961670000000001</v>
      </c>
      <c r="F3435" s="14">
        <v>3.4277000000000002E-2</v>
      </c>
      <c r="G3435" s="14">
        <v>1.560449</v>
      </c>
      <c r="H3435" s="14">
        <v>0.25547379999999997</v>
      </c>
      <c r="R3435" s="11">
        <f t="shared" si="108"/>
        <v>4.0402985503658184E-3</v>
      </c>
      <c r="Z3435" s="11">
        <f t="shared" si="107"/>
        <v>5.0478744784290108E-3</v>
      </c>
    </row>
    <row r="3436" spans="1:26" x14ac:dyDescent="0.2">
      <c r="A3436" s="45">
        <v>594</v>
      </c>
      <c r="B3436" s="45">
        <v>2003</v>
      </c>
      <c r="C3436" s="17">
        <v>0</v>
      </c>
      <c r="D3436" s="14">
        <v>4.9250500000000003E-2</v>
      </c>
      <c r="E3436" s="14">
        <v>1.8603700000000001E-2</v>
      </c>
      <c r="F3436" s="14">
        <v>4.5077100000000002E-2</v>
      </c>
      <c r="G3436" s="14">
        <v>1.635931</v>
      </c>
      <c r="H3436" s="14">
        <v>0.2952979</v>
      </c>
      <c r="R3436" s="11">
        <f t="shared" si="108"/>
        <v>3.9185352299322598E-3</v>
      </c>
      <c r="Z3436" s="11">
        <f t="shared" si="107"/>
        <v>4.9107412515173457E-3</v>
      </c>
    </row>
    <row r="3437" spans="1:26" x14ac:dyDescent="0.2">
      <c r="A3437" s="45">
        <v>594</v>
      </c>
      <c r="B3437" s="45">
        <v>2004</v>
      </c>
      <c r="C3437" s="17">
        <v>0</v>
      </c>
      <c r="D3437" s="14">
        <v>3.9709999999999997E-3</v>
      </c>
      <c r="E3437" s="14">
        <v>8.7123000000000006E-2</v>
      </c>
      <c r="F3437" s="14">
        <v>5.2597600000000001E-2</v>
      </c>
      <c r="G3437" s="14">
        <v>1.8972800000000001</v>
      </c>
      <c r="H3437" s="14">
        <v>0.31694169999999999</v>
      </c>
      <c r="R3437" s="11">
        <f t="shared" si="108"/>
        <v>2.205967283291596E-3</v>
      </c>
      <c r="Z3437" s="11">
        <f t="shared" si="107"/>
        <v>2.7733576948549524E-3</v>
      </c>
    </row>
    <row r="3438" spans="1:26" x14ac:dyDescent="0.2">
      <c r="A3438" s="45">
        <v>595</v>
      </c>
      <c r="B3438" s="45">
        <v>1999</v>
      </c>
      <c r="C3438" s="17">
        <v>0</v>
      </c>
      <c r="D3438" s="14">
        <v>-1.4885000000000001E-2</v>
      </c>
      <c r="E3438" s="14">
        <v>2.1595999999999998E-3</v>
      </c>
      <c r="F3438" s="14">
        <v>7.8218999999999997E-3</v>
      </c>
      <c r="G3438" s="14">
        <v>0.1674612</v>
      </c>
      <c r="H3438" s="14">
        <v>0.12984709999999999</v>
      </c>
      <c r="R3438" s="11">
        <f t="shared" si="108"/>
        <v>5.3350299111994598E-2</v>
      </c>
      <c r="Z3438" s="11">
        <f t="shared" si="107"/>
        <v>6.6105594747428997E-2</v>
      </c>
    </row>
    <row r="3439" spans="1:26" x14ac:dyDescent="0.2">
      <c r="A3439" s="45">
        <v>596</v>
      </c>
      <c r="B3439" s="45">
        <v>1995</v>
      </c>
      <c r="C3439" s="17">
        <v>0</v>
      </c>
      <c r="D3439" s="14">
        <v>0.32009539999999997</v>
      </c>
      <c r="E3439" s="14">
        <v>0.58632229999999996</v>
      </c>
      <c r="F3439" s="14">
        <v>7.47805E-2</v>
      </c>
      <c r="G3439" s="14">
        <v>3.7752680000000001</v>
      </c>
      <c r="H3439" s="14">
        <v>0.37263980000000002</v>
      </c>
      <c r="R3439" s="11">
        <f t="shared" si="108"/>
        <v>4.4927299442469422E-5</v>
      </c>
      <c r="Z3439" s="11">
        <f t="shared" si="107"/>
        <v>5.6172878718139088E-5</v>
      </c>
    </row>
    <row r="3440" spans="1:26" x14ac:dyDescent="0.2">
      <c r="A3440" s="45">
        <v>596</v>
      </c>
      <c r="B3440" s="45">
        <v>1996</v>
      </c>
      <c r="C3440" s="17">
        <v>0</v>
      </c>
      <c r="D3440" s="14">
        <v>0.1389311</v>
      </c>
      <c r="E3440" s="14">
        <v>0.48350009999999999</v>
      </c>
      <c r="F3440" s="14">
        <v>6.5354099999999998E-2</v>
      </c>
      <c r="G3440" s="14">
        <v>3.0473690000000002</v>
      </c>
      <c r="H3440" s="14">
        <v>0.3415802</v>
      </c>
      <c r="R3440" s="11">
        <f t="shared" si="108"/>
        <v>1.7943170529371685E-4</v>
      </c>
      <c r="Z3440" s="11">
        <f t="shared" si="107"/>
        <v>2.2541124412661005E-4</v>
      </c>
    </row>
    <row r="3441" spans="1:26" x14ac:dyDescent="0.2">
      <c r="A3441" s="45">
        <v>596</v>
      </c>
      <c r="B3441" s="45">
        <v>1997</v>
      </c>
      <c r="C3441" s="17">
        <v>0</v>
      </c>
      <c r="D3441" s="14">
        <v>0.13736390000000001</v>
      </c>
      <c r="E3441" s="14">
        <v>0.43305979999999999</v>
      </c>
      <c r="F3441" s="14">
        <v>5.8634499999999999E-2</v>
      </c>
      <c r="G3441" s="14">
        <v>1.982461</v>
      </c>
      <c r="H3441" s="14">
        <v>0.30415439999999999</v>
      </c>
      <c r="R3441" s="11">
        <f t="shared" si="108"/>
        <v>1.1109663127401405E-3</v>
      </c>
      <c r="Z3441" s="11">
        <f t="shared" si="107"/>
        <v>1.4180946938429639E-3</v>
      </c>
    </row>
    <row r="3442" spans="1:26" x14ac:dyDescent="0.2">
      <c r="A3442" s="45">
        <v>596</v>
      </c>
      <c r="B3442" s="45">
        <v>1998</v>
      </c>
      <c r="C3442" s="17">
        <v>0</v>
      </c>
      <c r="D3442" s="14">
        <v>0.14342199999999999</v>
      </c>
      <c r="E3442" s="14">
        <v>0.44936739999999997</v>
      </c>
      <c r="F3442" s="14">
        <v>5.5180699999999999E-2</v>
      </c>
      <c r="G3442" s="14">
        <v>2.1885180000000002</v>
      </c>
      <c r="H3442" s="14">
        <v>0.29829129999999998</v>
      </c>
      <c r="R3442" s="11">
        <f t="shared" si="108"/>
        <v>8.0338790194952659E-4</v>
      </c>
      <c r="Z3442" s="11">
        <f t="shared" si="107"/>
        <v>1.0186199617622338E-3</v>
      </c>
    </row>
    <row r="3443" spans="1:26" x14ac:dyDescent="0.2">
      <c r="A3443" s="45">
        <v>596</v>
      </c>
      <c r="B3443" s="45">
        <v>1999</v>
      </c>
      <c r="C3443" s="17">
        <v>0</v>
      </c>
      <c r="D3443" s="14">
        <v>0.13459679999999999</v>
      </c>
      <c r="E3443" s="14">
        <v>0.48270380000000002</v>
      </c>
      <c r="F3443" s="14">
        <v>5.6168500000000003E-2</v>
      </c>
      <c r="G3443" s="14">
        <v>1.5089669999999999</v>
      </c>
      <c r="H3443" s="14">
        <v>0.3112029</v>
      </c>
      <c r="R3443" s="11">
        <f t="shared" si="108"/>
        <v>2.2393809284980671E-3</v>
      </c>
      <c r="Z3443" s="11">
        <f t="shared" si="107"/>
        <v>2.8865135548927193E-3</v>
      </c>
    </row>
    <row r="3444" spans="1:26" x14ac:dyDescent="0.2">
      <c r="A3444" s="45">
        <v>596</v>
      </c>
      <c r="B3444" s="45">
        <v>2000</v>
      </c>
      <c r="C3444" s="17">
        <v>0</v>
      </c>
      <c r="D3444" s="14">
        <v>0.1545483</v>
      </c>
      <c r="E3444" s="14">
        <v>0.50872240000000002</v>
      </c>
      <c r="F3444" s="14">
        <v>5.3782499999999997E-2</v>
      </c>
      <c r="G3444" s="14">
        <v>1.8755550000000001</v>
      </c>
      <c r="H3444" s="14">
        <v>0.34935640000000001</v>
      </c>
      <c r="R3444" s="11">
        <f t="shared" si="108"/>
        <v>1.2266361919770845E-3</v>
      </c>
      <c r="Z3444" s="11">
        <f t="shared" si="107"/>
        <v>1.5672093755185695E-3</v>
      </c>
    </row>
    <row r="3445" spans="1:26" x14ac:dyDescent="0.2">
      <c r="A3445" s="45">
        <v>596</v>
      </c>
      <c r="B3445" s="45">
        <v>2001</v>
      </c>
      <c r="C3445" s="17">
        <v>0</v>
      </c>
      <c r="D3445" s="14">
        <v>0.1215816</v>
      </c>
      <c r="E3445" s="14">
        <v>0.57572520000000005</v>
      </c>
      <c r="F3445" s="14">
        <v>6.1349500000000001E-2</v>
      </c>
      <c r="G3445" s="14">
        <v>2.0256590000000001</v>
      </c>
      <c r="H3445" s="14">
        <v>0.3450357</v>
      </c>
      <c r="R3445" s="11">
        <f t="shared" si="108"/>
        <v>8.2491127325186515E-4</v>
      </c>
      <c r="Z3445" s="11">
        <f t="shared" si="107"/>
        <v>1.0595470181489935E-3</v>
      </c>
    </row>
    <row r="3446" spans="1:26" x14ac:dyDescent="0.2">
      <c r="A3446" s="45">
        <v>596</v>
      </c>
      <c r="B3446" s="45">
        <v>2002</v>
      </c>
      <c r="C3446" s="17">
        <v>0</v>
      </c>
      <c r="D3446" s="14">
        <v>0.1426026</v>
      </c>
      <c r="E3446" s="14">
        <v>0.58138630000000002</v>
      </c>
      <c r="F3446" s="14">
        <v>5.6191499999999998E-2</v>
      </c>
      <c r="G3446" s="14">
        <v>2.0611630000000001</v>
      </c>
      <c r="H3446" s="14">
        <v>0.36677179999999998</v>
      </c>
      <c r="R3446" s="11">
        <f t="shared" si="108"/>
        <v>8.0572609925972022E-4</v>
      </c>
      <c r="Z3446" s="11">
        <f t="shared" si="107"/>
        <v>1.0299436834275014E-3</v>
      </c>
    </row>
    <row r="3447" spans="1:26" x14ac:dyDescent="0.2">
      <c r="A3447" s="45">
        <v>596</v>
      </c>
      <c r="B3447" s="45">
        <v>2003</v>
      </c>
      <c r="C3447" s="17">
        <v>0</v>
      </c>
      <c r="D3447" s="14">
        <v>0.171848</v>
      </c>
      <c r="E3447" s="14">
        <v>0.61867510000000003</v>
      </c>
      <c r="F3447" s="14">
        <v>7.3023400000000002E-2</v>
      </c>
      <c r="G3447" s="14">
        <v>2.3223289999999999</v>
      </c>
      <c r="H3447" s="14">
        <v>0.38618770000000002</v>
      </c>
      <c r="R3447" s="11">
        <f t="shared" si="108"/>
        <v>4.4012510083499056E-4</v>
      </c>
      <c r="Z3447" s="11">
        <f t="shared" si="107"/>
        <v>5.6792825330800043E-4</v>
      </c>
    </row>
    <row r="3448" spans="1:26" x14ac:dyDescent="0.2">
      <c r="A3448" s="45">
        <v>596</v>
      </c>
      <c r="B3448" s="45">
        <v>2004</v>
      </c>
      <c r="C3448" s="17">
        <v>0</v>
      </c>
      <c r="D3448" s="14">
        <v>9.4616800000000001E-2</v>
      </c>
      <c r="E3448" s="14">
        <v>0.60845139999999998</v>
      </c>
      <c r="F3448" s="14">
        <v>5.7946499999999998E-2</v>
      </c>
      <c r="G3448" s="14">
        <v>2.4303689999999998</v>
      </c>
      <c r="H3448" s="14">
        <v>0.3821486</v>
      </c>
      <c r="R3448" s="11">
        <f t="shared" si="108"/>
        <v>4.2426974387087263E-4</v>
      </c>
      <c r="Z3448" s="11">
        <f t="shared" si="107"/>
        <v>5.3927746047560058E-4</v>
      </c>
    </row>
    <row r="3449" spans="1:26" x14ac:dyDescent="0.2">
      <c r="A3449" s="45">
        <v>597</v>
      </c>
      <c r="B3449" s="45">
        <v>1995</v>
      </c>
      <c r="C3449" s="17">
        <v>0</v>
      </c>
      <c r="D3449" s="14">
        <v>-0.10253</v>
      </c>
      <c r="E3449" s="14">
        <v>-0.3673419</v>
      </c>
      <c r="F3449" s="14">
        <v>2.5056800000000001E-2</v>
      </c>
      <c r="G3449" s="14">
        <v>0.73885639999999997</v>
      </c>
      <c r="H3449" s="14">
        <v>0.46953549999999999</v>
      </c>
      <c r="R3449" s="11">
        <f t="shared" si="108"/>
        <v>3.2697210600849978E-2</v>
      </c>
      <c r="Z3449" s="11">
        <f t="shared" si="107"/>
        <v>4.0294834260638152E-2</v>
      </c>
    </row>
    <row r="3450" spans="1:26" x14ac:dyDescent="0.2">
      <c r="A3450" s="45">
        <v>597</v>
      </c>
      <c r="B3450" s="45">
        <v>1996</v>
      </c>
      <c r="C3450" s="17">
        <v>0</v>
      </c>
      <c r="D3450" s="14">
        <v>-0.1124554</v>
      </c>
      <c r="E3450" s="14">
        <v>-0.187941</v>
      </c>
      <c r="F3450" s="14">
        <v>5.43632E-2</v>
      </c>
      <c r="G3450" s="14">
        <v>0.51856069999999999</v>
      </c>
      <c r="H3450" s="14">
        <v>0.40573740000000003</v>
      </c>
      <c r="R3450" s="11">
        <f t="shared" si="108"/>
        <v>2.8430892150569764E-2</v>
      </c>
      <c r="Z3450" s="11">
        <f t="shared" si="107"/>
        <v>3.6277896840305718E-2</v>
      </c>
    </row>
    <row r="3451" spans="1:26" x14ac:dyDescent="0.2">
      <c r="A3451" s="45">
        <v>597</v>
      </c>
      <c r="B3451" s="45">
        <v>1997</v>
      </c>
      <c r="C3451" s="17">
        <v>0</v>
      </c>
      <c r="D3451" s="14">
        <v>-1.7682300000000001E-2</v>
      </c>
      <c r="E3451" s="14">
        <v>-0.27847939999999999</v>
      </c>
      <c r="F3451" s="14">
        <v>2.9173000000000001E-2</v>
      </c>
      <c r="G3451" s="14">
        <v>0.3806813</v>
      </c>
      <c r="H3451" s="14">
        <v>0.45236589999999999</v>
      </c>
      <c r="R3451" s="11">
        <f t="shared" si="108"/>
        <v>4.8403467963016054E-2</v>
      </c>
      <c r="Z3451" s="11">
        <f t="shared" si="107"/>
        <v>6.0231205136809247E-2</v>
      </c>
    </row>
    <row r="3452" spans="1:26" x14ac:dyDescent="0.2">
      <c r="A3452" s="45">
        <v>597</v>
      </c>
      <c r="B3452" s="45">
        <v>1998</v>
      </c>
      <c r="C3452" s="17">
        <v>0</v>
      </c>
      <c r="D3452" s="14">
        <v>-2.0284400000000001E-2</v>
      </c>
      <c r="E3452" s="14">
        <v>-0.55153419999999997</v>
      </c>
      <c r="F3452" s="14">
        <v>2.10815E-2</v>
      </c>
      <c r="G3452" s="14">
        <v>0.1892308</v>
      </c>
      <c r="H3452" s="14">
        <v>0.49368719999999999</v>
      </c>
      <c r="R3452" s="11">
        <f t="shared" si="108"/>
        <v>9.8702638905565979E-2</v>
      </c>
      <c r="Z3452" s="11">
        <f t="shared" si="107"/>
        <v>0.12000602694293658</v>
      </c>
    </row>
    <row r="3453" spans="1:26" x14ac:dyDescent="0.2">
      <c r="A3453" s="45">
        <v>597</v>
      </c>
      <c r="B3453" s="45">
        <v>1999</v>
      </c>
      <c r="C3453" s="17">
        <v>0</v>
      </c>
      <c r="D3453" s="14">
        <v>-5.7621899999999997E-2</v>
      </c>
      <c r="E3453" s="14">
        <v>-0.81086480000000005</v>
      </c>
      <c r="F3453" s="14">
        <v>4.1814700000000003E-2</v>
      </c>
      <c r="G3453" s="14">
        <v>0.1450389</v>
      </c>
      <c r="H3453" s="14">
        <v>0.57151130000000006</v>
      </c>
      <c r="R3453" s="11">
        <f t="shared" si="108"/>
        <v>0.12674242823614079</v>
      </c>
      <c r="Z3453" s="11">
        <f t="shared" si="107"/>
        <v>0.15425067932398251</v>
      </c>
    </row>
    <row r="3454" spans="1:26" x14ac:dyDescent="0.2">
      <c r="A3454" s="45">
        <v>597</v>
      </c>
      <c r="B3454" s="45">
        <v>2000</v>
      </c>
      <c r="C3454" s="17">
        <v>0</v>
      </c>
      <c r="D3454" s="14">
        <v>-5.3938899999999998E-2</v>
      </c>
      <c r="E3454" s="14">
        <v>-0.77114159999999998</v>
      </c>
      <c r="F3454" s="14">
        <v>3.3874799999999997E-2</v>
      </c>
      <c r="G3454" s="14">
        <v>8.5573300000000005E-2</v>
      </c>
      <c r="H3454" s="14">
        <v>0.49658679999999999</v>
      </c>
      <c r="R3454" s="11">
        <f t="shared" si="108"/>
        <v>0.13829114653099731</v>
      </c>
      <c r="Z3454" s="11">
        <f t="shared" si="107"/>
        <v>0.16728900196464749</v>
      </c>
    </row>
    <row r="3455" spans="1:26" x14ac:dyDescent="0.2">
      <c r="A3455" s="45">
        <v>598</v>
      </c>
      <c r="B3455" s="45">
        <v>1995</v>
      </c>
      <c r="C3455" s="17">
        <v>0</v>
      </c>
      <c r="D3455" s="14">
        <v>0.15421699999999999</v>
      </c>
      <c r="E3455" s="14">
        <v>0.15666840000000001</v>
      </c>
      <c r="F3455" s="14">
        <v>3.6065800000000002E-2</v>
      </c>
      <c r="G3455" s="14">
        <v>0.89793389999999995</v>
      </c>
      <c r="H3455" s="14">
        <v>0.1712428</v>
      </c>
      <c r="R3455" s="11">
        <f t="shared" si="108"/>
        <v>1.1088347414194425E-2</v>
      </c>
      <c r="Z3455" s="11">
        <f t="shared" si="107"/>
        <v>1.4057954606609323E-2</v>
      </c>
    </row>
    <row r="3456" spans="1:26" x14ac:dyDescent="0.2">
      <c r="A3456" s="45">
        <v>598</v>
      </c>
      <c r="B3456" s="45">
        <v>1996</v>
      </c>
      <c r="C3456" s="17">
        <v>0</v>
      </c>
      <c r="D3456" s="14">
        <v>0.11539000000000001</v>
      </c>
      <c r="E3456" s="14">
        <v>0.15023130000000001</v>
      </c>
      <c r="F3456" s="14">
        <v>2.0193699999999998E-2</v>
      </c>
      <c r="G3456" s="14">
        <v>0.46495520000000001</v>
      </c>
      <c r="H3456" s="14">
        <v>0.15148120000000001</v>
      </c>
      <c r="R3456" s="11">
        <f t="shared" si="108"/>
        <v>2.4979662748697042E-2</v>
      </c>
      <c r="Z3456" s="11">
        <f t="shared" si="107"/>
        <v>3.1438111118924819E-2</v>
      </c>
    </row>
    <row r="3457" spans="1:26" x14ac:dyDescent="0.2">
      <c r="A3457" s="45">
        <v>598</v>
      </c>
      <c r="B3457" s="45">
        <v>1997</v>
      </c>
      <c r="C3457" s="17">
        <v>0</v>
      </c>
      <c r="D3457" s="14">
        <v>9.9603999999999998E-2</v>
      </c>
      <c r="E3457" s="14">
        <v>9.68281E-2</v>
      </c>
      <c r="F3457" s="14">
        <v>3.8464699999999998E-2</v>
      </c>
      <c r="G3457" s="14">
        <v>0.77269109999999996</v>
      </c>
      <c r="H3457" s="14">
        <v>0.20490520000000001</v>
      </c>
      <c r="R3457" s="11">
        <f t="shared" si="108"/>
        <v>1.4438632984798739E-2</v>
      </c>
      <c r="Z3457" s="11">
        <f t="shared" si="107"/>
        <v>1.8336956664780447E-2</v>
      </c>
    </row>
    <row r="3458" spans="1:26" x14ac:dyDescent="0.2">
      <c r="A3458" s="45">
        <v>599</v>
      </c>
      <c r="B3458" s="45">
        <v>1995</v>
      </c>
      <c r="C3458" s="17">
        <v>0</v>
      </c>
      <c r="D3458" s="14">
        <v>0.45551380000000002</v>
      </c>
      <c r="E3458" s="14">
        <v>3.2187500000000001E-2</v>
      </c>
      <c r="F3458" s="14">
        <v>6.9919899999999993E-2</v>
      </c>
      <c r="G3458" s="14">
        <v>2.3231660000000001</v>
      </c>
      <c r="H3458" s="14">
        <v>0.37040040000000002</v>
      </c>
      <c r="R3458" s="11">
        <f t="shared" si="108"/>
        <v>1.0564806415786897E-3</v>
      </c>
      <c r="Z3458" s="11">
        <f t="shared" ref="Z3458:Z3521" si="109">1/(1+EXP(-(U$2+$V$2*E3458+$W$2*F3458+$X$2*G3458)))</f>
        <v>1.332511957806324E-3</v>
      </c>
    </row>
    <row r="3459" spans="1:26" x14ac:dyDescent="0.2">
      <c r="A3459" s="45">
        <v>599</v>
      </c>
      <c r="B3459" s="45">
        <v>1996</v>
      </c>
      <c r="C3459" s="17">
        <v>0</v>
      </c>
      <c r="D3459" s="14">
        <v>0.3675949</v>
      </c>
      <c r="E3459" s="14">
        <v>6.8884699999999993E-2</v>
      </c>
      <c r="F3459" s="14">
        <v>6.8971599999999994E-2</v>
      </c>
      <c r="G3459" s="14">
        <v>2.524089</v>
      </c>
      <c r="H3459" s="14">
        <v>0.34109250000000002</v>
      </c>
      <c r="R3459" s="11">
        <f t="shared" si="108"/>
        <v>7.3293691890856686E-4</v>
      </c>
      <c r="Z3459" s="11">
        <f t="shared" si="109"/>
        <v>9.2087698052732041E-4</v>
      </c>
    </row>
    <row r="3460" spans="1:26" x14ac:dyDescent="0.2">
      <c r="A3460" s="45">
        <v>599</v>
      </c>
      <c r="B3460" s="45">
        <v>1997</v>
      </c>
      <c r="C3460" s="17">
        <v>0</v>
      </c>
      <c r="D3460" s="14">
        <v>0.37249589999999999</v>
      </c>
      <c r="E3460" s="14">
        <v>0.13775490000000001</v>
      </c>
      <c r="F3460" s="14">
        <v>9.2864299999999997E-2</v>
      </c>
      <c r="G3460" s="14">
        <v>2.6612580000000001</v>
      </c>
      <c r="H3460" s="14">
        <v>0.4530496</v>
      </c>
      <c r="R3460" s="11">
        <f t="shared" si="108"/>
        <v>4.4032050487165654E-4</v>
      </c>
      <c r="Z3460" s="11">
        <f t="shared" si="109"/>
        <v>5.6383350539918476E-4</v>
      </c>
    </row>
    <row r="3461" spans="1:26" x14ac:dyDescent="0.2">
      <c r="A3461" s="45">
        <v>599</v>
      </c>
      <c r="B3461" s="45">
        <v>1998</v>
      </c>
      <c r="C3461" s="17">
        <v>0</v>
      </c>
      <c r="D3461" s="14">
        <v>0.1919391</v>
      </c>
      <c r="E3461" s="14">
        <v>0.17830180000000001</v>
      </c>
      <c r="F3461" s="14">
        <v>4.6155700000000001E-2</v>
      </c>
      <c r="G3461" s="14">
        <v>1.126868</v>
      </c>
      <c r="H3461" s="14">
        <v>0.3005044</v>
      </c>
      <c r="R3461" s="11">
        <f t="shared" si="108"/>
        <v>6.9110174493237945E-3</v>
      </c>
      <c r="Z3461" s="11">
        <f t="shared" si="109"/>
        <v>8.8063960782209481E-3</v>
      </c>
    </row>
    <row r="3462" spans="1:26" x14ac:dyDescent="0.2">
      <c r="A3462" s="45">
        <v>599</v>
      </c>
      <c r="B3462" s="45">
        <v>1999</v>
      </c>
      <c r="C3462" s="17">
        <v>0</v>
      </c>
      <c r="D3462" s="14">
        <v>0.34863769999999999</v>
      </c>
      <c r="E3462" s="14">
        <v>0.1948638</v>
      </c>
      <c r="F3462" s="14">
        <v>3.4212600000000003E-2</v>
      </c>
      <c r="G3462" s="14">
        <v>2.1029770000000001</v>
      </c>
      <c r="H3462" s="14">
        <v>0.30423800000000001</v>
      </c>
      <c r="R3462" s="11">
        <f t="shared" si="108"/>
        <v>1.5752371420959669E-3</v>
      </c>
      <c r="Z3462" s="11">
        <f t="shared" si="109"/>
        <v>1.9495243539218632E-3</v>
      </c>
    </row>
    <row r="3463" spans="1:26" x14ac:dyDescent="0.2">
      <c r="A3463" s="45">
        <v>599</v>
      </c>
      <c r="B3463" s="45">
        <v>2000</v>
      </c>
      <c r="C3463" s="17">
        <v>0</v>
      </c>
      <c r="D3463" s="14">
        <v>0.32245040000000003</v>
      </c>
      <c r="E3463" s="14">
        <v>0.1872048</v>
      </c>
      <c r="F3463" s="14">
        <v>5.5247999999999998E-2</v>
      </c>
      <c r="G3463" s="14">
        <v>2.561096</v>
      </c>
      <c r="H3463" s="14">
        <v>0.35615039999999998</v>
      </c>
      <c r="R3463" s="11">
        <f t="shared" si="108"/>
        <v>6.4930672097097107E-4</v>
      </c>
      <c r="Z3463" s="11">
        <f t="shared" si="109"/>
        <v>8.0931758789641118E-4</v>
      </c>
    </row>
    <row r="3464" spans="1:26" x14ac:dyDescent="0.2">
      <c r="A3464" s="45">
        <v>599</v>
      </c>
      <c r="B3464" s="45">
        <v>2001</v>
      </c>
      <c r="C3464" s="17">
        <v>0</v>
      </c>
      <c r="D3464" s="14">
        <v>0.33206029999999997</v>
      </c>
      <c r="E3464" s="14">
        <v>0.22701350000000001</v>
      </c>
      <c r="F3464" s="14">
        <v>6.8768599999999999E-2</v>
      </c>
      <c r="G3464" s="14">
        <v>1.508143</v>
      </c>
      <c r="H3464" s="14">
        <v>0.35527769999999997</v>
      </c>
      <c r="R3464" s="11">
        <f t="shared" si="108"/>
        <v>2.9382141295530018E-3</v>
      </c>
      <c r="Z3464" s="11">
        <f t="shared" si="109"/>
        <v>3.7925015252672262E-3</v>
      </c>
    </row>
    <row r="3465" spans="1:26" x14ac:dyDescent="0.2">
      <c r="A3465" s="45">
        <v>599</v>
      </c>
      <c r="B3465" s="45">
        <v>2002</v>
      </c>
      <c r="C3465" s="17">
        <v>0</v>
      </c>
      <c r="D3465" s="14">
        <v>0.33516859999999998</v>
      </c>
      <c r="E3465" s="14">
        <v>0.25776959999999999</v>
      </c>
      <c r="F3465" s="14">
        <v>4.5318299999999999E-2</v>
      </c>
      <c r="G3465" s="14">
        <v>1.9872430000000001</v>
      </c>
      <c r="H3465" s="14">
        <v>0.3189999</v>
      </c>
      <c r="R3465" s="11">
        <f t="shared" si="108"/>
        <v>1.5817484526591092E-3</v>
      </c>
      <c r="Z3465" s="11">
        <f t="shared" si="109"/>
        <v>1.9847437191862064E-3</v>
      </c>
    </row>
    <row r="3466" spans="1:26" x14ac:dyDescent="0.2">
      <c r="A3466" s="45">
        <v>599</v>
      </c>
      <c r="B3466" s="45">
        <v>2003</v>
      </c>
      <c r="C3466" s="17">
        <v>0</v>
      </c>
      <c r="D3466" s="14">
        <v>0.36305199999999999</v>
      </c>
      <c r="E3466" s="14">
        <v>0.29403629999999997</v>
      </c>
      <c r="F3466" s="14">
        <v>6.2511700000000003E-2</v>
      </c>
      <c r="G3466" s="14">
        <v>2.2638989999999999</v>
      </c>
      <c r="H3466" s="14">
        <v>0.33317920000000001</v>
      </c>
      <c r="R3466" s="11">
        <f t="shared" si="108"/>
        <v>8.4208901494037497E-4</v>
      </c>
      <c r="Z3466" s="11">
        <f t="shared" si="109"/>
        <v>1.0666389217632393E-3</v>
      </c>
    </row>
    <row r="3467" spans="1:26" x14ac:dyDescent="0.2">
      <c r="A3467" s="45">
        <v>599</v>
      </c>
      <c r="B3467" s="45">
        <v>2004</v>
      </c>
      <c r="C3467" s="17">
        <v>0</v>
      </c>
      <c r="D3467" s="14">
        <v>0.341111</v>
      </c>
      <c r="E3467" s="14">
        <v>0.30437769999999997</v>
      </c>
      <c r="F3467" s="14">
        <v>5.6264300000000003E-2</v>
      </c>
      <c r="G3467" s="14">
        <v>2.7196989999999999</v>
      </c>
      <c r="H3467" s="14">
        <v>0.3734035</v>
      </c>
      <c r="R3467" s="11">
        <f t="shared" si="108"/>
        <v>4.219482212891643E-4</v>
      </c>
      <c r="Z3467" s="11">
        <f t="shared" si="109"/>
        <v>5.2667350563366294E-4</v>
      </c>
    </row>
    <row r="3468" spans="1:26" x14ac:dyDescent="0.2">
      <c r="A3468" s="45">
        <v>600</v>
      </c>
      <c r="B3468" s="45">
        <v>1998</v>
      </c>
      <c r="C3468" s="17">
        <v>0</v>
      </c>
      <c r="D3468" s="14">
        <v>0.15220159999999999</v>
      </c>
      <c r="E3468" s="14">
        <v>0.22181300000000001</v>
      </c>
      <c r="F3468" s="14">
        <v>6.0370199999999999E-2</v>
      </c>
      <c r="G3468" s="14">
        <v>0.82329859999999999</v>
      </c>
      <c r="H3468" s="14">
        <v>0.5894315</v>
      </c>
      <c r="R3468" s="11">
        <f t="shared" si="108"/>
        <v>9.3692781671781446E-3</v>
      </c>
      <c r="Z3468" s="11">
        <f t="shared" si="109"/>
        <v>1.2166763508464077E-2</v>
      </c>
    </row>
    <row r="3469" spans="1:26" x14ac:dyDescent="0.2">
      <c r="A3469" s="45">
        <v>600</v>
      </c>
      <c r="B3469" s="45">
        <v>1999</v>
      </c>
      <c r="C3469" s="17">
        <v>0</v>
      </c>
      <c r="D3469" s="14">
        <v>0.2299774</v>
      </c>
      <c r="E3469" s="14">
        <v>0.15421360000000001</v>
      </c>
      <c r="F3469" s="14">
        <v>4.5948099999999999E-2</v>
      </c>
      <c r="G3469" s="14">
        <v>0.56094319999999998</v>
      </c>
      <c r="H3469" s="14">
        <v>0.47674450000000002</v>
      </c>
      <c r="R3469" s="11">
        <f t="shared" si="108"/>
        <v>1.7478278495264423E-2</v>
      </c>
      <c r="Z3469" s="11">
        <f t="shared" si="109"/>
        <v>2.2457323436598533E-2</v>
      </c>
    </row>
    <row r="3470" spans="1:26" x14ac:dyDescent="0.2">
      <c r="A3470" s="45">
        <v>600</v>
      </c>
      <c r="B3470" s="45">
        <v>2000</v>
      </c>
      <c r="C3470" s="17">
        <v>0</v>
      </c>
      <c r="D3470" s="14">
        <v>0.2349366</v>
      </c>
      <c r="E3470" s="14">
        <v>0.21798229999999999</v>
      </c>
      <c r="F3470" s="14">
        <v>7.4420299999999995E-2</v>
      </c>
      <c r="G3470" s="14">
        <v>0.86171350000000002</v>
      </c>
      <c r="H3470" s="14">
        <v>0.49186770000000002</v>
      </c>
      <c r="R3470" s="11">
        <f t="shared" si="108"/>
        <v>7.9315690640514285E-3</v>
      </c>
      <c r="Z3470" s="11">
        <f t="shared" si="109"/>
        <v>1.0412287606034713E-2</v>
      </c>
    </row>
    <row r="3471" spans="1:26" x14ac:dyDescent="0.2">
      <c r="A3471" s="45">
        <v>600</v>
      </c>
      <c r="B3471" s="45">
        <v>2001</v>
      </c>
      <c r="C3471" s="17">
        <v>0</v>
      </c>
      <c r="D3471" s="14">
        <v>0.2334002</v>
      </c>
      <c r="E3471" s="14">
        <v>0.24633720000000001</v>
      </c>
      <c r="F3471" s="14">
        <v>3.7582299999999999E-2</v>
      </c>
      <c r="G3471" s="14">
        <v>0.96673589999999998</v>
      </c>
      <c r="H3471" s="14">
        <v>0.52645869999999995</v>
      </c>
      <c r="R3471" s="11">
        <f t="shared" si="108"/>
        <v>8.6383864580403969E-3</v>
      </c>
      <c r="Z3471" s="11">
        <f t="shared" si="109"/>
        <v>1.0989539639051051E-2</v>
      </c>
    </row>
    <row r="3472" spans="1:26" x14ac:dyDescent="0.2">
      <c r="A3472" s="45">
        <v>600</v>
      </c>
      <c r="B3472" s="45">
        <v>2002</v>
      </c>
      <c r="C3472" s="17">
        <v>0</v>
      </c>
      <c r="D3472" s="14">
        <v>0.22423019999999999</v>
      </c>
      <c r="E3472" s="14">
        <v>0.2249746</v>
      </c>
      <c r="F3472" s="14">
        <v>3.9901600000000002E-2</v>
      </c>
      <c r="G3472" s="14">
        <v>0.77607729999999997</v>
      </c>
      <c r="H3472" s="14">
        <v>0.45091819999999999</v>
      </c>
      <c r="R3472" s="11">
        <f t="shared" si="108"/>
        <v>1.181474720396416E-2</v>
      </c>
      <c r="Z3472" s="11">
        <f t="shared" si="109"/>
        <v>1.5096931819080462E-2</v>
      </c>
    </row>
    <row r="3473" spans="1:26" x14ac:dyDescent="0.2">
      <c r="A3473" s="45">
        <v>600</v>
      </c>
      <c r="B3473" s="45">
        <v>2003</v>
      </c>
      <c r="C3473" s="17">
        <v>0</v>
      </c>
      <c r="D3473" s="14">
        <v>0.2529247</v>
      </c>
      <c r="E3473" s="14">
        <v>0.25318410000000002</v>
      </c>
      <c r="F3473" s="14">
        <v>4.8273099999999999E-2</v>
      </c>
      <c r="G3473" s="14">
        <v>0.96076519999999999</v>
      </c>
      <c r="H3473" s="14">
        <v>0.54357529999999998</v>
      </c>
      <c r="R3473" s="11">
        <f t="shared" si="108"/>
        <v>7.9325184627367026E-3</v>
      </c>
      <c r="Z3473" s="11">
        <f t="shared" si="109"/>
        <v>1.0185134832328739E-2</v>
      </c>
    </row>
    <row r="3474" spans="1:26" x14ac:dyDescent="0.2">
      <c r="A3474" s="45">
        <v>600</v>
      </c>
      <c r="B3474" s="45">
        <v>2004</v>
      </c>
      <c r="C3474" s="17">
        <v>0</v>
      </c>
      <c r="D3474" s="14">
        <v>0.27142579999999999</v>
      </c>
      <c r="E3474" s="14">
        <v>0.27294740000000001</v>
      </c>
      <c r="F3474" s="14">
        <v>7.1070400000000006E-2</v>
      </c>
      <c r="G3474" s="14">
        <v>0.9206934</v>
      </c>
      <c r="H3474" s="14">
        <v>0.53597640000000002</v>
      </c>
      <c r="R3474" s="11">
        <f t="shared" si="108"/>
        <v>6.8539297757804095E-3</v>
      </c>
      <c r="Z3474" s="11">
        <f t="shared" si="109"/>
        <v>8.9814057265267654E-3</v>
      </c>
    </row>
    <row r="3475" spans="1:26" x14ac:dyDescent="0.2">
      <c r="A3475" s="45">
        <v>601</v>
      </c>
      <c r="B3475" s="45">
        <v>1995</v>
      </c>
      <c r="C3475" s="17">
        <v>0</v>
      </c>
      <c r="D3475" s="14">
        <v>0.48378650000000001</v>
      </c>
      <c r="E3475" s="14">
        <v>0.57513599999999998</v>
      </c>
      <c r="F3475" s="14">
        <v>6.9229700000000005E-2</v>
      </c>
      <c r="G3475" s="14">
        <v>3.0307140000000001</v>
      </c>
      <c r="H3475" s="14">
        <v>0.29191499999999998</v>
      </c>
      <c r="R3475" s="11">
        <f t="shared" si="108"/>
        <v>1.5635317828899451E-4</v>
      </c>
      <c r="Z3475" s="11">
        <f t="shared" si="109"/>
        <v>1.977370975185441E-4</v>
      </c>
    </row>
    <row r="3476" spans="1:26" x14ac:dyDescent="0.2">
      <c r="A3476" s="45">
        <v>601</v>
      </c>
      <c r="B3476" s="45">
        <v>1996</v>
      </c>
      <c r="C3476" s="17">
        <v>0</v>
      </c>
      <c r="D3476" s="14">
        <v>0.46939649999999999</v>
      </c>
      <c r="E3476" s="14">
        <v>0.5590503</v>
      </c>
      <c r="F3476" s="14">
        <v>7.0991499999999999E-2</v>
      </c>
      <c r="G3476" s="14">
        <v>3.1654010000000001</v>
      </c>
      <c r="H3476" s="14">
        <v>0.30530380000000001</v>
      </c>
      <c r="R3476" s="11">
        <f t="shared" si="108"/>
        <v>1.2733306462755874E-4</v>
      </c>
      <c r="Z3476" s="11">
        <f t="shared" si="109"/>
        <v>1.6070364812024069E-4</v>
      </c>
    </row>
    <row r="3477" spans="1:26" x14ac:dyDescent="0.2">
      <c r="A3477" s="45">
        <v>601</v>
      </c>
      <c r="B3477" s="45">
        <v>1997</v>
      </c>
      <c r="C3477" s="17">
        <v>0</v>
      </c>
      <c r="D3477" s="14">
        <v>0.43928739999999999</v>
      </c>
      <c r="E3477" s="14">
        <v>0.58618400000000004</v>
      </c>
      <c r="F3477" s="14">
        <v>8.93877E-2</v>
      </c>
      <c r="G3477" s="14">
        <v>3.5588829999999998</v>
      </c>
      <c r="H3477" s="14">
        <v>0.34548479999999998</v>
      </c>
      <c r="R3477" s="11">
        <f t="shared" si="108"/>
        <v>5.6442431768176794E-5</v>
      </c>
      <c r="Z3477" s="11">
        <f t="shared" si="109"/>
        <v>7.1760875841884889E-5</v>
      </c>
    </row>
    <row r="3478" spans="1:26" x14ac:dyDescent="0.2">
      <c r="A3478" s="45">
        <v>601</v>
      </c>
      <c r="B3478" s="45">
        <v>1998</v>
      </c>
      <c r="C3478" s="17">
        <v>0</v>
      </c>
      <c r="D3478" s="14">
        <v>0.41588399999999998</v>
      </c>
      <c r="E3478" s="14">
        <v>0.54919300000000004</v>
      </c>
      <c r="F3478" s="14">
        <v>4.0804399999999998E-2</v>
      </c>
      <c r="G3478" s="14">
        <v>2.2843610000000001</v>
      </c>
      <c r="H3478" s="14">
        <v>0.32950639999999998</v>
      </c>
      <c r="R3478" s="11">
        <f t="shared" si="108"/>
        <v>6.6920168939883741E-4</v>
      </c>
      <c r="Z3478" s="11">
        <f t="shared" si="109"/>
        <v>8.396822013285914E-4</v>
      </c>
    </row>
    <row r="3479" spans="1:26" x14ac:dyDescent="0.2">
      <c r="A3479" s="45">
        <v>601</v>
      </c>
      <c r="B3479" s="45">
        <v>1999</v>
      </c>
      <c r="C3479" s="17">
        <v>0</v>
      </c>
      <c r="D3479" s="14">
        <v>0.38575009999999998</v>
      </c>
      <c r="E3479" s="14">
        <v>0.45288489999999998</v>
      </c>
      <c r="F3479" s="14">
        <v>6.5635899999999997E-2</v>
      </c>
      <c r="G3479" s="14">
        <v>1.1922950000000001</v>
      </c>
      <c r="H3479" s="14">
        <v>0.32005050000000002</v>
      </c>
      <c r="R3479" s="11">
        <f t="shared" ref="R3479:R3542" si="110">1/(1+EXP(-(K$2+$M$2*E3479+$N$2*F3479+$O$2*G3479)))</f>
        <v>3.5863044239612856E-3</v>
      </c>
      <c r="Z3479" s="11">
        <f t="shared" si="109"/>
        <v>4.6843644165146733E-3</v>
      </c>
    </row>
    <row r="3480" spans="1:26" x14ac:dyDescent="0.2">
      <c r="A3480" s="45">
        <v>601</v>
      </c>
      <c r="B3480" s="45">
        <v>2000</v>
      </c>
      <c r="C3480" s="17">
        <v>0</v>
      </c>
      <c r="D3480" s="14">
        <v>0.35043960000000002</v>
      </c>
      <c r="E3480" s="14">
        <v>0.4920833</v>
      </c>
      <c r="F3480" s="14">
        <v>5.9267100000000003E-2</v>
      </c>
      <c r="G3480" s="14">
        <v>1.3814649999999999</v>
      </c>
      <c r="H3480" s="14">
        <v>0.30826310000000001</v>
      </c>
      <c r="R3480" s="11">
        <f t="shared" si="110"/>
        <v>2.6394247898633813E-3</v>
      </c>
      <c r="Z3480" s="11">
        <f t="shared" si="109"/>
        <v>3.4210411129351804E-3</v>
      </c>
    </row>
    <row r="3481" spans="1:26" x14ac:dyDescent="0.2">
      <c r="A3481" s="45">
        <v>601</v>
      </c>
      <c r="B3481" s="45">
        <v>2001</v>
      </c>
      <c r="C3481" s="17">
        <v>0</v>
      </c>
      <c r="D3481" s="14">
        <v>0.32635370000000002</v>
      </c>
      <c r="E3481" s="14">
        <v>0.47053109999999998</v>
      </c>
      <c r="F3481" s="14">
        <v>6.8081600000000006E-2</v>
      </c>
      <c r="G3481" s="14">
        <v>1.67343</v>
      </c>
      <c r="H3481" s="14">
        <v>0.30761670000000002</v>
      </c>
      <c r="R3481" s="11">
        <f t="shared" si="110"/>
        <v>1.5954615860854641E-3</v>
      </c>
      <c r="Z3481" s="11">
        <f t="shared" si="109"/>
        <v>2.0686866804547079E-3</v>
      </c>
    </row>
    <row r="3482" spans="1:26" x14ac:dyDescent="0.2">
      <c r="A3482" s="45">
        <v>601</v>
      </c>
      <c r="B3482" s="45">
        <v>2002</v>
      </c>
      <c r="C3482" s="17">
        <v>0</v>
      </c>
      <c r="D3482" s="14">
        <v>0.27138079999999998</v>
      </c>
      <c r="E3482" s="14">
        <v>0.49264249999999998</v>
      </c>
      <c r="F3482" s="14">
        <v>5.8458200000000002E-2</v>
      </c>
      <c r="G3482" s="14">
        <v>1.4508369999999999</v>
      </c>
      <c r="H3482" s="14">
        <v>0.31561929999999999</v>
      </c>
      <c r="R3482" s="11">
        <f t="shared" si="110"/>
        <v>2.3772168472043671E-3</v>
      </c>
      <c r="Z3482" s="11">
        <f t="shared" si="109"/>
        <v>3.0747614328458526E-3</v>
      </c>
    </row>
    <row r="3483" spans="1:26" x14ac:dyDescent="0.2">
      <c r="A3483" s="45">
        <v>601</v>
      </c>
      <c r="B3483" s="45">
        <v>2003</v>
      </c>
      <c r="C3483" s="17">
        <v>0</v>
      </c>
      <c r="D3483" s="14">
        <v>0.28055799999999997</v>
      </c>
      <c r="E3483" s="14">
        <v>0.55675960000000002</v>
      </c>
      <c r="F3483" s="14">
        <v>4.8100900000000002E-2</v>
      </c>
      <c r="G3483" s="14">
        <v>1.6995690000000001</v>
      </c>
      <c r="H3483" s="14">
        <v>0.32314749999999998</v>
      </c>
      <c r="R3483" s="11">
        <f t="shared" si="110"/>
        <v>1.5840238896887052E-3</v>
      </c>
      <c r="Z3483" s="11">
        <f t="shared" si="109"/>
        <v>2.0253712353859614E-3</v>
      </c>
    </row>
    <row r="3484" spans="1:26" x14ac:dyDescent="0.2">
      <c r="A3484" s="45">
        <v>601</v>
      </c>
      <c r="B3484" s="45">
        <v>2004</v>
      </c>
      <c r="C3484" s="17">
        <v>0</v>
      </c>
      <c r="D3484" s="14">
        <v>0.26410149999999999</v>
      </c>
      <c r="E3484" s="14">
        <v>0.57184919999999995</v>
      </c>
      <c r="F3484" s="14">
        <v>7.1655899999999995E-2</v>
      </c>
      <c r="G3484" s="14">
        <v>1.7162500000000001</v>
      </c>
      <c r="H3484" s="14">
        <v>0.30392000000000002</v>
      </c>
      <c r="R3484" s="11">
        <f t="shared" si="110"/>
        <v>1.2502723644185214E-3</v>
      </c>
      <c r="Z3484" s="11">
        <f t="shared" si="109"/>
        <v>1.6301396129308344E-3</v>
      </c>
    </row>
    <row r="3485" spans="1:26" x14ac:dyDescent="0.2">
      <c r="A3485" s="45">
        <v>602</v>
      </c>
      <c r="B3485" s="45">
        <v>1995</v>
      </c>
      <c r="C3485" s="17">
        <v>0</v>
      </c>
      <c r="D3485" s="14">
        <v>-2.06965E-2</v>
      </c>
      <c r="E3485" s="14">
        <v>0.42752309999999999</v>
      </c>
      <c r="F3485" s="14">
        <v>4.2485299999999997E-2</v>
      </c>
      <c r="G3485" s="14">
        <v>1.5242469999999999</v>
      </c>
      <c r="H3485" s="14">
        <v>0.18859680000000001</v>
      </c>
      <c r="R3485" s="11">
        <f t="shared" si="110"/>
        <v>2.6409360208062786E-3</v>
      </c>
      <c r="Z3485" s="11">
        <f t="shared" si="109"/>
        <v>3.358412953879837E-3</v>
      </c>
    </row>
    <row r="3486" spans="1:26" x14ac:dyDescent="0.2">
      <c r="A3486" s="45">
        <v>602</v>
      </c>
      <c r="B3486" s="45">
        <v>1996</v>
      </c>
      <c r="C3486" s="17">
        <v>0</v>
      </c>
      <c r="D3486" s="14">
        <v>-3.8346000000000001E-3</v>
      </c>
      <c r="E3486" s="14">
        <v>0.43083070000000001</v>
      </c>
      <c r="F3486" s="14">
        <v>4.59935E-2</v>
      </c>
      <c r="G3486" s="14">
        <v>2.0636540000000001</v>
      </c>
      <c r="H3486" s="14">
        <v>0.27987990000000001</v>
      </c>
      <c r="R3486" s="11">
        <f t="shared" si="110"/>
        <v>1.0835321638434008E-3</v>
      </c>
      <c r="Z3486" s="11">
        <f t="shared" si="109"/>
        <v>1.3663028619068059E-3</v>
      </c>
    </row>
    <row r="3487" spans="1:26" x14ac:dyDescent="0.2">
      <c r="A3487" s="45">
        <v>602</v>
      </c>
      <c r="B3487" s="45">
        <v>1997</v>
      </c>
      <c r="C3487" s="17">
        <v>0</v>
      </c>
      <c r="D3487" s="14">
        <v>-3.6203399999999997E-2</v>
      </c>
      <c r="E3487" s="14">
        <v>0.39030670000000001</v>
      </c>
      <c r="F3487" s="14">
        <v>4.1092299999999998E-2</v>
      </c>
      <c r="G3487" s="14">
        <v>1.424831</v>
      </c>
      <c r="H3487" s="14">
        <v>0.3233065</v>
      </c>
      <c r="R3487" s="11">
        <f t="shared" si="110"/>
        <v>3.3007722991234595E-3</v>
      </c>
      <c r="Z3487" s="11">
        <f t="shared" si="109"/>
        <v>4.1958024963720895E-3</v>
      </c>
    </row>
    <row r="3488" spans="1:26" x14ac:dyDescent="0.2">
      <c r="A3488" s="45">
        <v>602</v>
      </c>
      <c r="B3488" s="45">
        <v>1998</v>
      </c>
      <c r="C3488" s="17">
        <v>0</v>
      </c>
      <c r="D3488" s="14">
        <v>-0.1436624</v>
      </c>
      <c r="E3488" s="14">
        <v>0.29986180000000001</v>
      </c>
      <c r="F3488" s="14">
        <v>3.9427799999999999E-2</v>
      </c>
      <c r="G3488" s="14">
        <v>1.0159769999999999</v>
      </c>
      <c r="H3488" s="14">
        <v>0.19612669999999999</v>
      </c>
      <c r="R3488" s="11">
        <f t="shared" si="110"/>
        <v>7.2900941427646018E-3</v>
      </c>
      <c r="Z3488" s="11">
        <f t="shared" si="109"/>
        <v>9.2985341376793026E-3</v>
      </c>
    </row>
    <row r="3489" spans="1:26" x14ac:dyDescent="0.2">
      <c r="A3489" s="45">
        <v>603</v>
      </c>
      <c r="B3489" s="45">
        <v>1995</v>
      </c>
      <c r="C3489" s="17">
        <v>0</v>
      </c>
      <c r="D3489" s="14">
        <v>0.146843</v>
      </c>
      <c r="E3489" s="14">
        <v>0.32555899999999999</v>
      </c>
      <c r="F3489" s="14">
        <v>7.0921499999999998E-2</v>
      </c>
      <c r="G3489" s="14">
        <v>2.0230450000000002</v>
      </c>
      <c r="H3489" s="14">
        <v>0.34495910000000002</v>
      </c>
      <c r="R3489" s="11">
        <f t="shared" si="110"/>
        <v>1.1036104854319467E-3</v>
      </c>
      <c r="Z3489" s="11">
        <f t="shared" si="109"/>
        <v>1.4164568173649869E-3</v>
      </c>
    </row>
    <row r="3490" spans="1:26" x14ac:dyDescent="0.2">
      <c r="A3490" s="45">
        <v>603</v>
      </c>
      <c r="B3490" s="45">
        <v>1996</v>
      </c>
      <c r="C3490" s="17">
        <v>0</v>
      </c>
      <c r="D3490" s="14">
        <v>0.14406769999999999</v>
      </c>
      <c r="E3490" s="14">
        <v>0.33975640000000001</v>
      </c>
      <c r="F3490" s="14">
        <v>6.8923399999999996E-2</v>
      </c>
      <c r="G3490" s="14">
        <v>1.6345160000000001</v>
      </c>
      <c r="H3490" s="14">
        <v>0.32929710000000001</v>
      </c>
      <c r="R3490" s="11">
        <f t="shared" si="110"/>
        <v>2.0383649910966019E-3</v>
      </c>
      <c r="Z3490" s="11">
        <f t="shared" si="109"/>
        <v>2.6348850052154067E-3</v>
      </c>
    </row>
    <row r="3491" spans="1:26" x14ac:dyDescent="0.2">
      <c r="A3491" s="45">
        <v>603</v>
      </c>
      <c r="B3491" s="45">
        <v>1997</v>
      </c>
      <c r="C3491" s="17">
        <v>0</v>
      </c>
      <c r="D3491" s="14">
        <v>0.22355649999999999</v>
      </c>
      <c r="E3491" s="14">
        <v>0.32432620000000001</v>
      </c>
      <c r="F3491" s="14">
        <v>7.3292499999999997E-2</v>
      </c>
      <c r="G3491" s="14">
        <v>2.5323579999999999</v>
      </c>
      <c r="H3491" s="14">
        <v>0.3715676</v>
      </c>
      <c r="R3491" s="11">
        <f t="shared" si="110"/>
        <v>4.8210061910675106E-4</v>
      </c>
      <c r="Z3491" s="11">
        <f t="shared" si="109"/>
        <v>6.1313918951096157E-4</v>
      </c>
    </row>
    <row r="3492" spans="1:26" x14ac:dyDescent="0.2">
      <c r="A3492" s="45">
        <v>603</v>
      </c>
      <c r="B3492" s="45">
        <v>1998</v>
      </c>
      <c r="C3492" s="17">
        <v>0</v>
      </c>
      <c r="D3492" s="14">
        <v>0.1445922</v>
      </c>
      <c r="E3492" s="14">
        <v>0.20777080000000001</v>
      </c>
      <c r="F3492" s="14">
        <v>5.5022099999999997E-2</v>
      </c>
      <c r="G3492" s="14">
        <v>2.4311560000000001</v>
      </c>
      <c r="H3492" s="14">
        <v>0.34790500000000002</v>
      </c>
      <c r="R3492" s="11">
        <f t="shared" si="110"/>
        <v>7.7646626034078546E-4</v>
      </c>
      <c r="Z3492" s="11">
        <f t="shared" si="109"/>
        <v>9.7105776869278976E-4</v>
      </c>
    </row>
    <row r="3493" spans="1:26" x14ac:dyDescent="0.2">
      <c r="A3493" s="45">
        <v>603</v>
      </c>
      <c r="B3493" s="45">
        <v>1999</v>
      </c>
      <c r="C3493" s="17">
        <v>0</v>
      </c>
      <c r="D3493" s="14">
        <v>0.1468942</v>
      </c>
      <c r="E3493" s="14">
        <v>0.23044139999999999</v>
      </c>
      <c r="F3493" s="14">
        <v>7.3794899999999997E-2</v>
      </c>
      <c r="G3493" s="14">
        <v>1.6832240000000001</v>
      </c>
      <c r="H3493" s="14">
        <v>0.35377819999999999</v>
      </c>
      <c r="R3493" s="11">
        <f t="shared" si="110"/>
        <v>2.1263733625491691E-3</v>
      </c>
      <c r="Z3493" s="11">
        <f t="shared" si="109"/>
        <v>2.7463136156896254E-3</v>
      </c>
    </row>
    <row r="3494" spans="1:26" x14ac:dyDescent="0.2">
      <c r="A3494" s="45">
        <v>603</v>
      </c>
      <c r="B3494" s="45">
        <v>2000</v>
      </c>
      <c r="C3494" s="17">
        <v>0</v>
      </c>
      <c r="D3494" s="14">
        <v>0.16399929999999999</v>
      </c>
      <c r="E3494" s="14">
        <v>0.2668799</v>
      </c>
      <c r="F3494" s="14">
        <v>7.2931099999999999E-2</v>
      </c>
      <c r="G3494" s="14">
        <v>1.542842</v>
      </c>
      <c r="H3494" s="14">
        <v>0.3292119</v>
      </c>
      <c r="R3494" s="11">
        <f t="shared" si="110"/>
        <v>2.5386788573615341E-3</v>
      </c>
      <c r="Z3494" s="11">
        <f t="shared" si="109"/>
        <v>3.2903217925354476E-3</v>
      </c>
    </row>
    <row r="3495" spans="1:26" x14ac:dyDescent="0.2">
      <c r="A3495" s="45">
        <v>603</v>
      </c>
      <c r="B3495" s="45">
        <v>2001</v>
      </c>
      <c r="C3495" s="17">
        <v>0</v>
      </c>
      <c r="D3495" s="14">
        <v>0.1299198</v>
      </c>
      <c r="E3495" s="14">
        <v>0.24304609999999999</v>
      </c>
      <c r="F3495" s="14">
        <v>5.67936E-2</v>
      </c>
      <c r="G3495" s="14">
        <v>1.6723460000000001</v>
      </c>
      <c r="H3495" s="14">
        <v>0.31190509999999999</v>
      </c>
      <c r="R3495" s="11">
        <f t="shared" si="110"/>
        <v>2.4329697213779692E-3</v>
      </c>
      <c r="Z3495" s="11">
        <f t="shared" si="109"/>
        <v>3.1007428812133259E-3</v>
      </c>
    </row>
    <row r="3496" spans="1:26" x14ac:dyDescent="0.2">
      <c r="A3496" s="45">
        <v>603</v>
      </c>
      <c r="B3496" s="45">
        <v>2002</v>
      </c>
      <c r="C3496" s="17">
        <v>0</v>
      </c>
      <c r="D3496" s="14">
        <v>5.9275899999999999E-2</v>
      </c>
      <c r="E3496" s="14">
        <v>0.25898349999999998</v>
      </c>
      <c r="F3496" s="14">
        <v>4.5228299999999999E-2</v>
      </c>
      <c r="G3496" s="14">
        <v>1.467881</v>
      </c>
      <c r="H3496" s="14">
        <v>0.32032310000000003</v>
      </c>
      <c r="R3496" s="11">
        <f t="shared" si="110"/>
        <v>3.6078306090262255E-3</v>
      </c>
      <c r="Z3496" s="11">
        <f t="shared" si="109"/>
        <v>4.576349762574451E-3</v>
      </c>
    </row>
    <row r="3497" spans="1:26" x14ac:dyDescent="0.2">
      <c r="A3497" s="45">
        <v>603</v>
      </c>
      <c r="B3497" s="45">
        <v>2003</v>
      </c>
      <c r="C3497" s="17">
        <v>0</v>
      </c>
      <c r="D3497" s="14">
        <v>5.79958E-2</v>
      </c>
      <c r="E3497" s="14">
        <v>0.2850608</v>
      </c>
      <c r="F3497" s="14">
        <v>6.5995200000000004E-2</v>
      </c>
      <c r="G3497" s="14">
        <v>1.6114329999999999</v>
      </c>
      <c r="H3497" s="14">
        <v>0.31435809999999997</v>
      </c>
      <c r="R3497" s="11">
        <f t="shared" si="110"/>
        <v>2.3433433146355545E-3</v>
      </c>
      <c r="Z3497" s="11">
        <f t="shared" si="109"/>
        <v>3.0174903556258984E-3</v>
      </c>
    </row>
    <row r="3498" spans="1:26" x14ac:dyDescent="0.2">
      <c r="A3498" s="45">
        <v>603</v>
      </c>
      <c r="B3498" s="45">
        <v>2004</v>
      </c>
      <c r="C3498" s="17">
        <v>0</v>
      </c>
      <c r="D3498" s="14">
        <v>0.1152717</v>
      </c>
      <c r="E3498" s="14">
        <v>0.27251409999999998</v>
      </c>
      <c r="F3498" s="14">
        <v>4.7673399999999998E-2</v>
      </c>
      <c r="G3498" s="14">
        <v>1.57165</v>
      </c>
      <c r="H3498" s="14">
        <v>0.318602</v>
      </c>
      <c r="R3498" s="11">
        <f t="shared" si="110"/>
        <v>2.9422555021001088E-3</v>
      </c>
      <c r="Z3498" s="11">
        <f t="shared" si="109"/>
        <v>3.7334511412631284E-3</v>
      </c>
    </row>
    <row r="3499" spans="1:26" x14ac:dyDescent="0.2">
      <c r="A3499" s="45">
        <v>604</v>
      </c>
      <c r="B3499" s="45">
        <v>1995</v>
      </c>
      <c r="C3499" s="17">
        <v>0</v>
      </c>
      <c r="D3499" s="14">
        <v>0.1864188</v>
      </c>
      <c r="E3499" s="14">
        <v>0.10226780000000001</v>
      </c>
      <c r="F3499" s="14">
        <v>4.6249499999999999E-2</v>
      </c>
      <c r="G3499" s="14">
        <v>0.65733039999999998</v>
      </c>
      <c r="H3499" s="14">
        <v>0.2423796</v>
      </c>
      <c r="R3499" s="11">
        <f t="shared" si="110"/>
        <v>1.6148523827745967E-2</v>
      </c>
      <c r="Z3499" s="11">
        <f t="shared" si="109"/>
        <v>2.068258165758886E-2</v>
      </c>
    </row>
    <row r="3500" spans="1:26" x14ac:dyDescent="0.2">
      <c r="A3500" s="45">
        <v>604</v>
      </c>
      <c r="B3500" s="45">
        <v>1996</v>
      </c>
      <c r="C3500" s="17">
        <v>0</v>
      </c>
      <c r="D3500" s="14">
        <v>0.17597560000000001</v>
      </c>
      <c r="E3500" s="14">
        <v>0.1475757</v>
      </c>
      <c r="F3500" s="14">
        <v>4.79119E-2</v>
      </c>
      <c r="G3500" s="14">
        <v>0.80330829999999998</v>
      </c>
      <c r="H3500" s="14">
        <v>0.2343625</v>
      </c>
      <c r="R3500" s="11">
        <f t="shared" si="110"/>
        <v>1.1874081945205305E-2</v>
      </c>
      <c r="Z3500" s="11">
        <f t="shared" si="109"/>
        <v>1.5222086662343684E-2</v>
      </c>
    </row>
    <row r="3501" spans="1:26" x14ac:dyDescent="0.2">
      <c r="A3501" s="45">
        <v>604</v>
      </c>
      <c r="B3501" s="45">
        <v>1997</v>
      </c>
      <c r="C3501" s="17">
        <v>0</v>
      </c>
      <c r="D3501" s="14">
        <v>0.21735370000000001</v>
      </c>
      <c r="E3501" s="14">
        <v>0.16532250000000001</v>
      </c>
      <c r="F3501" s="14">
        <v>3.6569600000000001E-2</v>
      </c>
      <c r="G3501" s="14">
        <v>1.0328120000000001</v>
      </c>
      <c r="H3501" s="14">
        <v>0.27561000000000002</v>
      </c>
      <c r="R3501" s="11">
        <f t="shared" si="110"/>
        <v>8.816590614956649E-3</v>
      </c>
      <c r="Z3501" s="11">
        <f t="shared" si="109"/>
        <v>1.1159698539014846E-2</v>
      </c>
    </row>
    <row r="3502" spans="1:26" x14ac:dyDescent="0.2">
      <c r="A3502" s="45">
        <v>604</v>
      </c>
      <c r="B3502" s="45">
        <v>1998</v>
      </c>
      <c r="C3502" s="17">
        <v>0</v>
      </c>
      <c r="D3502" s="14">
        <v>0.20773469999999999</v>
      </c>
      <c r="E3502" s="14">
        <v>0.16804140000000001</v>
      </c>
      <c r="F3502" s="14">
        <v>2.0016800000000001E-2</v>
      </c>
      <c r="G3502" s="14">
        <v>1.026265</v>
      </c>
      <c r="H3502" s="14">
        <v>0.22985749999999999</v>
      </c>
      <c r="R3502" s="11">
        <f t="shared" si="110"/>
        <v>1.0116919732358162E-2</v>
      </c>
      <c r="Z3502" s="11">
        <f t="shared" si="109"/>
        <v>1.263376442470026E-2</v>
      </c>
    </row>
    <row r="3503" spans="1:26" x14ac:dyDescent="0.2">
      <c r="A3503" s="45">
        <v>604</v>
      </c>
      <c r="B3503" s="45">
        <v>2000</v>
      </c>
      <c r="C3503" s="17">
        <v>0</v>
      </c>
      <c r="D3503" s="14">
        <v>0.1442262</v>
      </c>
      <c r="E3503" s="14">
        <v>0.14507890000000001</v>
      </c>
      <c r="F3503" s="14">
        <v>2.6510599999999999E-2</v>
      </c>
      <c r="G3503" s="14">
        <v>1.518861</v>
      </c>
      <c r="H3503" s="14">
        <v>0.22311329999999999</v>
      </c>
      <c r="R3503" s="11">
        <f t="shared" si="110"/>
        <v>4.555146341217212E-3</v>
      </c>
      <c r="Z3503" s="11">
        <f t="shared" si="109"/>
        <v>5.6606811679992637E-3</v>
      </c>
    </row>
    <row r="3504" spans="1:26" x14ac:dyDescent="0.2">
      <c r="A3504" s="45">
        <v>604</v>
      </c>
      <c r="B3504" s="45">
        <v>2001</v>
      </c>
      <c r="C3504" s="17">
        <v>0</v>
      </c>
      <c r="D3504" s="14">
        <v>0.1381445</v>
      </c>
      <c r="E3504" s="14">
        <v>0.1472435</v>
      </c>
      <c r="F3504" s="14">
        <v>3.2829299999999999E-2</v>
      </c>
      <c r="G3504" s="14">
        <v>1.10005</v>
      </c>
      <c r="H3504" s="14">
        <v>0.24610570000000001</v>
      </c>
      <c r="R3504" s="11">
        <f t="shared" si="110"/>
        <v>8.3823581480713914E-3</v>
      </c>
      <c r="Z3504" s="11">
        <f t="shared" si="109"/>
        <v>1.0557197180061553E-2</v>
      </c>
    </row>
    <row r="3505" spans="1:26" x14ac:dyDescent="0.2">
      <c r="A3505" s="45">
        <v>604</v>
      </c>
      <c r="B3505" s="45">
        <v>2002</v>
      </c>
      <c r="C3505" s="17">
        <v>0</v>
      </c>
      <c r="D3505" s="14">
        <v>0.1191363</v>
      </c>
      <c r="E3505" s="14">
        <v>0.1454502</v>
      </c>
      <c r="F3505" s="14">
        <v>3.3014700000000001E-2</v>
      </c>
      <c r="G3505" s="14">
        <v>0.67252049999999997</v>
      </c>
      <c r="H3505" s="14">
        <v>0.2378255</v>
      </c>
      <c r="R3505" s="11">
        <f t="shared" si="110"/>
        <v>1.6451095199212801E-2</v>
      </c>
      <c r="Z3505" s="11">
        <f t="shared" si="109"/>
        <v>2.0869097603783804E-2</v>
      </c>
    </row>
    <row r="3506" spans="1:26" x14ac:dyDescent="0.2">
      <c r="A3506" s="45">
        <v>604</v>
      </c>
      <c r="B3506" s="45">
        <v>2003</v>
      </c>
      <c r="C3506" s="17">
        <v>0</v>
      </c>
      <c r="D3506" s="14">
        <v>6.92831E-2</v>
      </c>
      <c r="E3506" s="14">
        <v>0.12669749999999999</v>
      </c>
      <c r="F3506" s="14">
        <v>1.7898799999999999E-2</v>
      </c>
      <c r="G3506" s="14">
        <v>0.63692720000000003</v>
      </c>
      <c r="H3506" s="14">
        <v>0.24263760000000001</v>
      </c>
      <c r="R3506" s="11">
        <f t="shared" si="110"/>
        <v>2.0116876044216643E-2</v>
      </c>
      <c r="Z3506" s="11">
        <f t="shared" si="109"/>
        <v>2.5191258648959901E-2</v>
      </c>
    </row>
    <row r="3507" spans="1:26" x14ac:dyDescent="0.2">
      <c r="A3507" s="45">
        <v>604</v>
      </c>
      <c r="B3507" s="45">
        <v>2004</v>
      </c>
      <c r="C3507" s="17">
        <v>0</v>
      </c>
      <c r="D3507" s="14">
        <v>0.11392620000000001</v>
      </c>
      <c r="E3507" s="14">
        <v>0.14548910000000001</v>
      </c>
      <c r="F3507" s="14">
        <v>2.65507E-2</v>
      </c>
      <c r="G3507" s="14">
        <v>0.624552</v>
      </c>
      <c r="H3507" s="14">
        <v>0.19178039999999999</v>
      </c>
      <c r="R3507" s="11">
        <f t="shared" si="110"/>
        <v>1.8657311335097609E-2</v>
      </c>
      <c r="Z3507" s="11">
        <f t="shared" si="109"/>
        <v>2.3555811093871681E-2</v>
      </c>
    </row>
    <row r="3508" spans="1:26" x14ac:dyDescent="0.2">
      <c r="A3508" s="45">
        <v>605</v>
      </c>
      <c r="B3508" s="45">
        <v>1995</v>
      </c>
      <c r="C3508" s="17">
        <v>0</v>
      </c>
      <c r="D3508" s="14">
        <v>0.11444509999999999</v>
      </c>
      <c r="E3508" s="14">
        <v>0.1202177</v>
      </c>
      <c r="F3508" s="14">
        <v>7.81274E-2</v>
      </c>
      <c r="G3508" s="14">
        <v>0.68567409999999995</v>
      </c>
      <c r="H3508" s="14">
        <v>0.2056374</v>
      </c>
      <c r="R3508" s="11">
        <f t="shared" si="110"/>
        <v>1.1705667841326562E-2</v>
      </c>
      <c r="Z3508" s="11">
        <f t="shared" si="109"/>
        <v>1.5402491190378207E-2</v>
      </c>
    </row>
    <row r="3509" spans="1:26" x14ac:dyDescent="0.2">
      <c r="A3509" s="45">
        <v>605</v>
      </c>
      <c r="B3509" s="45">
        <v>1996</v>
      </c>
      <c r="C3509" s="17">
        <v>0</v>
      </c>
      <c r="D3509" s="14">
        <v>0.14706279999999999</v>
      </c>
      <c r="E3509" s="14">
        <v>0.17449600000000001</v>
      </c>
      <c r="F3509" s="14">
        <v>8.8418099999999999E-2</v>
      </c>
      <c r="G3509" s="14">
        <v>1.408118</v>
      </c>
      <c r="H3509" s="14">
        <v>0.21652370000000001</v>
      </c>
      <c r="R3509" s="11">
        <f t="shared" si="110"/>
        <v>3.1776599099073784E-3</v>
      </c>
      <c r="Z3509" s="11">
        <f t="shared" si="109"/>
        <v>4.1692663321600655E-3</v>
      </c>
    </row>
    <row r="3510" spans="1:26" x14ac:dyDescent="0.2">
      <c r="A3510" s="45">
        <v>605</v>
      </c>
      <c r="B3510" s="45">
        <v>1997</v>
      </c>
      <c r="C3510" s="17">
        <v>0</v>
      </c>
      <c r="D3510" s="14">
        <v>0.19128200000000001</v>
      </c>
      <c r="E3510" s="14">
        <v>0.22805329999999999</v>
      </c>
      <c r="F3510" s="14">
        <v>8.1871200000000005E-2</v>
      </c>
      <c r="G3510" s="14">
        <v>2.8817620000000002</v>
      </c>
      <c r="H3510" s="14">
        <v>0.33108900000000002</v>
      </c>
      <c r="R3510" s="11">
        <f t="shared" si="110"/>
        <v>2.9675038474170397E-4</v>
      </c>
      <c r="Z3510" s="11">
        <f t="shared" si="109"/>
        <v>3.7593644160149658E-4</v>
      </c>
    </row>
    <row r="3511" spans="1:26" x14ac:dyDescent="0.2">
      <c r="A3511" s="45">
        <v>605</v>
      </c>
      <c r="B3511" s="45">
        <v>1998</v>
      </c>
      <c r="C3511" s="17">
        <v>0</v>
      </c>
      <c r="D3511" s="14">
        <v>0.22009500000000001</v>
      </c>
      <c r="E3511" s="14">
        <v>0.34464879999999998</v>
      </c>
      <c r="F3511" s="14">
        <v>9.7459599999999993E-2</v>
      </c>
      <c r="G3511" s="14">
        <v>3.8621159999999999</v>
      </c>
      <c r="H3511" s="14">
        <v>0.25114209999999998</v>
      </c>
      <c r="R3511" s="11">
        <f t="shared" si="110"/>
        <v>4.6368970364645557E-5</v>
      </c>
      <c r="Z3511" s="11">
        <f t="shared" si="109"/>
        <v>5.8464044155996928E-5</v>
      </c>
    </row>
    <row r="3512" spans="1:26" x14ac:dyDescent="0.2">
      <c r="A3512" s="45">
        <v>605</v>
      </c>
      <c r="B3512" s="45">
        <v>1999</v>
      </c>
      <c r="C3512" s="17">
        <v>0</v>
      </c>
      <c r="D3512" s="14">
        <v>0.1374997</v>
      </c>
      <c r="E3512" s="14">
        <v>0.44835199999999997</v>
      </c>
      <c r="F3512" s="14">
        <v>8.7221400000000004E-2</v>
      </c>
      <c r="G3512" s="14">
        <v>3.138242</v>
      </c>
      <c r="H3512" s="14">
        <v>0.26148349999999998</v>
      </c>
      <c r="R3512" s="11">
        <f t="shared" si="110"/>
        <v>1.371685520570376E-4</v>
      </c>
      <c r="Z3512" s="11">
        <f t="shared" si="109"/>
        <v>1.7487462390333451E-4</v>
      </c>
    </row>
    <row r="3513" spans="1:26" x14ac:dyDescent="0.2">
      <c r="A3513" s="45">
        <v>606</v>
      </c>
      <c r="B3513" s="45">
        <v>1998</v>
      </c>
      <c r="C3513" s="17">
        <v>0</v>
      </c>
      <c r="D3513" s="14">
        <v>6.6646499999999997E-2</v>
      </c>
      <c r="E3513" s="14">
        <v>4.3162600000000002E-2</v>
      </c>
      <c r="F3513" s="14">
        <v>6.04296E-2</v>
      </c>
      <c r="G3513" s="14">
        <v>0.79527619999999999</v>
      </c>
      <c r="H3513" s="14">
        <v>0.41068700000000002</v>
      </c>
      <c r="R3513" s="11">
        <f t="shared" si="110"/>
        <v>1.265504889375603E-2</v>
      </c>
      <c r="Z3513" s="11">
        <f t="shared" si="109"/>
        <v>1.6329445424938863E-2</v>
      </c>
    </row>
    <row r="3514" spans="1:26" x14ac:dyDescent="0.2">
      <c r="A3514" s="45">
        <v>606</v>
      </c>
      <c r="B3514" s="45">
        <v>1999</v>
      </c>
      <c r="C3514" s="17">
        <v>0</v>
      </c>
      <c r="D3514" s="14">
        <v>-0.33408189999999999</v>
      </c>
      <c r="E3514" s="14">
        <v>3.1808299999999998E-2</v>
      </c>
      <c r="F3514" s="14">
        <v>5.6999099999999997E-2</v>
      </c>
      <c r="G3514" s="14">
        <v>0.34456290000000001</v>
      </c>
      <c r="H3514" s="14">
        <v>0.15707399999999999</v>
      </c>
      <c r="R3514" s="11">
        <f t="shared" si="110"/>
        <v>2.6733019412093662E-2</v>
      </c>
      <c r="Z3514" s="11">
        <f t="shared" si="109"/>
        <v>3.4576497259667792E-2</v>
      </c>
    </row>
    <row r="3515" spans="1:26" x14ac:dyDescent="0.2">
      <c r="A3515" s="45">
        <v>606</v>
      </c>
      <c r="B3515" s="45">
        <v>2000</v>
      </c>
      <c r="C3515" s="17">
        <v>0</v>
      </c>
      <c r="D3515" s="14">
        <v>-3.8449999999999998E-2</v>
      </c>
      <c r="E3515" s="14">
        <v>2.3484600000000001E-2</v>
      </c>
      <c r="F3515" s="14">
        <v>5.8215000000000003E-2</v>
      </c>
      <c r="G3515" s="14">
        <v>0.42702119999999999</v>
      </c>
      <c r="H3515" s="14">
        <v>0.20552819999999999</v>
      </c>
      <c r="R3515" s="11">
        <f t="shared" si="110"/>
        <v>2.357324760144321E-2</v>
      </c>
      <c r="Z3515" s="11">
        <f t="shared" si="109"/>
        <v>3.048605610166244E-2</v>
      </c>
    </row>
    <row r="3516" spans="1:26" x14ac:dyDescent="0.2">
      <c r="A3516" s="45">
        <v>606</v>
      </c>
      <c r="B3516" s="45">
        <v>2001</v>
      </c>
      <c r="C3516" s="17">
        <v>0</v>
      </c>
      <c r="D3516" s="14">
        <v>-3.3004199999999997E-2</v>
      </c>
      <c r="E3516" s="14">
        <v>9.1795000000000002E-3</v>
      </c>
      <c r="F3516" s="14">
        <v>2.5929799999999999E-2</v>
      </c>
      <c r="G3516" s="14">
        <v>0.29479309999999997</v>
      </c>
      <c r="H3516" s="14">
        <v>0.18395439999999999</v>
      </c>
      <c r="R3516" s="11">
        <f t="shared" si="110"/>
        <v>3.7905437808913242E-2</v>
      </c>
      <c r="Z3516" s="11">
        <f t="shared" si="109"/>
        <v>4.7706801244984366E-2</v>
      </c>
    </row>
    <row r="3517" spans="1:26" x14ac:dyDescent="0.2">
      <c r="A3517" s="45">
        <v>606</v>
      </c>
      <c r="B3517" s="45">
        <v>2002</v>
      </c>
      <c r="C3517" s="17">
        <v>0</v>
      </c>
      <c r="D3517" s="14">
        <v>-1.6816999999999999E-2</v>
      </c>
      <c r="E3517" s="14">
        <v>-4.5910999999999999E-3</v>
      </c>
      <c r="F3517" s="14">
        <v>4.61885E-2</v>
      </c>
      <c r="G3517" s="14">
        <v>0.18037149999999999</v>
      </c>
      <c r="H3517" s="14">
        <v>0.19894719999999999</v>
      </c>
      <c r="R3517" s="11">
        <f t="shared" si="110"/>
        <v>3.9403326893604054E-2</v>
      </c>
      <c r="Z3517" s="11">
        <f t="shared" si="109"/>
        <v>5.0458334712879853E-2</v>
      </c>
    </row>
    <row r="3518" spans="1:26" x14ac:dyDescent="0.2">
      <c r="A3518" s="45">
        <v>606</v>
      </c>
      <c r="B3518" s="45">
        <v>2003</v>
      </c>
      <c r="C3518" s="17">
        <v>0</v>
      </c>
      <c r="D3518" s="14">
        <v>8.2727700000000001E-2</v>
      </c>
      <c r="E3518" s="14">
        <v>-4.1012699999999999E-2</v>
      </c>
      <c r="F3518" s="14">
        <v>4.75837E-2</v>
      </c>
      <c r="G3518" s="14">
        <v>0.21556030000000001</v>
      </c>
      <c r="H3518" s="14">
        <v>0.17210619999999999</v>
      </c>
      <c r="R3518" s="11">
        <f t="shared" si="110"/>
        <v>3.8866389749437305E-2</v>
      </c>
      <c r="Z3518" s="11">
        <f t="shared" si="109"/>
        <v>4.97369688594421E-2</v>
      </c>
    </row>
    <row r="3519" spans="1:26" x14ac:dyDescent="0.2">
      <c r="A3519" s="45">
        <v>606</v>
      </c>
      <c r="B3519" s="45">
        <v>2004</v>
      </c>
      <c r="C3519" s="17">
        <v>0</v>
      </c>
      <c r="D3519" s="14">
        <v>9.3719700000000003E-2</v>
      </c>
      <c r="E3519" s="14">
        <v>-5.7528900000000001E-2</v>
      </c>
      <c r="F3519" s="14">
        <v>5.8604299999999998E-2</v>
      </c>
      <c r="G3519" s="14">
        <v>0.2426189</v>
      </c>
      <c r="H3519" s="14">
        <v>0.204126</v>
      </c>
      <c r="R3519" s="11">
        <f t="shared" si="110"/>
        <v>3.5051932417528339E-2</v>
      </c>
      <c r="Z3519" s="11">
        <f t="shared" si="109"/>
        <v>4.5244304324654122E-2</v>
      </c>
    </row>
    <row r="3520" spans="1:26" x14ac:dyDescent="0.2">
      <c r="A3520" s="45">
        <v>607</v>
      </c>
      <c r="B3520" s="45">
        <v>1999</v>
      </c>
      <c r="C3520" s="17">
        <v>0</v>
      </c>
      <c r="D3520" s="14">
        <v>-8.6381799999999995E-2</v>
      </c>
      <c r="E3520" s="14">
        <v>0.1251813</v>
      </c>
      <c r="F3520" s="14">
        <v>3.3266400000000002E-2</v>
      </c>
      <c r="G3520" s="14">
        <v>0.33156429999999998</v>
      </c>
      <c r="H3520" s="14">
        <v>8.3767499999999995E-2</v>
      </c>
      <c r="R3520" s="11">
        <f t="shared" si="110"/>
        <v>2.874929317777835E-2</v>
      </c>
      <c r="Z3520" s="11">
        <f t="shared" si="109"/>
        <v>3.6594652532955615E-2</v>
      </c>
    </row>
    <row r="3521" spans="1:26" x14ac:dyDescent="0.2">
      <c r="A3521" s="45">
        <v>607</v>
      </c>
      <c r="B3521" s="45">
        <v>2000</v>
      </c>
      <c r="C3521" s="17">
        <v>0</v>
      </c>
      <c r="D3521" s="14">
        <v>-0.1245246</v>
      </c>
      <c r="E3521" s="14">
        <v>4.43191E-2</v>
      </c>
      <c r="F3521" s="14">
        <v>-7.6562900000000003E-2</v>
      </c>
      <c r="G3521" s="14">
        <v>0.18025379999999999</v>
      </c>
      <c r="H3521" s="14">
        <v>6.3264100000000004E-2</v>
      </c>
      <c r="R3521" s="11">
        <f t="shared" si="110"/>
        <v>9.2562760626863777E-2</v>
      </c>
      <c r="Z3521" s="11">
        <f t="shared" si="109"/>
        <v>0.10690000384835587</v>
      </c>
    </row>
    <row r="3522" spans="1:26" x14ac:dyDescent="0.2">
      <c r="A3522" s="45">
        <v>607</v>
      </c>
      <c r="B3522" s="45">
        <v>2001</v>
      </c>
      <c r="C3522" s="17">
        <v>0</v>
      </c>
      <c r="D3522" s="14">
        <v>-3.64909E-2</v>
      </c>
      <c r="E3522" s="14">
        <v>6.8083599999999994E-2</v>
      </c>
      <c r="F3522" s="14">
        <v>0.1348587</v>
      </c>
      <c r="G3522" s="14">
        <v>0.18493770000000001</v>
      </c>
      <c r="H3522" s="14">
        <v>9.2816200000000001E-2</v>
      </c>
      <c r="R3522" s="11">
        <f t="shared" si="110"/>
        <v>1.7706997039179322E-2</v>
      </c>
      <c r="Z3522" s="11">
        <f t="shared" ref="Z3522:Z3585" si="111">1/(1+EXP(-(U$2+$V$2*E3522+$W$2*F3522+$X$2*G3522)))</f>
        <v>2.455487367123204E-2</v>
      </c>
    </row>
    <row r="3523" spans="1:26" x14ac:dyDescent="0.2">
      <c r="A3523" s="45">
        <v>607</v>
      </c>
      <c r="B3523" s="45">
        <v>2002</v>
      </c>
      <c r="C3523" s="17">
        <v>0</v>
      </c>
      <c r="D3523" s="14">
        <v>-9.7030999999999992E-3</v>
      </c>
      <c r="E3523" s="14">
        <v>9.9390300000000001E-2</v>
      </c>
      <c r="F3523" s="14">
        <v>3.4395500000000002E-2</v>
      </c>
      <c r="G3523" s="14">
        <v>0.16811770000000001</v>
      </c>
      <c r="H3523" s="14">
        <v>9.0604500000000004E-2</v>
      </c>
      <c r="R3523" s="11">
        <f t="shared" si="110"/>
        <v>3.8014380348373115E-2</v>
      </c>
      <c r="Z3523" s="11">
        <f t="shared" si="111"/>
        <v>4.8429951625144345E-2</v>
      </c>
    </row>
    <row r="3524" spans="1:26" x14ac:dyDescent="0.2">
      <c r="A3524" s="45">
        <v>607</v>
      </c>
      <c r="B3524" s="45">
        <v>2003</v>
      </c>
      <c r="C3524" s="17">
        <v>0</v>
      </c>
      <c r="D3524" s="14">
        <v>-4.6522999999999998E-3</v>
      </c>
      <c r="E3524" s="14">
        <v>0.13836670000000001</v>
      </c>
      <c r="F3524" s="14">
        <v>4.4607500000000001E-2</v>
      </c>
      <c r="G3524" s="14">
        <v>0.28290090000000001</v>
      </c>
      <c r="H3524" s="14">
        <v>8.3183999999999994E-2</v>
      </c>
      <c r="R3524" s="11">
        <f t="shared" si="110"/>
        <v>2.7859895621005538E-2</v>
      </c>
      <c r="Z3524" s="11">
        <f t="shared" si="111"/>
        <v>3.5843460720482098E-2</v>
      </c>
    </row>
    <row r="3525" spans="1:26" x14ac:dyDescent="0.2">
      <c r="A3525" s="45">
        <v>607</v>
      </c>
      <c r="B3525" s="45">
        <v>2004</v>
      </c>
      <c r="C3525" s="17">
        <v>0</v>
      </c>
      <c r="D3525" s="14">
        <v>6.6321599999999994E-2</v>
      </c>
      <c r="E3525" s="14">
        <v>0.1559372</v>
      </c>
      <c r="F3525" s="14">
        <v>3.44309E-2</v>
      </c>
      <c r="G3525" s="14">
        <v>0.42451</v>
      </c>
      <c r="H3525" s="14">
        <v>0.1031242</v>
      </c>
      <c r="R3525" s="11">
        <f t="shared" si="110"/>
        <v>2.3611566479123724E-2</v>
      </c>
      <c r="Z3525" s="11">
        <f t="shared" si="111"/>
        <v>3.0097234965650529E-2</v>
      </c>
    </row>
    <row r="3526" spans="1:26" x14ac:dyDescent="0.2">
      <c r="A3526" s="45">
        <v>608</v>
      </c>
      <c r="B3526" s="45">
        <v>1997</v>
      </c>
      <c r="C3526" s="17">
        <v>0</v>
      </c>
      <c r="D3526" s="14">
        <v>-2.2073700000000002E-2</v>
      </c>
      <c r="E3526" s="14">
        <v>0.13781479999999999</v>
      </c>
      <c r="F3526" s="14">
        <v>4.2392399999999997E-2</v>
      </c>
      <c r="G3526" s="14">
        <v>0.74458590000000002</v>
      </c>
      <c r="H3526" s="14">
        <v>0.1223863</v>
      </c>
      <c r="R3526" s="11">
        <f t="shared" si="110"/>
        <v>1.3795394156359646E-2</v>
      </c>
      <c r="Z3526" s="11">
        <f t="shared" si="111"/>
        <v>1.7613633999552493E-2</v>
      </c>
    </row>
    <row r="3527" spans="1:26" x14ac:dyDescent="0.2">
      <c r="A3527" s="45">
        <v>608</v>
      </c>
      <c r="B3527" s="45">
        <v>1998</v>
      </c>
      <c r="C3527" s="17">
        <v>0</v>
      </c>
      <c r="D3527" s="14">
        <v>-2.3962000000000001E-2</v>
      </c>
      <c r="E3527" s="14">
        <v>0.1369196</v>
      </c>
      <c r="F3527" s="14">
        <v>2.9426500000000001E-2</v>
      </c>
      <c r="G3527" s="14">
        <v>0.80728520000000004</v>
      </c>
      <c r="H3527" s="14">
        <v>9.5844899999999997E-2</v>
      </c>
      <c r="R3527" s="11">
        <f t="shared" si="110"/>
        <v>1.3864944240881716E-2</v>
      </c>
      <c r="Z3527" s="11">
        <f t="shared" si="111"/>
        <v>1.7493947321915164E-2</v>
      </c>
    </row>
    <row r="3528" spans="1:26" x14ac:dyDescent="0.2">
      <c r="A3528" s="45">
        <v>608</v>
      </c>
      <c r="B3528" s="45">
        <v>1999</v>
      </c>
      <c r="C3528" s="17">
        <v>0</v>
      </c>
      <c r="D3528" s="14">
        <v>-6.5946400000000002E-2</v>
      </c>
      <c r="E3528" s="14">
        <v>0.14164860000000001</v>
      </c>
      <c r="F3528" s="14">
        <v>4.0127099999999999E-2</v>
      </c>
      <c r="G3528" s="14">
        <v>0.5745711</v>
      </c>
      <c r="H3528" s="14">
        <v>9.8589399999999994E-2</v>
      </c>
      <c r="R3528" s="11">
        <f t="shared" si="110"/>
        <v>1.8234293390930512E-2</v>
      </c>
      <c r="Z3528" s="11">
        <f t="shared" si="111"/>
        <v>2.3298036249969092E-2</v>
      </c>
    </row>
    <row r="3529" spans="1:26" x14ac:dyDescent="0.2">
      <c r="A3529" s="45">
        <v>608</v>
      </c>
      <c r="B3529" s="45">
        <v>2000</v>
      </c>
      <c r="C3529" s="17">
        <v>0</v>
      </c>
      <c r="D3529" s="14">
        <v>-3.4359E-3</v>
      </c>
      <c r="E3529" s="14">
        <v>0.182035</v>
      </c>
      <c r="F3529" s="14">
        <v>3.3757099999999998E-2</v>
      </c>
      <c r="G3529" s="14">
        <v>1.0915349999999999</v>
      </c>
      <c r="H3529" s="14">
        <v>0.1080651</v>
      </c>
      <c r="R3529" s="11">
        <f t="shared" si="110"/>
        <v>8.0209275047155755E-3</v>
      </c>
      <c r="Z3529" s="11">
        <f t="shared" si="111"/>
        <v>1.0124377058633961E-2</v>
      </c>
    </row>
    <row r="3530" spans="1:26" x14ac:dyDescent="0.2">
      <c r="A3530" s="45">
        <v>608</v>
      </c>
      <c r="B3530" s="45">
        <v>2001</v>
      </c>
      <c r="C3530" s="17">
        <v>0</v>
      </c>
      <c r="D3530" s="14">
        <v>-2.10587E-2</v>
      </c>
      <c r="E3530" s="14">
        <v>0.17532439999999999</v>
      </c>
      <c r="F3530" s="14">
        <v>3.2849900000000001E-2</v>
      </c>
      <c r="G3530" s="14">
        <v>0.84591179999999999</v>
      </c>
      <c r="H3530" s="14">
        <v>0.10699649999999999</v>
      </c>
      <c r="R3530" s="11">
        <f t="shared" si="110"/>
        <v>1.2018579602153898E-2</v>
      </c>
      <c r="Z3530" s="11">
        <f t="shared" si="111"/>
        <v>1.5220716548409386E-2</v>
      </c>
    </row>
    <row r="3531" spans="1:26" x14ac:dyDescent="0.2">
      <c r="A3531" s="45">
        <v>608</v>
      </c>
      <c r="B3531" s="45">
        <v>2002</v>
      </c>
      <c r="C3531" s="17">
        <v>0</v>
      </c>
      <c r="D3531" s="14">
        <v>-2.5787899999999999E-2</v>
      </c>
      <c r="E3531" s="14">
        <v>0.1871227</v>
      </c>
      <c r="F3531" s="14">
        <v>3.8020600000000002E-2</v>
      </c>
      <c r="G3531" s="14">
        <v>0.91142809999999996</v>
      </c>
      <c r="H3531" s="14">
        <v>0.1048945</v>
      </c>
      <c r="R3531" s="11">
        <f t="shared" si="110"/>
        <v>1.02301596598183E-2</v>
      </c>
      <c r="Z3531" s="11">
        <f t="shared" si="111"/>
        <v>1.3003060956184115E-2</v>
      </c>
    </row>
    <row r="3532" spans="1:26" x14ac:dyDescent="0.2">
      <c r="A3532" s="45">
        <v>608</v>
      </c>
      <c r="B3532" s="45">
        <v>2003</v>
      </c>
      <c r="C3532" s="17">
        <v>0</v>
      </c>
      <c r="D3532" s="14">
        <v>4.4263999999999996E-3</v>
      </c>
      <c r="E3532" s="14">
        <v>0.1864469</v>
      </c>
      <c r="F3532" s="14">
        <v>4.4072600000000003E-2</v>
      </c>
      <c r="G3532" s="14">
        <v>0.9122555</v>
      </c>
      <c r="H3532" s="14">
        <v>0.1110449</v>
      </c>
      <c r="R3532" s="11">
        <f t="shared" si="110"/>
        <v>9.7481820084592639E-3</v>
      </c>
      <c r="Z3532" s="11">
        <f t="shared" si="111"/>
        <v>1.2452429312090377E-2</v>
      </c>
    </row>
    <row r="3533" spans="1:26" x14ac:dyDescent="0.2">
      <c r="A3533" s="45">
        <v>608</v>
      </c>
      <c r="B3533" s="45">
        <v>2004</v>
      </c>
      <c r="C3533" s="17">
        <v>0</v>
      </c>
      <c r="D3533" s="14">
        <v>2.4864000000000001E-2</v>
      </c>
      <c r="E3533" s="14">
        <v>0.17983170000000001</v>
      </c>
      <c r="F3533" s="14">
        <v>3.6069900000000002E-2</v>
      </c>
      <c r="G3533" s="14">
        <v>0.96381329999999998</v>
      </c>
      <c r="H3533" s="14">
        <v>0.1061556</v>
      </c>
      <c r="R3533" s="11">
        <f t="shared" si="110"/>
        <v>9.6661887761812209E-3</v>
      </c>
      <c r="Z3533" s="11">
        <f t="shared" si="111"/>
        <v>1.2251734465983976E-2</v>
      </c>
    </row>
    <row r="3534" spans="1:26" x14ac:dyDescent="0.2">
      <c r="A3534" s="45">
        <v>609</v>
      </c>
      <c r="B3534" s="45">
        <v>1995</v>
      </c>
      <c r="C3534" s="17">
        <v>0</v>
      </c>
      <c r="D3534" s="14">
        <v>7.7140799999999995E-2</v>
      </c>
      <c r="E3534" s="14">
        <v>5.4256499999999999E-2</v>
      </c>
      <c r="F3534" s="14">
        <v>3.1534699999999999E-2</v>
      </c>
      <c r="G3534" s="14">
        <v>0.29492020000000002</v>
      </c>
      <c r="H3534" s="14">
        <v>0.1010564</v>
      </c>
      <c r="R3534" s="11">
        <f t="shared" si="110"/>
        <v>3.407252124110071E-2</v>
      </c>
      <c r="Z3534" s="11">
        <f t="shared" si="111"/>
        <v>4.317983894386325E-2</v>
      </c>
    </row>
    <row r="3535" spans="1:26" x14ac:dyDescent="0.2">
      <c r="A3535" s="45">
        <v>609</v>
      </c>
      <c r="B3535" s="45">
        <v>1996</v>
      </c>
      <c r="C3535" s="17">
        <v>0</v>
      </c>
      <c r="D3535" s="14">
        <v>8.6761000000000008E-3</v>
      </c>
      <c r="E3535" s="14">
        <v>5.9485000000000003E-2</v>
      </c>
      <c r="F3535" s="14">
        <v>4.0456100000000002E-2</v>
      </c>
      <c r="G3535" s="14">
        <v>0.52416320000000005</v>
      </c>
      <c r="H3535" s="14">
        <v>0.1244561</v>
      </c>
      <c r="R3535" s="11">
        <f t="shared" si="110"/>
        <v>2.2120471250876544E-2</v>
      </c>
      <c r="Z3535" s="11">
        <f t="shared" si="111"/>
        <v>2.8193003081683179E-2</v>
      </c>
    </row>
    <row r="3536" spans="1:26" x14ac:dyDescent="0.2">
      <c r="A3536" s="45">
        <v>609</v>
      </c>
      <c r="B3536" s="45">
        <v>1997</v>
      </c>
      <c r="C3536" s="17">
        <v>0</v>
      </c>
      <c r="D3536" s="14">
        <v>1.37065E-2</v>
      </c>
      <c r="E3536" s="14">
        <v>6.2887200000000004E-2</v>
      </c>
      <c r="F3536" s="14">
        <v>3.0427900000000001E-2</v>
      </c>
      <c r="G3536" s="14">
        <v>0.57106049999999997</v>
      </c>
      <c r="H3536" s="14">
        <v>0.122751</v>
      </c>
      <c r="R3536" s="11">
        <f t="shared" si="110"/>
        <v>2.2132025963069939E-2</v>
      </c>
      <c r="Z3536" s="11">
        <f t="shared" si="111"/>
        <v>2.795827293509227E-2</v>
      </c>
    </row>
    <row r="3537" spans="1:26" x14ac:dyDescent="0.2">
      <c r="A3537" s="45">
        <v>609</v>
      </c>
      <c r="B3537" s="45">
        <v>1998</v>
      </c>
      <c r="C3537" s="17">
        <v>0</v>
      </c>
      <c r="D3537" s="14">
        <v>1.45302E-2</v>
      </c>
      <c r="E3537" s="14">
        <v>3.87956E-2</v>
      </c>
      <c r="F3537" s="14">
        <v>3.1900199999999997E-2</v>
      </c>
      <c r="G3537" s="14">
        <v>0.85357550000000004</v>
      </c>
      <c r="H3537" s="14">
        <v>0.1334515</v>
      </c>
      <c r="R3537" s="11">
        <f t="shared" si="110"/>
        <v>1.4552822472579231E-2</v>
      </c>
      <c r="Z3537" s="11">
        <f t="shared" si="111"/>
        <v>1.8316125925452561E-2</v>
      </c>
    </row>
    <row r="3538" spans="1:26" x14ac:dyDescent="0.2">
      <c r="A3538" s="45">
        <v>609</v>
      </c>
      <c r="B3538" s="45">
        <v>1999</v>
      </c>
      <c r="C3538" s="17">
        <v>0</v>
      </c>
      <c r="D3538" s="14">
        <v>-1.6808900000000002E-2</v>
      </c>
      <c r="E3538" s="14">
        <v>2.1377400000000001E-2</v>
      </c>
      <c r="F3538" s="14">
        <v>2.4628799999999999E-2</v>
      </c>
      <c r="G3538" s="14">
        <v>0.84779380000000004</v>
      </c>
      <c r="H3538" s="14">
        <v>0.119183</v>
      </c>
      <c r="R3538" s="11">
        <f t="shared" si="110"/>
        <v>1.5943907807966652E-2</v>
      </c>
      <c r="Z3538" s="11">
        <f t="shared" si="111"/>
        <v>1.9933609931844447E-2</v>
      </c>
    </row>
    <row r="3539" spans="1:26" x14ac:dyDescent="0.2">
      <c r="A3539" s="45">
        <v>609</v>
      </c>
      <c r="B3539" s="45">
        <v>2000</v>
      </c>
      <c r="C3539" s="17">
        <v>0</v>
      </c>
      <c r="D3539" s="14">
        <v>0.1091138</v>
      </c>
      <c r="E3539" s="14">
        <v>8.4858699999999995E-2</v>
      </c>
      <c r="F3539" s="14">
        <v>3.7728699999999997E-2</v>
      </c>
      <c r="G3539" s="14">
        <v>0.64231870000000002</v>
      </c>
      <c r="H3539" s="14">
        <v>0.1056477</v>
      </c>
      <c r="R3539" s="11">
        <f t="shared" si="110"/>
        <v>1.8123569898939103E-2</v>
      </c>
      <c r="Z3539" s="11">
        <f t="shared" si="111"/>
        <v>2.303535101253849E-2</v>
      </c>
    </row>
    <row r="3540" spans="1:26" x14ac:dyDescent="0.2">
      <c r="A3540" s="45">
        <v>609</v>
      </c>
      <c r="B3540" s="45">
        <v>2001</v>
      </c>
      <c r="C3540" s="17">
        <v>0</v>
      </c>
      <c r="D3540" s="14">
        <v>3.1630100000000001E-2</v>
      </c>
      <c r="E3540" s="14">
        <v>4.2808300000000001E-2</v>
      </c>
      <c r="F3540" s="14">
        <v>2.2432400000000002E-2</v>
      </c>
      <c r="G3540" s="14">
        <v>0.51087680000000002</v>
      </c>
      <c r="H3540" s="14">
        <v>0.12012589999999999</v>
      </c>
      <c r="R3540" s="11">
        <f t="shared" si="110"/>
        <v>2.6615408421424271E-2</v>
      </c>
      <c r="Z3540" s="11">
        <f t="shared" si="111"/>
        <v>3.3389879603226098E-2</v>
      </c>
    </row>
    <row r="3541" spans="1:26" x14ac:dyDescent="0.2">
      <c r="A3541" s="45">
        <v>609</v>
      </c>
      <c r="B3541" s="45">
        <v>2002</v>
      </c>
      <c r="C3541" s="17">
        <v>0</v>
      </c>
      <c r="D3541" s="14">
        <v>-3.0049900000000001E-2</v>
      </c>
      <c r="E3541" s="14">
        <v>1.48585E-2</v>
      </c>
      <c r="F3541" s="14">
        <v>3.7839499999999998E-2</v>
      </c>
      <c r="G3541" s="14">
        <v>0.50663360000000002</v>
      </c>
      <c r="H3541" s="14">
        <v>8.3335000000000006E-2</v>
      </c>
      <c r="R3541" s="11">
        <f t="shared" si="110"/>
        <v>2.4719571752613047E-2</v>
      </c>
      <c r="Z3541" s="11">
        <f t="shared" si="111"/>
        <v>3.1382525037452036E-2</v>
      </c>
    </row>
    <row r="3542" spans="1:26" x14ac:dyDescent="0.2">
      <c r="A3542" s="45">
        <v>609</v>
      </c>
      <c r="B3542" s="45">
        <v>2003</v>
      </c>
      <c r="C3542" s="17">
        <v>0</v>
      </c>
      <c r="D3542" s="14">
        <v>-0.15976660000000001</v>
      </c>
      <c r="E3542" s="14">
        <v>1.6281899999999998E-2</v>
      </c>
      <c r="F3542" s="14">
        <v>2.9515199999999998E-2</v>
      </c>
      <c r="G3542" s="14">
        <v>0.35474820000000001</v>
      </c>
      <c r="H3542" s="14">
        <v>7.0882000000000001E-2</v>
      </c>
      <c r="R3542" s="11">
        <f t="shared" si="110"/>
        <v>3.3292329210645462E-2</v>
      </c>
      <c r="Z3542" s="11">
        <f t="shared" si="111"/>
        <v>4.202778364122052E-2</v>
      </c>
    </row>
    <row r="3543" spans="1:26" x14ac:dyDescent="0.2">
      <c r="A3543" s="45">
        <v>609</v>
      </c>
      <c r="B3543" s="45">
        <v>2004</v>
      </c>
      <c r="C3543" s="17">
        <v>0</v>
      </c>
      <c r="D3543" s="14">
        <v>1.9897100000000001E-2</v>
      </c>
      <c r="E3543" s="14">
        <v>4.1970500000000001E-2</v>
      </c>
      <c r="F3543" s="14">
        <v>3.7522899999999998E-2</v>
      </c>
      <c r="G3543" s="14">
        <v>0.50576310000000002</v>
      </c>
      <c r="H3543" s="14">
        <v>8.0189499999999997E-2</v>
      </c>
      <c r="R3543" s="11">
        <f t="shared" ref="R3543:R3606" si="112">1/(1+EXP(-(K$2+$M$2*E3543+$N$2*F3543+$O$2*G3543)))</f>
        <v>2.3877967927466895E-2</v>
      </c>
      <c r="Z3543" s="11">
        <f t="shared" si="111"/>
        <v>3.0341389498460165E-2</v>
      </c>
    </row>
    <row r="3544" spans="1:26" x14ac:dyDescent="0.2">
      <c r="A3544" s="45">
        <v>610</v>
      </c>
      <c r="B3544" s="45">
        <v>1995</v>
      </c>
      <c r="C3544" s="17">
        <v>0</v>
      </c>
      <c r="D3544" s="14">
        <v>-0.13154560000000001</v>
      </c>
      <c r="E3544" s="14">
        <v>-0.68042630000000004</v>
      </c>
      <c r="F3544" s="14">
        <v>3.5405100000000002E-2</v>
      </c>
      <c r="G3544" s="14">
        <v>0.49933460000000002</v>
      </c>
      <c r="H3544" s="14">
        <v>0.69377500000000003</v>
      </c>
      <c r="R3544" s="11">
        <f t="shared" si="112"/>
        <v>6.7040384218897298E-2</v>
      </c>
      <c r="Z3544" s="11">
        <f t="shared" si="111"/>
        <v>8.2169988702262428E-2</v>
      </c>
    </row>
    <row r="3545" spans="1:26" x14ac:dyDescent="0.2">
      <c r="A3545" s="45">
        <v>610</v>
      </c>
      <c r="B3545" s="45">
        <v>1996</v>
      </c>
      <c r="C3545" s="17">
        <v>0</v>
      </c>
      <c r="D3545" s="14">
        <v>-0.13372319999999999</v>
      </c>
      <c r="E3545" s="14">
        <v>-0.65769140000000004</v>
      </c>
      <c r="F3545" s="14">
        <v>3.1723099999999997E-2</v>
      </c>
      <c r="G3545" s="14">
        <v>0.46114830000000001</v>
      </c>
      <c r="H3545" s="14">
        <v>0.75907119999999995</v>
      </c>
      <c r="R3545" s="11">
        <f t="shared" si="112"/>
        <v>7.0711058551065173E-2</v>
      </c>
      <c r="Z3545" s="11">
        <f t="shared" si="111"/>
        <v>8.6481664523810425E-2</v>
      </c>
    </row>
    <row r="3546" spans="1:26" x14ac:dyDescent="0.2">
      <c r="A3546" s="45">
        <v>610</v>
      </c>
      <c r="B3546" s="45">
        <v>1997</v>
      </c>
      <c r="C3546" s="17">
        <v>0</v>
      </c>
      <c r="D3546" s="14">
        <v>-0.11940149999999999</v>
      </c>
      <c r="E3546" s="14">
        <v>-0.60560610000000004</v>
      </c>
      <c r="F3546" s="14">
        <v>1.8099500000000001E-2</v>
      </c>
      <c r="G3546" s="14">
        <v>0.33939710000000001</v>
      </c>
      <c r="H3546" s="14">
        <v>0.74023720000000004</v>
      </c>
      <c r="R3546" s="11">
        <f t="shared" si="112"/>
        <v>8.7180868666224196E-2</v>
      </c>
      <c r="Z3546" s="11">
        <f t="shared" si="111"/>
        <v>0.10557051321912443</v>
      </c>
    </row>
    <row r="3547" spans="1:26" x14ac:dyDescent="0.2">
      <c r="A3547" s="45">
        <v>610</v>
      </c>
      <c r="B3547" s="45">
        <v>1998</v>
      </c>
      <c r="C3547" s="17">
        <v>0</v>
      </c>
      <c r="D3547" s="14">
        <v>-6.1882899999999998E-2</v>
      </c>
      <c r="E3547" s="14">
        <v>-0.4922762</v>
      </c>
      <c r="F3547" s="14">
        <v>3.00594E-2</v>
      </c>
      <c r="G3547" s="14">
        <v>0.28594389999999997</v>
      </c>
      <c r="H3547" s="14">
        <v>0.6709001</v>
      </c>
      <c r="R3547" s="11">
        <f t="shared" si="112"/>
        <v>7.4204944462219133E-2</v>
      </c>
      <c r="Z3547" s="11">
        <f t="shared" si="111"/>
        <v>9.1354202184446787E-2</v>
      </c>
    </row>
    <row r="3548" spans="1:26" x14ac:dyDescent="0.2">
      <c r="A3548" s="45">
        <v>610</v>
      </c>
      <c r="B3548" s="45">
        <v>1999</v>
      </c>
      <c r="C3548" s="17">
        <v>0</v>
      </c>
      <c r="D3548" s="14">
        <v>-8.5673399999999997E-2</v>
      </c>
      <c r="E3548" s="14">
        <v>-0.41143770000000002</v>
      </c>
      <c r="F3548" s="14">
        <v>5.4256899999999997E-2</v>
      </c>
      <c r="G3548" s="14">
        <v>0.2649994</v>
      </c>
      <c r="H3548" s="14">
        <v>0.7289099</v>
      </c>
      <c r="R3548" s="11">
        <f t="shared" si="112"/>
        <v>5.7240843423579733E-2</v>
      </c>
      <c r="Z3548" s="11">
        <f t="shared" si="111"/>
        <v>7.2301265761726199E-2</v>
      </c>
    </row>
    <row r="3549" spans="1:26" x14ac:dyDescent="0.2">
      <c r="A3549" s="45">
        <v>610</v>
      </c>
      <c r="B3549" s="45">
        <v>2000</v>
      </c>
      <c r="C3549" s="17">
        <v>0</v>
      </c>
      <c r="D3549" s="14">
        <v>-3.9843999999999997E-2</v>
      </c>
      <c r="E3549" s="14">
        <v>-0.36734529999999999</v>
      </c>
      <c r="F3549" s="14">
        <v>4.3784799999999999E-2</v>
      </c>
      <c r="G3549" s="14">
        <v>0.38166539999999999</v>
      </c>
      <c r="H3549" s="14">
        <v>0.76081810000000005</v>
      </c>
      <c r="R3549" s="11">
        <f t="shared" si="112"/>
        <v>4.8901678178588565E-2</v>
      </c>
      <c r="Z3549" s="11">
        <f t="shared" si="111"/>
        <v>6.1354477162272027E-2</v>
      </c>
    </row>
    <row r="3550" spans="1:26" x14ac:dyDescent="0.2">
      <c r="A3550" s="45">
        <v>610</v>
      </c>
      <c r="B3550" s="45">
        <v>2001</v>
      </c>
      <c r="C3550" s="17">
        <v>0</v>
      </c>
      <c r="D3550" s="14">
        <v>-2.0712499999999998E-2</v>
      </c>
      <c r="E3550" s="14">
        <v>-0.3179883</v>
      </c>
      <c r="F3550" s="14">
        <v>4.9202200000000001E-2</v>
      </c>
      <c r="G3550" s="14">
        <v>0.48343700000000001</v>
      </c>
      <c r="H3550" s="14">
        <v>0.81235000000000002</v>
      </c>
      <c r="R3550" s="11">
        <f t="shared" si="112"/>
        <v>3.7503774437889437E-2</v>
      </c>
      <c r="Z3550" s="11">
        <f t="shared" si="111"/>
        <v>4.737343589139642E-2</v>
      </c>
    </row>
    <row r="3551" spans="1:26" x14ac:dyDescent="0.2">
      <c r="A3551" s="45">
        <v>610</v>
      </c>
      <c r="B3551" s="45">
        <v>2002</v>
      </c>
      <c r="C3551" s="17">
        <v>0</v>
      </c>
      <c r="D3551" s="14">
        <v>-1.22647E-2</v>
      </c>
      <c r="E3551" s="14">
        <v>-0.3013557</v>
      </c>
      <c r="F3551" s="14">
        <v>3.5212599999999997E-2</v>
      </c>
      <c r="G3551" s="14">
        <v>0.29704770000000003</v>
      </c>
      <c r="H3551" s="14">
        <v>0.84453250000000002</v>
      </c>
      <c r="R3551" s="11">
        <f t="shared" si="112"/>
        <v>5.4149275962283881E-2</v>
      </c>
      <c r="Z3551" s="11">
        <f t="shared" si="111"/>
        <v>6.765980182034928E-2</v>
      </c>
    </row>
    <row r="3552" spans="1:26" x14ac:dyDescent="0.2">
      <c r="A3552" s="45">
        <v>610</v>
      </c>
      <c r="B3552" s="45">
        <v>2003</v>
      </c>
      <c r="C3552" s="17">
        <v>0</v>
      </c>
      <c r="D3552" s="14">
        <v>-2.8196200000000001E-2</v>
      </c>
      <c r="E3552" s="14">
        <v>-0.25228390000000001</v>
      </c>
      <c r="F3552" s="14">
        <v>4.3996199999999999E-2</v>
      </c>
      <c r="G3552" s="14">
        <v>0.62033439999999995</v>
      </c>
      <c r="H3552" s="14">
        <v>0.83712209999999998</v>
      </c>
      <c r="R3552" s="11">
        <f t="shared" si="112"/>
        <v>2.8828462872136106E-2</v>
      </c>
      <c r="Z3552" s="11">
        <f t="shared" si="111"/>
        <v>3.6325185547135055E-2</v>
      </c>
    </row>
    <row r="3553" spans="1:26" x14ac:dyDescent="0.2">
      <c r="A3553" s="45">
        <v>610</v>
      </c>
      <c r="B3553" s="45">
        <v>2004</v>
      </c>
      <c r="C3553" s="17">
        <v>0</v>
      </c>
      <c r="D3553" s="14">
        <v>-7.4080199999999999E-2</v>
      </c>
      <c r="E3553" s="14">
        <v>-0.21990000000000001</v>
      </c>
      <c r="F3553" s="14">
        <v>4.7175599999999998E-2</v>
      </c>
      <c r="G3553" s="14">
        <v>0.97484700000000002</v>
      </c>
      <c r="H3553" s="14">
        <v>0.97031780000000001</v>
      </c>
      <c r="R3553" s="11">
        <f t="shared" si="112"/>
        <v>1.5449505114865678E-2</v>
      </c>
      <c r="Z3553" s="11">
        <f t="shared" si="111"/>
        <v>1.9458870273132513E-2</v>
      </c>
    </row>
    <row r="3554" spans="1:26" x14ac:dyDescent="0.2">
      <c r="A3554" s="45">
        <v>611</v>
      </c>
      <c r="B3554" s="45">
        <v>1995</v>
      </c>
      <c r="C3554" s="17">
        <v>0</v>
      </c>
      <c r="D3554" s="14">
        <v>-1.3871E-2</v>
      </c>
      <c r="E3554" s="14">
        <v>0.37303350000000002</v>
      </c>
      <c r="F3554" s="14">
        <v>5.20744E-2</v>
      </c>
      <c r="G3554" s="14">
        <v>1.855639</v>
      </c>
      <c r="H3554" s="14">
        <v>0.26588909999999999</v>
      </c>
      <c r="R3554" s="11">
        <f t="shared" si="112"/>
        <v>1.5630427801696697E-3</v>
      </c>
      <c r="Z3554" s="11">
        <f t="shared" si="111"/>
        <v>1.9856783093713882E-3</v>
      </c>
    </row>
    <row r="3555" spans="1:26" x14ac:dyDescent="0.2">
      <c r="A3555" s="45">
        <v>611</v>
      </c>
      <c r="B3555" s="45">
        <v>1996</v>
      </c>
      <c r="C3555" s="17">
        <v>0</v>
      </c>
      <c r="D3555" s="14">
        <v>4.1166000000000001E-2</v>
      </c>
      <c r="E3555" s="14">
        <v>0.37575979999999998</v>
      </c>
      <c r="F3555" s="14">
        <v>5.1291900000000001E-2</v>
      </c>
      <c r="G3555" s="14">
        <v>1.5647249999999999</v>
      </c>
      <c r="H3555" s="14">
        <v>0.2547662</v>
      </c>
      <c r="R3555" s="11">
        <f t="shared" si="112"/>
        <v>2.4883039048536238E-3</v>
      </c>
      <c r="Z3555" s="11">
        <f t="shared" si="111"/>
        <v>3.1788411027384882E-3</v>
      </c>
    </row>
    <row r="3556" spans="1:26" x14ac:dyDescent="0.2">
      <c r="A3556" s="45">
        <v>611</v>
      </c>
      <c r="B3556" s="45">
        <v>1997</v>
      </c>
      <c r="C3556" s="17">
        <v>0</v>
      </c>
      <c r="D3556" s="14">
        <v>2.3441900000000002E-2</v>
      </c>
      <c r="E3556" s="14">
        <v>0.4146937</v>
      </c>
      <c r="F3556" s="14">
        <v>6.9986099999999996E-2</v>
      </c>
      <c r="G3556" s="14">
        <v>2.4680840000000002</v>
      </c>
      <c r="H3556" s="14">
        <v>0.25143070000000001</v>
      </c>
      <c r="R3556" s="11">
        <f t="shared" si="112"/>
        <v>4.8088714319203E-4</v>
      </c>
      <c r="Z3556" s="11">
        <f t="shared" si="111"/>
        <v>6.1269886983804746E-4</v>
      </c>
    </row>
    <row r="3557" spans="1:26" x14ac:dyDescent="0.2">
      <c r="A3557" s="45">
        <v>611</v>
      </c>
      <c r="B3557" s="45">
        <v>1998</v>
      </c>
      <c r="C3557" s="17">
        <v>0</v>
      </c>
      <c r="D3557" s="14">
        <v>-3.35132E-2</v>
      </c>
      <c r="E3557" s="14">
        <v>0.45752419999999999</v>
      </c>
      <c r="F3557" s="14">
        <v>5.44339E-2</v>
      </c>
      <c r="G3557" s="14">
        <v>3.3219590000000001</v>
      </c>
      <c r="H3557" s="14">
        <v>0.25344709999999998</v>
      </c>
      <c r="R3557" s="11">
        <f t="shared" si="112"/>
        <v>1.312860600876675E-4</v>
      </c>
      <c r="Z3557" s="11">
        <f t="shared" si="111"/>
        <v>1.6233090980425681E-4</v>
      </c>
    </row>
    <row r="3558" spans="1:26" x14ac:dyDescent="0.2">
      <c r="A3558" s="45">
        <v>611</v>
      </c>
      <c r="B3558" s="45">
        <v>1999</v>
      </c>
      <c r="C3558" s="17">
        <v>0</v>
      </c>
      <c r="D3558" s="14">
        <v>-2.8036700000000001E-2</v>
      </c>
      <c r="E3558" s="14">
        <v>0.44199500000000003</v>
      </c>
      <c r="F3558" s="14">
        <v>4.9966999999999998E-2</v>
      </c>
      <c r="G3558" s="14">
        <v>2.9114930000000001</v>
      </c>
      <c r="H3558" s="14">
        <v>0.24111879999999999</v>
      </c>
      <c r="R3558" s="11">
        <f t="shared" si="112"/>
        <v>2.676470770586381E-4</v>
      </c>
      <c r="Z3558" s="11">
        <f t="shared" si="111"/>
        <v>3.3253292725965222E-4</v>
      </c>
    </row>
    <row r="3559" spans="1:26" x14ac:dyDescent="0.2">
      <c r="A3559" s="45">
        <v>611</v>
      </c>
      <c r="B3559" s="45">
        <v>2000</v>
      </c>
      <c r="C3559" s="17">
        <v>0</v>
      </c>
      <c r="D3559" s="14">
        <v>-3.6276599999999999E-2</v>
      </c>
      <c r="E3559" s="14">
        <v>0.46971350000000001</v>
      </c>
      <c r="F3559" s="14">
        <v>6.99679E-2</v>
      </c>
      <c r="G3559" s="14">
        <v>5.2523119999999999</v>
      </c>
      <c r="H3559" s="14">
        <v>0.24743999999999999</v>
      </c>
      <c r="R3559" s="11">
        <f t="shared" si="112"/>
        <v>5.2557588522409402E-6</v>
      </c>
      <c r="Z3559" s="11">
        <f t="shared" si="111"/>
        <v>6.3107515841255755E-6</v>
      </c>
    </row>
    <row r="3560" spans="1:26" x14ac:dyDescent="0.2">
      <c r="A3560" s="45">
        <v>611</v>
      </c>
      <c r="B3560" s="45">
        <v>2001</v>
      </c>
      <c r="C3560" s="17">
        <v>0</v>
      </c>
      <c r="D3560" s="14">
        <v>5.6452500000000003E-2</v>
      </c>
      <c r="E3560" s="14">
        <v>0.39586179999999999</v>
      </c>
      <c r="F3560" s="14">
        <v>4.1840299999999997E-2</v>
      </c>
      <c r="G3560" s="14">
        <v>2.8817699999999999</v>
      </c>
      <c r="H3560" s="14">
        <v>0.16739699999999999</v>
      </c>
      <c r="R3560" s="11">
        <f t="shared" si="112"/>
        <v>3.2023900623731415E-4</v>
      </c>
      <c r="Z3560" s="11">
        <f t="shared" si="111"/>
        <v>3.948631837597906E-4</v>
      </c>
    </row>
    <row r="3561" spans="1:26" x14ac:dyDescent="0.2">
      <c r="A3561" s="45">
        <v>611</v>
      </c>
      <c r="B3561" s="45">
        <v>2002</v>
      </c>
      <c r="C3561" s="17">
        <v>0</v>
      </c>
      <c r="D3561" s="14">
        <v>0.12805520000000001</v>
      </c>
      <c r="E3561" s="14">
        <v>0.40815040000000002</v>
      </c>
      <c r="F3561" s="14">
        <v>4.0582699999999999E-2</v>
      </c>
      <c r="G3561" s="14">
        <v>2.4108239999999999</v>
      </c>
      <c r="H3561" s="14">
        <v>0.19480829999999999</v>
      </c>
      <c r="R3561" s="11">
        <f t="shared" si="112"/>
        <v>6.727699630154336E-4</v>
      </c>
      <c r="Z3561" s="11">
        <f t="shared" si="111"/>
        <v>8.376045429577477E-4</v>
      </c>
    </row>
    <row r="3562" spans="1:26" x14ac:dyDescent="0.2">
      <c r="A3562" s="45">
        <v>611</v>
      </c>
      <c r="B3562" s="45">
        <v>2003</v>
      </c>
      <c r="C3562" s="17">
        <v>0</v>
      </c>
      <c r="D3562" s="14">
        <v>9.8109199999999994E-2</v>
      </c>
      <c r="E3562" s="14">
        <v>0.4480421</v>
      </c>
      <c r="F3562" s="14">
        <v>3.9952599999999998E-2</v>
      </c>
      <c r="G3562" s="14">
        <v>2.659116</v>
      </c>
      <c r="H3562" s="14">
        <v>0.18607699999999999</v>
      </c>
      <c r="R3562" s="11">
        <f t="shared" si="112"/>
        <v>4.2966544025502279E-4</v>
      </c>
      <c r="Z3562" s="11">
        <f t="shared" si="111"/>
        <v>5.3250627381618931E-4</v>
      </c>
    </row>
    <row r="3563" spans="1:26" x14ac:dyDescent="0.2">
      <c r="A3563" s="45">
        <v>611</v>
      </c>
      <c r="B3563" s="45">
        <v>2004</v>
      </c>
      <c r="C3563" s="17">
        <v>0</v>
      </c>
      <c r="D3563" s="14">
        <v>2.2756800000000001E-2</v>
      </c>
      <c r="E3563" s="14">
        <v>0.41883500000000001</v>
      </c>
      <c r="F3563" s="14">
        <v>4.8783199999999999E-2</v>
      </c>
      <c r="G3563" s="14">
        <v>2.2080479999999998</v>
      </c>
      <c r="H3563" s="14">
        <v>0.1876999</v>
      </c>
      <c r="R3563" s="11">
        <f t="shared" si="112"/>
        <v>8.568218435723048E-4</v>
      </c>
      <c r="Z3563" s="11">
        <f t="shared" si="111"/>
        <v>1.0790849320877836E-3</v>
      </c>
    </row>
    <row r="3564" spans="1:26" x14ac:dyDescent="0.2">
      <c r="A3564" s="45">
        <v>612</v>
      </c>
      <c r="B3564" s="45">
        <v>1995</v>
      </c>
      <c r="C3564" s="17">
        <v>0</v>
      </c>
      <c r="D3564" s="14">
        <v>2.2369799999999999E-2</v>
      </c>
      <c r="E3564" s="14">
        <v>3.6093199999999999E-2</v>
      </c>
      <c r="F3564" s="14">
        <v>3.8993E-2</v>
      </c>
      <c r="G3564" s="14">
        <v>0.40940759999999998</v>
      </c>
      <c r="H3564" s="14">
        <v>0.13338459999999999</v>
      </c>
      <c r="R3564" s="11">
        <f t="shared" si="112"/>
        <v>2.7644530333981853E-2</v>
      </c>
      <c r="Z3564" s="11">
        <f t="shared" si="111"/>
        <v>3.5196834270238259E-2</v>
      </c>
    </row>
    <row r="3565" spans="1:26" x14ac:dyDescent="0.2">
      <c r="A3565" s="45">
        <v>612</v>
      </c>
      <c r="B3565" s="45">
        <v>1996</v>
      </c>
      <c r="C3565" s="17">
        <v>0</v>
      </c>
      <c r="D3565" s="14">
        <v>-4.4327800000000001E-2</v>
      </c>
      <c r="E3565" s="14">
        <v>1.9957599999999999E-2</v>
      </c>
      <c r="F3565" s="14">
        <v>7.3155499999999998E-2</v>
      </c>
      <c r="G3565" s="14">
        <v>0.4746879</v>
      </c>
      <c r="H3565" s="14">
        <v>0.16417709999999999</v>
      </c>
      <c r="R3565" s="11">
        <f t="shared" si="112"/>
        <v>1.9567375977694784E-2</v>
      </c>
      <c r="Z3565" s="11">
        <f t="shared" si="111"/>
        <v>2.5610908745145045E-2</v>
      </c>
    </row>
    <row r="3566" spans="1:26" x14ac:dyDescent="0.2">
      <c r="A3566" s="45">
        <v>612</v>
      </c>
      <c r="B3566" s="45">
        <v>1997</v>
      </c>
      <c r="C3566" s="17">
        <v>0</v>
      </c>
      <c r="D3566" s="14">
        <v>9.0489000000000003E-3</v>
      </c>
      <c r="E3566" s="14">
        <v>3.29056E-2</v>
      </c>
      <c r="F3566" s="14">
        <v>7.7175099999999996E-2</v>
      </c>
      <c r="G3566" s="14">
        <v>0.40277020000000002</v>
      </c>
      <c r="H3566" s="14">
        <v>0.15375330000000001</v>
      </c>
      <c r="R3566" s="11">
        <f t="shared" si="112"/>
        <v>2.0826099219677614E-2</v>
      </c>
      <c r="Z3566" s="11">
        <f t="shared" si="111"/>
        <v>2.7389020262595071E-2</v>
      </c>
    </row>
    <row r="3567" spans="1:26" x14ac:dyDescent="0.2">
      <c r="A3567" s="45">
        <v>612</v>
      </c>
      <c r="B3567" s="45">
        <v>1998</v>
      </c>
      <c r="C3567" s="17">
        <v>0</v>
      </c>
      <c r="D3567" s="14">
        <v>2.4845900000000001E-2</v>
      </c>
      <c r="E3567" s="14">
        <v>4.2906399999999997E-2</v>
      </c>
      <c r="F3567" s="14">
        <v>6.7617099999999999E-2</v>
      </c>
      <c r="G3567" s="14">
        <v>0.63625069999999995</v>
      </c>
      <c r="H3567" s="14">
        <v>0.19991100000000001</v>
      </c>
      <c r="R3567" s="11">
        <f t="shared" si="112"/>
        <v>1.535769443071338E-2</v>
      </c>
      <c r="Z3567" s="11">
        <f t="shared" si="111"/>
        <v>1.9984039190915463E-2</v>
      </c>
    </row>
    <row r="3568" spans="1:26" x14ac:dyDescent="0.2">
      <c r="A3568" s="45">
        <v>612</v>
      </c>
      <c r="B3568" s="45">
        <v>1999</v>
      </c>
      <c r="C3568" s="17">
        <v>0</v>
      </c>
      <c r="D3568" s="14">
        <v>1.5595299999999999E-2</v>
      </c>
      <c r="E3568" s="14">
        <v>5.7675999999999998E-2</v>
      </c>
      <c r="F3568" s="14">
        <v>5.66013E-2</v>
      </c>
      <c r="G3568" s="14">
        <v>0.52242319999999998</v>
      </c>
      <c r="H3568" s="14">
        <v>0.16421259999999999</v>
      </c>
      <c r="R3568" s="11">
        <f t="shared" si="112"/>
        <v>1.9596250322390655E-2</v>
      </c>
      <c r="Z3568" s="11">
        <f t="shared" si="111"/>
        <v>2.5317495068705474E-2</v>
      </c>
    </row>
    <row r="3569" spans="1:26" x14ac:dyDescent="0.2">
      <c r="A3569" s="45">
        <v>612</v>
      </c>
      <c r="B3569" s="45">
        <v>2000</v>
      </c>
      <c r="C3569" s="17">
        <v>0</v>
      </c>
      <c r="D3569" s="14">
        <v>-1.0216299999999999E-2</v>
      </c>
      <c r="E3569" s="14">
        <v>4.1475600000000001E-2</v>
      </c>
      <c r="F3569" s="14">
        <v>5.7278000000000003E-2</v>
      </c>
      <c r="G3569" s="14">
        <v>0.43062980000000001</v>
      </c>
      <c r="H3569" s="14">
        <v>0.17679039999999999</v>
      </c>
      <c r="R3569" s="11">
        <f t="shared" si="112"/>
        <v>2.3017767347901771E-2</v>
      </c>
      <c r="Z3569" s="11">
        <f t="shared" si="111"/>
        <v>2.9765981281677116E-2</v>
      </c>
    </row>
    <row r="3570" spans="1:26" x14ac:dyDescent="0.2">
      <c r="A3570" s="45">
        <v>612</v>
      </c>
      <c r="B3570" s="45">
        <v>2001</v>
      </c>
      <c r="C3570" s="17">
        <v>0</v>
      </c>
      <c r="D3570" s="14">
        <v>-7.0484500000000005E-2</v>
      </c>
      <c r="E3570" s="14">
        <v>5.4219000000000003E-2</v>
      </c>
      <c r="F3570" s="14">
        <v>6.3299300000000003E-2</v>
      </c>
      <c r="G3570" s="14">
        <v>0.4268516</v>
      </c>
      <c r="H3570" s="14">
        <v>0.19058800000000001</v>
      </c>
      <c r="R3570" s="11">
        <f t="shared" si="112"/>
        <v>2.1692126877912596E-2</v>
      </c>
      <c r="Z3570" s="11">
        <f t="shared" si="111"/>
        <v>2.8212049127638587E-2</v>
      </c>
    </row>
    <row r="3571" spans="1:26" x14ac:dyDescent="0.2">
      <c r="A3571" s="45">
        <v>612</v>
      </c>
      <c r="B3571" s="45">
        <v>2002</v>
      </c>
      <c r="C3571" s="17">
        <v>0</v>
      </c>
      <c r="D3571" s="14">
        <v>1.0057E-3</v>
      </c>
      <c r="E3571" s="14">
        <v>5.6660500000000003E-2</v>
      </c>
      <c r="F3571" s="14">
        <v>5.0184399999999997E-2</v>
      </c>
      <c r="G3571" s="14">
        <v>0.46638750000000001</v>
      </c>
      <c r="H3571" s="14">
        <v>0.17062469999999999</v>
      </c>
      <c r="R3571" s="11">
        <f t="shared" si="112"/>
        <v>2.2521137639028757E-2</v>
      </c>
      <c r="Z3571" s="11">
        <f t="shared" si="111"/>
        <v>2.8956600662556259E-2</v>
      </c>
    </row>
    <row r="3572" spans="1:26" x14ac:dyDescent="0.2">
      <c r="A3572" s="45">
        <v>612</v>
      </c>
      <c r="B3572" s="45">
        <v>2003</v>
      </c>
      <c r="C3572" s="17">
        <v>0</v>
      </c>
      <c r="D3572" s="14">
        <v>1.38957E-2</v>
      </c>
      <c r="E3572" s="14">
        <v>5.3414099999999999E-2</v>
      </c>
      <c r="F3572" s="14">
        <v>6.3169100000000006E-2</v>
      </c>
      <c r="G3572" s="14">
        <v>0.42118870000000003</v>
      </c>
      <c r="H3572" s="14">
        <v>0.1609631</v>
      </c>
      <c r="R3572" s="11">
        <f t="shared" si="112"/>
        <v>2.1931862327538743E-2</v>
      </c>
      <c r="Z3572" s="11">
        <f t="shared" si="111"/>
        <v>2.8521473976575222E-2</v>
      </c>
    </row>
    <row r="3573" spans="1:26" x14ac:dyDescent="0.2">
      <c r="A3573" s="45">
        <v>612</v>
      </c>
      <c r="B3573" s="45">
        <v>2004</v>
      </c>
      <c r="C3573" s="17">
        <v>0</v>
      </c>
      <c r="D3573" s="14">
        <v>2.9066999999999999E-3</v>
      </c>
      <c r="E3573" s="14">
        <v>6.5823199999999998E-2</v>
      </c>
      <c r="F3573" s="14">
        <v>5.4986100000000003E-2</v>
      </c>
      <c r="G3573" s="14">
        <v>0.44040889999999999</v>
      </c>
      <c r="H3573" s="14">
        <v>0.19428100000000001</v>
      </c>
      <c r="R3573" s="11">
        <f t="shared" si="112"/>
        <v>2.2294797485478555E-2</v>
      </c>
      <c r="Z3573" s="11">
        <f t="shared" si="111"/>
        <v>2.8802060140767818E-2</v>
      </c>
    </row>
    <row r="3574" spans="1:26" x14ac:dyDescent="0.2">
      <c r="A3574" s="45">
        <v>613</v>
      </c>
      <c r="B3574" s="45">
        <v>1995</v>
      </c>
      <c r="C3574" s="17">
        <v>0</v>
      </c>
      <c r="D3574" s="14">
        <v>-3.2726600000000002E-2</v>
      </c>
      <c r="E3574" s="14">
        <v>3.6854100000000001E-2</v>
      </c>
      <c r="F3574" s="14">
        <v>7.5854699999999997E-2</v>
      </c>
      <c r="G3574" s="14">
        <v>2.2449469999999998</v>
      </c>
      <c r="H3574" s="14">
        <v>0.1885899</v>
      </c>
      <c r="R3574" s="11">
        <f t="shared" si="112"/>
        <v>1.1334401463831798E-3</v>
      </c>
      <c r="Z3574" s="11">
        <f t="shared" si="111"/>
        <v>1.4392143601860011E-3</v>
      </c>
    </row>
    <row r="3575" spans="1:26" x14ac:dyDescent="0.2">
      <c r="A3575" s="45">
        <v>613</v>
      </c>
      <c r="B3575" s="45">
        <v>1997</v>
      </c>
      <c r="C3575" s="17">
        <v>0</v>
      </c>
      <c r="D3575" s="14">
        <v>-4.1873599999999997E-2</v>
      </c>
      <c r="E3575" s="14">
        <v>3.5026399999999999E-2</v>
      </c>
      <c r="F3575" s="14">
        <v>6.9459099999999996E-2</v>
      </c>
      <c r="G3575" s="14">
        <v>2.1166649999999998</v>
      </c>
      <c r="H3575" s="14">
        <v>0.20364380000000001</v>
      </c>
      <c r="R3575" s="11">
        <f t="shared" si="112"/>
        <v>1.4669262361818934E-3</v>
      </c>
      <c r="Z3575" s="11">
        <f t="shared" si="111"/>
        <v>1.8578940004355946E-3</v>
      </c>
    </row>
    <row r="3576" spans="1:26" x14ac:dyDescent="0.2">
      <c r="A3576" s="45">
        <v>613</v>
      </c>
      <c r="B3576" s="45">
        <v>1998</v>
      </c>
      <c r="C3576" s="17">
        <v>0</v>
      </c>
      <c r="D3576" s="14">
        <v>-1.6864899999999999E-2</v>
      </c>
      <c r="E3576" s="14">
        <v>0.1038741</v>
      </c>
      <c r="F3576" s="14">
        <v>6.5206100000000003E-2</v>
      </c>
      <c r="G3576" s="14">
        <v>3.277685</v>
      </c>
      <c r="H3576" s="14">
        <v>0.18547739999999999</v>
      </c>
      <c r="R3576" s="11">
        <f t="shared" si="112"/>
        <v>2.1613335793038761E-4</v>
      </c>
      <c r="Z3576" s="11">
        <f t="shared" si="111"/>
        <v>2.6661817664917542E-4</v>
      </c>
    </row>
    <row r="3577" spans="1:26" x14ac:dyDescent="0.2">
      <c r="A3577" s="45">
        <v>613</v>
      </c>
      <c r="B3577" s="45">
        <v>1999</v>
      </c>
      <c r="C3577" s="17">
        <v>0</v>
      </c>
      <c r="D3577" s="14">
        <v>-6.00616E-2</v>
      </c>
      <c r="E3577" s="14">
        <v>0.19026650000000001</v>
      </c>
      <c r="F3577" s="14">
        <v>5.3033200000000003E-2</v>
      </c>
      <c r="G3577" s="14">
        <v>2.9745979999999999</v>
      </c>
      <c r="H3577" s="14">
        <v>0.19736719999999999</v>
      </c>
      <c r="R3577" s="11">
        <f t="shared" si="112"/>
        <v>3.4053716986752746E-4</v>
      </c>
      <c r="Z3577" s="11">
        <f t="shared" si="111"/>
        <v>4.1992444698496414E-4</v>
      </c>
    </row>
    <row r="3578" spans="1:26" x14ac:dyDescent="0.2">
      <c r="A3578" s="45">
        <v>613</v>
      </c>
      <c r="B3578" s="45">
        <v>2000</v>
      </c>
      <c r="C3578" s="17">
        <v>0</v>
      </c>
      <c r="D3578" s="14">
        <v>-5.4101700000000003E-2</v>
      </c>
      <c r="E3578" s="14">
        <v>0.2021926</v>
      </c>
      <c r="F3578" s="14">
        <v>5.6684999999999999E-2</v>
      </c>
      <c r="G3578" s="14">
        <v>2.3993769999999999</v>
      </c>
      <c r="H3578" s="14">
        <v>0.142178</v>
      </c>
      <c r="R3578" s="11">
        <f t="shared" si="112"/>
        <v>8.1254321250111316E-4</v>
      </c>
      <c r="Z3578" s="11">
        <f t="shared" si="111"/>
        <v>1.0180686261713743E-3</v>
      </c>
    </row>
    <row r="3579" spans="1:26" x14ac:dyDescent="0.2">
      <c r="A3579" s="45">
        <v>613</v>
      </c>
      <c r="B3579" s="45">
        <v>2001</v>
      </c>
      <c r="C3579" s="17">
        <v>0</v>
      </c>
      <c r="D3579" s="14">
        <v>-8.9431899999999995E-2</v>
      </c>
      <c r="E3579" s="14">
        <v>0.23508370000000001</v>
      </c>
      <c r="F3579" s="14">
        <v>5.9466100000000001E-2</v>
      </c>
      <c r="G3579" s="14">
        <v>2.0822790000000002</v>
      </c>
      <c r="H3579" s="14">
        <v>0.15041109999999999</v>
      </c>
      <c r="R3579" s="11">
        <f t="shared" si="112"/>
        <v>1.2551132455044941E-3</v>
      </c>
      <c r="Z3579" s="11">
        <f t="shared" si="111"/>
        <v>1.5888028799689732E-3</v>
      </c>
    </row>
    <row r="3580" spans="1:26" x14ac:dyDescent="0.2">
      <c r="A3580" s="45">
        <v>613</v>
      </c>
      <c r="B3580" s="45">
        <v>2002</v>
      </c>
      <c r="C3580" s="17">
        <v>0</v>
      </c>
      <c r="D3580" s="14">
        <v>1.52891E-2</v>
      </c>
      <c r="E3580" s="14">
        <v>0.2486969</v>
      </c>
      <c r="F3580" s="14">
        <v>5.3202199999999998E-2</v>
      </c>
      <c r="G3580" s="14">
        <v>1.49542</v>
      </c>
      <c r="H3580" s="14">
        <v>0.15353420000000001</v>
      </c>
      <c r="R3580" s="11">
        <f t="shared" si="112"/>
        <v>3.2894270322160767E-3</v>
      </c>
      <c r="Z3580" s="11">
        <f t="shared" si="111"/>
        <v>4.1960686147085747E-3</v>
      </c>
    </row>
    <row r="3581" spans="1:26" x14ac:dyDescent="0.2">
      <c r="A3581" s="45">
        <v>613</v>
      </c>
      <c r="B3581" s="45">
        <v>2003</v>
      </c>
      <c r="C3581" s="17">
        <v>0</v>
      </c>
      <c r="D3581" s="14">
        <v>2.61587E-2</v>
      </c>
      <c r="E3581" s="14">
        <v>0.28882229999999998</v>
      </c>
      <c r="F3581" s="14">
        <v>3.11729E-2</v>
      </c>
      <c r="G3581" s="14">
        <v>1.418229</v>
      </c>
      <c r="H3581" s="14">
        <v>0.13618230000000001</v>
      </c>
      <c r="R3581" s="11">
        <f t="shared" si="112"/>
        <v>4.1816232364710795E-3</v>
      </c>
      <c r="Z3581" s="11">
        <f t="shared" si="111"/>
        <v>5.2539731297461464E-3</v>
      </c>
    </row>
    <row r="3582" spans="1:26" x14ac:dyDescent="0.2">
      <c r="A3582" s="45">
        <v>613</v>
      </c>
      <c r="B3582" s="45">
        <v>2004</v>
      </c>
      <c r="C3582" s="17">
        <v>0</v>
      </c>
      <c r="D3582" s="14">
        <v>-6.8545499999999995E-2</v>
      </c>
      <c r="E3582" s="14">
        <v>0.29928080000000001</v>
      </c>
      <c r="F3582" s="14">
        <v>3.9164499999999998E-2</v>
      </c>
      <c r="G3582" s="14">
        <v>1.2730669999999999</v>
      </c>
      <c r="H3582" s="14">
        <v>0.1073691</v>
      </c>
      <c r="R3582" s="11">
        <f t="shared" si="112"/>
        <v>4.8656946423436308E-3</v>
      </c>
      <c r="Z3582" s="11">
        <f t="shared" si="111"/>
        <v>6.1740941319045782E-3</v>
      </c>
    </row>
    <row r="3583" spans="1:26" x14ac:dyDescent="0.2">
      <c r="A3583" s="45">
        <v>614</v>
      </c>
      <c r="B3583" s="45">
        <v>1995</v>
      </c>
      <c r="C3583" s="17">
        <v>0</v>
      </c>
      <c r="D3583" s="14">
        <v>6.9751300000000002E-2</v>
      </c>
      <c r="E3583" s="14">
        <v>0.38789119999999999</v>
      </c>
      <c r="F3583" s="14">
        <v>3.6217800000000001E-2</v>
      </c>
      <c r="G3583" s="14">
        <v>0.88557149999999996</v>
      </c>
      <c r="H3583" s="14">
        <v>0.10576969999999999</v>
      </c>
      <c r="R3583" s="11">
        <f t="shared" si="112"/>
        <v>8.0946193498251471E-3</v>
      </c>
      <c r="Z3583" s="11">
        <f t="shared" si="111"/>
        <v>1.035573762309526E-2</v>
      </c>
    </row>
    <row r="3584" spans="1:26" x14ac:dyDescent="0.2">
      <c r="A3584" s="45">
        <v>614</v>
      </c>
      <c r="B3584" s="45">
        <v>1996</v>
      </c>
      <c r="C3584" s="17">
        <v>0</v>
      </c>
      <c r="D3584" s="14">
        <v>7.8202300000000002E-2</v>
      </c>
      <c r="E3584" s="14">
        <v>0.34956199999999998</v>
      </c>
      <c r="F3584" s="14">
        <v>4.9530900000000003E-2</v>
      </c>
      <c r="G3584" s="14">
        <v>0.85751690000000003</v>
      </c>
      <c r="H3584" s="14">
        <v>0.13308039999999999</v>
      </c>
      <c r="R3584" s="11">
        <f t="shared" si="112"/>
        <v>8.0461621975828242E-3</v>
      </c>
      <c r="Z3584" s="11">
        <f t="shared" si="111"/>
        <v>1.0398495003752142E-2</v>
      </c>
    </row>
    <row r="3585" spans="1:26" x14ac:dyDescent="0.2">
      <c r="A3585" s="45">
        <v>614</v>
      </c>
      <c r="B3585" s="45">
        <v>1997</v>
      </c>
      <c r="C3585" s="17">
        <v>0</v>
      </c>
      <c r="D3585" s="14">
        <v>9.2496599999999998E-2</v>
      </c>
      <c r="E3585" s="14">
        <v>0.3489273</v>
      </c>
      <c r="F3585" s="14">
        <v>5.8543699999999997E-2</v>
      </c>
      <c r="G3585" s="14">
        <v>0.67897660000000004</v>
      </c>
      <c r="H3585" s="14">
        <v>0.152561</v>
      </c>
      <c r="R3585" s="11">
        <f t="shared" si="112"/>
        <v>9.940658582866739E-3</v>
      </c>
      <c r="Z3585" s="11">
        <f t="shared" si="111"/>
        <v>1.2983674639247498E-2</v>
      </c>
    </row>
    <row r="3586" spans="1:26" x14ac:dyDescent="0.2">
      <c r="A3586" s="45">
        <v>614</v>
      </c>
      <c r="B3586" s="45">
        <v>1998</v>
      </c>
      <c r="C3586" s="17">
        <v>0</v>
      </c>
      <c r="D3586" s="14">
        <v>7.0106600000000005E-2</v>
      </c>
      <c r="E3586" s="14">
        <v>0.32272669999999998</v>
      </c>
      <c r="F3586" s="14">
        <v>4.7430899999999998E-2</v>
      </c>
      <c r="G3586" s="14">
        <v>0.42802050000000003</v>
      </c>
      <c r="H3586" s="14">
        <v>0.13209480000000001</v>
      </c>
      <c r="R3586" s="11">
        <f t="shared" si="112"/>
        <v>1.6721102463099467E-2</v>
      </c>
      <c r="Z3586" s="11">
        <f t="shared" ref="Z3586:Z3649" si="113">1/(1+EXP(-(U$2+$V$2*E3586+$W$2*F3586+$X$2*G3586)))</f>
        <v>2.1698722672645644E-2</v>
      </c>
    </row>
    <row r="3587" spans="1:26" x14ac:dyDescent="0.2">
      <c r="A3587" s="45">
        <v>614</v>
      </c>
      <c r="B3587" s="45">
        <v>1999</v>
      </c>
      <c r="C3587" s="17">
        <v>0</v>
      </c>
      <c r="D3587" s="14">
        <v>4.4956599999999999E-2</v>
      </c>
      <c r="E3587" s="14">
        <v>0.3171909</v>
      </c>
      <c r="F3587" s="14">
        <v>6.1511499999999997E-2</v>
      </c>
      <c r="G3587" s="14">
        <v>0.38403369999999998</v>
      </c>
      <c r="H3587" s="14">
        <v>0.16354679999999999</v>
      </c>
      <c r="R3587" s="11">
        <f t="shared" si="112"/>
        <v>1.6163461401409764E-2</v>
      </c>
      <c r="Z3587" s="11">
        <f t="shared" si="113"/>
        <v>2.123317102360139E-2</v>
      </c>
    </row>
    <row r="3588" spans="1:26" x14ac:dyDescent="0.2">
      <c r="A3588" s="45">
        <v>614</v>
      </c>
      <c r="B3588" s="45">
        <v>2000</v>
      </c>
      <c r="C3588" s="17">
        <v>0</v>
      </c>
      <c r="D3588" s="14">
        <v>-0.1440854</v>
      </c>
      <c r="E3588" s="14">
        <v>0.23315520000000001</v>
      </c>
      <c r="F3588" s="14">
        <v>6.7397899999999997E-2</v>
      </c>
      <c r="G3588" s="14">
        <v>0.49774410000000002</v>
      </c>
      <c r="H3588" s="14">
        <v>0.18511639999999999</v>
      </c>
      <c r="R3588" s="11">
        <f t="shared" si="112"/>
        <v>1.4559991469311197E-2</v>
      </c>
      <c r="Z3588" s="11">
        <f t="shared" si="113"/>
        <v>1.9126053802791764E-2</v>
      </c>
    </row>
    <row r="3589" spans="1:26" x14ac:dyDescent="0.2">
      <c r="A3589" s="45">
        <v>614</v>
      </c>
      <c r="B3589" s="45">
        <v>2001</v>
      </c>
      <c r="C3589" s="17">
        <v>0</v>
      </c>
      <c r="D3589" s="14">
        <v>5.1743200000000003E-2</v>
      </c>
      <c r="E3589" s="14">
        <v>0.27194580000000002</v>
      </c>
      <c r="F3589" s="14">
        <v>5.6479099999999997E-2</v>
      </c>
      <c r="G3589" s="14">
        <v>0.5045655</v>
      </c>
      <c r="H3589" s="14">
        <v>0.12546930000000001</v>
      </c>
      <c r="R3589" s="11">
        <f t="shared" si="112"/>
        <v>1.4850738932757034E-2</v>
      </c>
      <c r="Z3589" s="11">
        <f t="shared" si="113"/>
        <v>1.9358108600760222E-2</v>
      </c>
    </row>
    <row r="3590" spans="1:26" x14ac:dyDescent="0.2">
      <c r="A3590" s="45">
        <v>614</v>
      </c>
      <c r="B3590" s="45">
        <v>2002</v>
      </c>
      <c r="C3590" s="17">
        <v>0</v>
      </c>
      <c r="D3590" s="14">
        <v>2.4863199999999998E-2</v>
      </c>
      <c r="E3590" s="14">
        <v>0.28313319999999997</v>
      </c>
      <c r="F3590" s="14">
        <v>4.3860799999999998E-2</v>
      </c>
      <c r="G3590" s="14">
        <v>0.54396529999999998</v>
      </c>
      <c r="H3590" s="14">
        <v>0.1274612</v>
      </c>
      <c r="R3590" s="11">
        <f t="shared" si="112"/>
        <v>1.5174276872813924E-2</v>
      </c>
      <c r="Z3590" s="11">
        <f t="shared" si="113"/>
        <v>1.9569053221395932E-2</v>
      </c>
    </row>
    <row r="3591" spans="1:26" x14ac:dyDescent="0.2">
      <c r="A3591" s="45">
        <v>614</v>
      </c>
      <c r="B3591" s="45">
        <v>2003</v>
      </c>
      <c r="C3591" s="17">
        <v>0</v>
      </c>
      <c r="D3591" s="14">
        <v>5.4361100000000002E-2</v>
      </c>
      <c r="E3591" s="14">
        <v>0.29902649999999997</v>
      </c>
      <c r="F3591" s="14">
        <v>7.5509800000000002E-2</v>
      </c>
      <c r="G3591" s="14">
        <v>1.576357</v>
      </c>
      <c r="H3591" s="14">
        <v>0.12543219999999999</v>
      </c>
      <c r="R3591" s="11">
        <f t="shared" si="112"/>
        <v>2.25050440733717E-3</v>
      </c>
      <c r="Z3591" s="11">
        <f t="shared" si="113"/>
        <v>2.9242902894234587E-3</v>
      </c>
    </row>
    <row r="3592" spans="1:26" x14ac:dyDescent="0.2">
      <c r="A3592" s="45">
        <v>614</v>
      </c>
      <c r="B3592" s="45">
        <v>2004</v>
      </c>
      <c r="C3592" s="17">
        <v>0</v>
      </c>
      <c r="D3592" s="14">
        <v>4.1775399999999997E-2</v>
      </c>
      <c r="E3592" s="14">
        <v>0.31290489999999999</v>
      </c>
      <c r="F3592" s="14">
        <v>8.8006899999999999E-2</v>
      </c>
      <c r="G3592" s="14">
        <v>2.6553749999999998</v>
      </c>
      <c r="H3592" s="14">
        <v>0.1494277</v>
      </c>
      <c r="R3592" s="11">
        <f t="shared" si="112"/>
        <v>3.5821846801578497E-4</v>
      </c>
      <c r="Z3592" s="11">
        <f t="shared" si="113"/>
        <v>4.5969933636887182E-4</v>
      </c>
    </row>
    <row r="3593" spans="1:26" x14ac:dyDescent="0.2">
      <c r="A3593" s="45">
        <v>615</v>
      </c>
      <c r="B3593" s="45">
        <v>1995</v>
      </c>
      <c r="C3593" s="17">
        <v>0</v>
      </c>
      <c r="D3593" s="14">
        <v>2.4184600000000001E-2</v>
      </c>
      <c r="E3593" s="14">
        <v>0.23262360000000001</v>
      </c>
      <c r="F3593" s="14">
        <v>7.9702499999999996E-2</v>
      </c>
      <c r="G3593" s="14">
        <v>1.131731</v>
      </c>
      <c r="H3593" s="14">
        <v>0.16146550000000001</v>
      </c>
      <c r="R3593" s="11">
        <f t="shared" si="112"/>
        <v>4.8554756154184208E-3</v>
      </c>
      <c r="Z3593" s="11">
        <f t="shared" si="113"/>
        <v>6.3732253421378325E-3</v>
      </c>
    </row>
    <row r="3594" spans="1:26" x14ac:dyDescent="0.2">
      <c r="A3594" s="45">
        <v>615</v>
      </c>
      <c r="B3594" s="45">
        <v>1996</v>
      </c>
      <c r="C3594" s="17">
        <v>0</v>
      </c>
      <c r="D3594" s="14">
        <v>-8.8082000000000004E-3</v>
      </c>
      <c r="E3594" s="14">
        <v>0.21232970000000001</v>
      </c>
      <c r="F3594" s="14">
        <v>7.0344500000000004E-2</v>
      </c>
      <c r="G3594" s="14">
        <v>1.09321</v>
      </c>
      <c r="H3594" s="14">
        <v>0.1605946</v>
      </c>
      <c r="R3594" s="11">
        <f t="shared" si="112"/>
        <v>5.7257978406213125E-3</v>
      </c>
      <c r="Z3594" s="11">
        <f t="shared" si="113"/>
        <v>7.4576876164382262E-3</v>
      </c>
    </row>
    <row r="3595" spans="1:26" x14ac:dyDescent="0.2">
      <c r="A3595" s="45">
        <v>616</v>
      </c>
      <c r="B3595" s="45">
        <v>1995</v>
      </c>
      <c r="C3595" s="17">
        <v>0</v>
      </c>
      <c r="D3595" s="14">
        <v>0.1064782</v>
      </c>
      <c r="E3595" s="14">
        <v>8.0794000000000005E-2</v>
      </c>
      <c r="F3595" s="14">
        <v>5.8535700000000003E-2</v>
      </c>
      <c r="G3595" s="14">
        <v>0.15136269999999999</v>
      </c>
      <c r="H3595" s="14">
        <v>0.53770180000000001</v>
      </c>
      <c r="R3595" s="11">
        <f t="shared" si="112"/>
        <v>3.3233653900758962E-2</v>
      </c>
      <c r="Z3595" s="11">
        <f t="shared" si="113"/>
        <v>4.319667136117053E-2</v>
      </c>
    </row>
    <row r="3596" spans="1:26" x14ac:dyDescent="0.2">
      <c r="A3596" s="45">
        <v>616</v>
      </c>
      <c r="B3596" s="45">
        <v>1996</v>
      </c>
      <c r="C3596" s="17">
        <v>0</v>
      </c>
      <c r="D3596" s="14">
        <v>0.19317309999999999</v>
      </c>
      <c r="E3596" s="14">
        <v>9.3138799999999994E-2</v>
      </c>
      <c r="F3596" s="14">
        <v>5.9603099999999999E-2</v>
      </c>
      <c r="G3596" s="14">
        <v>0.281615</v>
      </c>
      <c r="H3596" s="14">
        <v>0.60676070000000004</v>
      </c>
      <c r="R3596" s="11">
        <f t="shared" si="112"/>
        <v>2.6482003919750446E-2</v>
      </c>
      <c r="Z3596" s="11">
        <f t="shared" si="113"/>
        <v>3.4440924285003942E-2</v>
      </c>
    </row>
    <row r="3597" spans="1:26" x14ac:dyDescent="0.2">
      <c r="A3597" s="45">
        <v>616</v>
      </c>
      <c r="B3597" s="45">
        <v>1997</v>
      </c>
      <c r="C3597" s="17">
        <v>0</v>
      </c>
      <c r="D3597" s="14">
        <v>0.28723029999999999</v>
      </c>
      <c r="E3597" s="14">
        <v>8.6664900000000003E-2</v>
      </c>
      <c r="F3597" s="14">
        <v>4.7043500000000002E-2</v>
      </c>
      <c r="G3597" s="14">
        <v>0.32304929999999998</v>
      </c>
      <c r="H3597" s="14">
        <v>0.66716399999999998</v>
      </c>
      <c r="R3597" s="11">
        <f t="shared" si="112"/>
        <v>2.7636235265768055E-2</v>
      </c>
      <c r="Z3597" s="11">
        <f t="shared" si="113"/>
        <v>3.5535443226451566E-2</v>
      </c>
    </row>
    <row r="3598" spans="1:26" x14ac:dyDescent="0.2">
      <c r="A3598" s="45">
        <v>616</v>
      </c>
      <c r="B3598" s="45">
        <v>1998</v>
      </c>
      <c r="C3598" s="17">
        <v>0</v>
      </c>
      <c r="D3598" s="14">
        <v>0.24381610000000001</v>
      </c>
      <c r="E3598" s="14">
        <v>8.4020200000000003E-2</v>
      </c>
      <c r="F3598" s="14">
        <v>2.7362000000000001E-2</v>
      </c>
      <c r="G3598" s="14">
        <v>0.1128875</v>
      </c>
      <c r="H3598" s="14">
        <v>0.40513860000000002</v>
      </c>
      <c r="R3598" s="11">
        <f t="shared" si="112"/>
        <v>4.4599386949569012E-2</v>
      </c>
      <c r="Z3598" s="11">
        <f t="shared" si="113"/>
        <v>5.6441885214366223E-2</v>
      </c>
    </row>
    <row r="3599" spans="1:26" x14ac:dyDescent="0.2">
      <c r="A3599" s="45">
        <v>616</v>
      </c>
      <c r="B3599" s="45">
        <v>1999</v>
      </c>
      <c r="C3599" s="17">
        <v>0</v>
      </c>
      <c r="D3599" s="14">
        <v>0.27625860000000002</v>
      </c>
      <c r="E3599" s="14">
        <v>9.2591400000000004E-2</v>
      </c>
      <c r="F3599" s="14">
        <v>4.9429899999999999E-2</v>
      </c>
      <c r="G3599" s="14">
        <v>9.4060099999999994E-2</v>
      </c>
      <c r="H3599" s="14">
        <v>0.4547426</v>
      </c>
      <c r="R3599" s="11">
        <f t="shared" si="112"/>
        <v>3.8294847943742633E-2</v>
      </c>
      <c r="Z3599" s="11">
        <f t="shared" si="113"/>
        <v>4.9424049837481804E-2</v>
      </c>
    </row>
    <row r="3600" spans="1:26" x14ac:dyDescent="0.2">
      <c r="A3600" s="45">
        <v>616</v>
      </c>
      <c r="B3600" s="45">
        <v>2000</v>
      </c>
      <c r="C3600" s="17">
        <v>0</v>
      </c>
      <c r="D3600" s="14">
        <v>0.31829020000000002</v>
      </c>
      <c r="E3600" s="14">
        <v>0.13087969999999999</v>
      </c>
      <c r="F3600" s="14">
        <v>5.1798200000000003E-2</v>
      </c>
      <c r="G3600" s="14">
        <v>0.32544050000000002</v>
      </c>
      <c r="H3600" s="14">
        <v>0.44428679999999998</v>
      </c>
      <c r="R3600" s="11">
        <f t="shared" si="112"/>
        <v>2.4922762160858709E-2</v>
      </c>
      <c r="Z3600" s="11">
        <f t="shared" si="113"/>
        <v>3.2238784447856036E-2</v>
      </c>
    </row>
    <row r="3601" spans="1:26" x14ac:dyDescent="0.2">
      <c r="A3601" s="45">
        <v>616</v>
      </c>
      <c r="B3601" s="45">
        <v>2001</v>
      </c>
      <c r="C3601" s="17">
        <v>0</v>
      </c>
      <c r="D3601" s="14">
        <v>0.31422620000000001</v>
      </c>
      <c r="E3601" s="14">
        <v>0.16743259999999999</v>
      </c>
      <c r="F3601" s="14">
        <v>6.17802E-2</v>
      </c>
      <c r="G3601" s="14">
        <v>0.59270610000000001</v>
      </c>
      <c r="H3601" s="14">
        <v>0.43736340000000001</v>
      </c>
      <c r="R3601" s="11">
        <f t="shared" si="112"/>
        <v>1.4405380472595446E-2</v>
      </c>
      <c r="Z3601" s="11">
        <f t="shared" si="113"/>
        <v>1.8758460457692142E-2</v>
      </c>
    </row>
    <row r="3602" spans="1:26" x14ac:dyDescent="0.2">
      <c r="A3602" s="45">
        <v>616</v>
      </c>
      <c r="B3602" s="45">
        <v>2002</v>
      </c>
      <c r="C3602" s="17">
        <v>0</v>
      </c>
      <c r="D3602" s="14">
        <v>0.27278989999999997</v>
      </c>
      <c r="E3602" s="14">
        <v>0.2104193</v>
      </c>
      <c r="F3602" s="14">
        <v>6.3880699999999999E-2</v>
      </c>
      <c r="G3602" s="14">
        <v>0.44196150000000001</v>
      </c>
      <c r="H3602" s="14">
        <v>0.3551899</v>
      </c>
      <c r="R3602" s="11">
        <f t="shared" si="112"/>
        <v>1.687798371077277E-2</v>
      </c>
      <c r="Z3602" s="11">
        <f t="shared" si="113"/>
        <v>2.2101966271914294E-2</v>
      </c>
    </row>
    <row r="3603" spans="1:26" x14ac:dyDescent="0.2">
      <c r="A3603" s="45">
        <v>616</v>
      </c>
      <c r="B3603" s="45">
        <v>2003</v>
      </c>
      <c r="C3603" s="17">
        <v>0</v>
      </c>
      <c r="D3603" s="14">
        <v>0.2401461</v>
      </c>
      <c r="E3603" s="14">
        <v>0.1805167</v>
      </c>
      <c r="F3603" s="14">
        <v>3.39408E-2</v>
      </c>
      <c r="G3603" s="14">
        <v>0.44559470000000001</v>
      </c>
      <c r="H3603" s="14">
        <v>0.26884780000000003</v>
      </c>
      <c r="R3603" s="11">
        <f t="shared" si="112"/>
        <v>2.2149475303766292E-2</v>
      </c>
      <c r="Z3603" s="11">
        <f t="shared" si="113"/>
        <v>2.8244505276226215E-2</v>
      </c>
    </row>
    <row r="3604" spans="1:26" x14ac:dyDescent="0.2">
      <c r="A3604" s="45">
        <v>617</v>
      </c>
      <c r="B3604" s="45">
        <v>1999</v>
      </c>
      <c r="C3604" s="17">
        <v>0</v>
      </c>
      <c r="D3604" s="14">
        <v>0.40141850000000001</v>
      </c>
      <c r="E3604" s="14">
        <v>0.36276330000000001</v>
      </c>
      <c r="F3604" s="14">
        <v>-1.2010699999999999E-2</v>
      </c>
      <c r="G3604" s="14">
        <v>0.62756020000000001</v>
      </c>
      <c r="H3604" s="14">
        <v>0.18074989999999999</v>
      </c>
      <c r="R3604" s="11">
        <f t="shared" si="112"/>
        <v>1.8434158365635809E-2</v>
      </c>
      <c r="Z3604" s="11">
        <f t="shared" si="113"/>
        <v>2.2730990106626409E-2</v>
      </c>
    </row>
    <row r="3605" spans="1:26" x14ac:dyDescent="0.2">
      <c r="A3605" s="45">
        <v>617</v>
      </c>
      <c r="B3605" s="45">
        <v>2000</v>
      </c>
      <c r="C3605" s="17">
        <v>0</v>
      </c>
      <c r="D3605" s="14">
        <v>0.37121969999999999</v>
      </c>
      <c r="E3605" s="14">
        <v>0.38582949999999999</v>
      </c>
      <c r="F3605" s="14">
        <v>2.5599899999999998E-2</v>
      </c>
      <c r="G3605" s="14">
        <v>0.28366350000000001</v>
      </c>
      <c r="H3605" s="14">
        <v>0.23996609999999999</v>
      </c>
      <c r="R3605" s="11">
        <f t="shared" si="112"/>
        <v>2.2725052422724986E-2</v>
      </c>
      <c r="Z3605" s="11">
        <f t="shared" si="113"/>
        <v>2.907992471715207E-2</v>
      </c>
    </row>
    <row r="3606" spans="1:26" x14ac:dyDescent="0.2">
      <c r="A3606" s="45">
        <v>617</v>
      </c>
      <c r="B3606" s="45">
        <v>2001</v>
      </c>
      <c r="C3606" s="17">
        <v>0</v>
      </c>
      <c r="D3606" s="14">
        <v>0.47456930000000003</v>
      </c>
      <c r="E3606" s="14">
        <v>0.36952459999999998</v>
      </c>
      <c r="F3606" s="14">
        <v>1.8059599999999999E-2</v>
      </c>
      <c r="G3606" s="14">
        <v>0.56773660000000004</v>
      </c>
      <c r="H3606" s="14">
        <v>0.2268385</v>
      </c>
      <c r="R3606" s="11">
        <f t="shared" si="112"/>
        <v>1.5828713333180058E-2</v>
      </c>
      <c r="Z3606" s="11">
        <f t="shared" si="113"/>
        <v>2.0038346566482752E-2</v>
      </c>
    </row>
    <row r="3607" spans="1:26" x14ac:dyDescent="0.2">
      <c r="A3607" s="45">
        <v>617</v>
      </c>
      <c r="B3607" s="45">
        <v>2002</v>
      </c>
      <c r="C3607" s="17">
        <v>0</v>
      </c>
      <c r="D3607" s="14">
        <v>0.31368639999999998</v>
      </c>
      <c r="E3607" s="14">
        <v>0.32737769999999999</v>
      </c>
      <c r="F3607" s="14">
        <v>4.5504799999999998E-2</v>
      </c>
      <c r="G3607" s="14">
        <v>0.5168121</v>
      </c>
      <c r="H3607" s="14">
        <v>0.24167839999999999</v>
      </c>
      <c r="R3607" s="11">
        <f t="shared" ref="R3607:R3670" si="114">1/(1+EXP(-(K$2+$M$2*E3607+$N$2*F3607+$O$2*G3607)))</f>
        <v>1.4671406788071831E-2</v>
      </c>
      <c r="Z3607" s="11">
        <f t="shared" si="113"/>
        <v>1.8987721674609329E-2</v>
      </c>
    </row>
    <row r="3608" spans="1:26" x14ac:dyDescent="0.2">
      <c r="A3608" s="45">
        <v>617</v>
      </c>
      <c r="B3608" s="45">
        <v>2003</v>
      </c>
      <c r="C3608" s="17">
        <v>0</v>
      </c>
      <c r="D3608" s="14">
        <v>0.30928919999999999</v>
      </c>
      <c r="E3608" s="14">
        <v>0.24485170000000001</v>
      </c>
      <c r="F3608" s="14">
        <v>2.6652200000000001E-2</v>
      </c>
      <c r="G3608" s="14">
        <v>0.52892950000000005</v>
      </c>
      <c r="H3608" s="14">
        <v>0.25888719999999998</v>
      </c>
      <c r="R3608" s="11">
        <f t="shared" si="114"/>
        <v>1.8787683530167271E-2</v>
      </c>
      <c r="Z3608" s="11">
        <f t="shared" si="113"/>
        <v>2.3849487713021863E-2</v>
      </c>
    </row>
    <row r="3609" spans="1:26" x14ac:dyDescent="0.2">
      <c r="A3609" s="45">
        <v>617</v>
      </c>
      <c r="B3609" s="45">
        <v>2004</v>
      </c>
      <c r="C3609" s="17">
        <v>0</v>
      </c>
      <c r="D3609" s="14">
        <v>0.32353340000000003</v>
      </c>
      <c r="E3609" s="14">
        <v>0.2296774</v>
      </c>
      <c r="F3609" s="14">
        <v>6.8021000000000002E-3</v>
      </c>
      <c r="G3609" s="14">
        <v>0.73939480000000002</v>
      </c>
      <c r="H3609" s="14">
        <v>0.3078591</v>
      </c>
      <c r="R3609" s="11">
        <f t="shared" si="114"/>
        <v>1.6140717763088584E-2</v>
      </c>
      <c r="Z3609" s="11">
        <f t="shared" si="113"/>
        <v>2.0078351974447139E-2</v>
      </c>
    </row>
    <row r="3610" spans="1:26" x14ac:dyDescent="0.2">
      <c r="A3610" s="45">
        <v>618</v>
      </c>
      <c r="B3610" s="45">
        <v>1995</v>
      </c>
      <c r="C3610" s="17">
        <v>0</v>
      </c>
      <c r="D3610" s="14">
        <v>0.34911730000000002</v>
      </c>
      <c r="E3610" s="14">
        <v>0.39633750000000001</v>
      </c>
      <c r="F3610" s="14">
        <v>6.4956399999999997E-2</v>
      </c>
      <c r="G3610" s="14">
        <v>2.4692440000000002</v>
      </c>
      <c r="H3610" s="14">
        <v>0.43444519999999998</v>
      </c>
      <c r="R3610" s="11">
        <f t="shared" si="114"/>
        <v>5.1320474235034034E-4</v>
      </c>
      <c r="Z3610" s="11">
        <f t="shared" si="113"/>
        <v>6.5075454252233611E-4</v>
      </c>
    </row>
    <row r="3611" spans="1:26" x14ac:dyDescent="0.2">
      <c r="A3611" s="45">
        <v>618</v>
      </c>
      <c r="B3611" s="45">
        <v>1996</v>
      </c>
      <c r="C3611" s="17">
        <v>0</v>
      </c>
      <c r="D3611" s="14">
        <v>0.35333059999999999</v>
      </c>
      <c r="E3611" s="14">
        <v>0.42044799999999999</v>
      </c>
      <c r="F3611" s="14">
        <v>8.2797800000000005E-2</v>
      </c>
      <c r="G3611" s="14">
        <v>2.7519</v>
      </c>
      <c r="H3611" s="14">
        <v>0.44701590000000002</v>
      </c>
      <c r="R3611" s="11">
        <f t="shared" si="114"/>
        <v>2.7388374801786216E-4</v>
      </c>
      <c r="Z3611" s="11">
        <f t="shared" si="113"/>
        <v>3.5053090652299159E-4</v>
      </c>
    </row>
    <row r="3612" spans="1:26" x14ac:dyDescent="0.2">
      <c r="A3612" s="45">
        <v>618</v>
      </c>
      <c r="B3612" s="45">
        <v>1997</v>
      </c>
      <c r="C3612" s="17">
        <v>0</v>
      </c>
      <c r="D3612" s="14">
        <v>0.25437300000000002</v>
      </c>
      <c r="E3612" s="14">
        <v>0.3086372</v>
      </c>
      <c r="F3612" s="14">
        <v>6.4825599999999997E-2</v>
      </c>
      <c r="G3612" s="14">
        <v>3.6593369999999998</v>
      </c>
      <c r="H3612" s="14">
        <v>0.42639490000000002</v>
      </c>
      <c r="R3612" s="11">
        <f t="shared" si="114"/>
        <v>8.7631417916147504E-5</v>
      </c>
      <c r="Z3612" s="11">
        <f t="shared" si="113"/>
        <v>1.0792039844545776E-4</v>
      </c>
    </row>
    <row r="3613" spans="1:26" x14ac:dyDescent="0.2">
      <c r="A3613" s="45">
        <v>618</v>
      </c>
      <c r="B3613" s="45">
        <v>1998</v>
      </c>
      <c r="C3613" s="17">
        <v>0</v>
      </c>
      <c r="D3613" s="14">
        <v>0.23510519999999999</v>
      </c>
      <c r="E3613" s="14">
        <v>0.30799090000000001</v>
      </c>
      <c r="F3613" s="14">
        <v>6.3584500000000002E-2</v>
      </c>
      <c r="G3613" s="14">
        <v>1.981382</v>
      </c>
      <c r="H3613" s="14">
        <v>0.38394869999999998</v>
      </c>
      <c r="R3613" s="11">
        <f t="shared" si="114"/>
        <v>1.2827870183733223E-3</v>
      </c>
      <c r="Z3613" s="11">
        <f t="shared" si="113"/>
        <v>1.6370015474388119E-3</v>
      </c>
    </row>
    <row r="3614" spans="1:26" x14ac:dyDescent="0.2">
      <c r="A3614" s="45">
        <v>618</v>
      </c>
      <c r="B3614" s="45">
        <v>1999</v>
      </c>
      <c r="C3614" s="17">
        <v>0</v>
      </c>
      <c r="D3614" s="14">
        <v>0.2352629</v>
      </c>
      <c r="E3614" s="14">
        <v>0.36767240000000001</v>
      </c>
      <c r="F3614" s="14">
        <v>6.0595700000000002E-2</v>
      </c>
      <c r="G3614" s="14">
        <v>2.3590420000000001</v>
      </c>
      <c r="H3614" s="14">
        <v>0.39380579999999998</v>
      </c>
      <c r="R3614" s="11">
        <f t="shared" si="114"/>
        <v>6.6030780604845168E-4</v>
      </c>
      <c r="Z3614" s="11">
        <f t="shared" si="113"/>
        <v>8.3547120717302348E-4</v>
      </c>
    </row>
    <row r="3615" spans="1:26" x14ac:dyDescent="0.2">
      <c r="A3615" s="45">
        <v>618</v>
      </c>
      <c r="B3615" s="45">
        <v>2000</v>
      </c>
      <c r="C3615" s="17">
        <v>0</v>
      </c>
      <c r="D3615" s="14">
        <v>0.23811640000000001</v>
      </c>
      <c r="E3615" s="14">
        <v>0.41483560000000003</v>
      </c>
      <c r="F3615" s="14">
        <v>8.0760200000000004E-2</v>
      </c>
      <c r="G3615" s="14">
        <v>2.357901</v>
      </c>
      <c r="H3615" s="14">
        <v>0.37899149999999998</v>
      </c>
      <c r="R3615" s="11">
        <f t="shared" si="114"/>
        <v>5.2572893492944055E-4</v>
      </c>
      <c r="Z3615" s="11">
        <f t="shared" si="113"/>
        <v>6.7740517454546604E-4</v>
      </c>
    </row>
    <row r="3616" spans="1:26" x14ac:dyDescent="0.2">
      <c r="A3616" s="45">
        <v>618</v>
      </c>
      <c r="B3616" s="45">
        <v>2001</v>
      </c>
      <c r="C3616" s="17">
        <v>0</v>
      </c>
      <c r="D3616" s="14">
        <v>0.17852799999999999</v>
      </c>
      <c r="E3616" s="14">
        <v>0.54402220000000001</v>
      </c>
      <c r="F3616" s="14">
        <v>8.2282300000000003E-2</v>
      </c>
      <c r="G3616" s="14">
        <v>3.2878029999999998</v>
      </c>
      <c r="H3616" s="14">
        <v>0.33888360000000001</v>
      </c>
      <c r="R3616" s="11">
        <f t="shared" si="114"/>
        <v>9.7837895022476331E-5</v>
      </c>
      <c r="Z3616" s="11">
        <f t="shared" si="113"/>
        <v>1.2422807815156431E-4</v>
      </c>
    </row>
    <row r="3617" spans="1:26" x14ac:dyDescent="0.2">
      <c r="A3617" s="45">
        <v>618</v>
      </c>
      <c r="B3617" s="45">
        <v>2002</v>
      </c>
      <c r="C3617" s="17">
        <v>0</v>
      </c>
      <c r="D3617" s="14">
        <v>0.2440872</v>
      </c>
      <c r="E3617" s="14">
        <v>0.49788680000000002</v>
      </c>
      <c r="F3617" s="14">
        <v>5.7183199999999997E-2</v>
      </c>
      <c r="G3617" s="14">
        <v>2.1640809999999999</v>
      </c>
      <c r="H3617" s="14">
        <v>0.28962379999999999</v>
      </c>
      <c r="R3617" s="11">
        <f t="shared" si="114"/>
        <v>7.6605300386868927E-4</v>
      </c>
      <c r="Z3617" s="11">
        <f t="shared" si="113"/>
        <v>9.7502842852762199E-4</v>
      </c>
    </row>
    <row r="3618" spans="1:26" x14ac:dyDescent="0.2">
      <c r="A3618" s="45">
        <v>618</v>
      </c>
      <c r="B3618" s="45">
        <v>2003</v>
      </c>
      <c r="C3618" s="17">
        <v>0</v>
      </c>
      <c r="D3618" s="14">
        <v>0.2121596</v>
      </c>
      <c r="E3618" s="14">
        <v>0.49035139999999999</v>
      </c>
      <c r="F3618" s="14">
        <v>6.4847000000000002E-2</v>
      </c>
      <c r="G3618" s="14">
        <v>1.994019</v>
      </c>
      <c r="H3618" s="14">
        <v>0.32162600000000002</v>
      </c>
      <c r="R3618" s="11">
        <f t="shared" si="114"/>
        <v>9.5501351599963343E-4</v>
      </c>
      <c r="Z3618" s="11">
        <f t="shared" si="113"/>
        <v>1.2273908695169156E-3</v>
      </c>
    </row>
    <row r="3619" spans="1:26" x14ac:dyDescent="0.2">
      <c r="A3619" s="45">
        <v>618</v>
      </c>
      <c r="B3619" s="45">
        <v>2004</v>
      </c>
      <c r="C3619" s="17">
        <v>0</v>
      </c>
      <c r="D3619" s="14">
        <v>0.2154536</v>
      </c>
      <c r="E3619" s="14">
        <v>0.54311149999999997</v>
      </c>
      <c r="F3619" s="14">
        <v>6.4734E-2</v>
      </c>
      <c r="G3619" s="14">
        <v>2.5056910000000001</v>
      </c>
      <c r="H3619" s="14">
        <v>0.30652620000000003</v>
      </c>
      <c r="R3619" s="11">
        <f t="shared" si="114"/>
        <v>3.9192913278386459E-4</v>
      </c>
      <c r="Z3619" s="11">
        <f t="shared" si="113"/>
        <v>4.9900451914605985E-4</v>
      </c>
    </row>
    <row r="3620" spans="1:26" x14ac:dyDescent="0.2">
      <c r="A3620" s="45">
        <v>619</v>
      </c>
      <c r="B3620" s="45">
        <v>1995</v>
      </c>
      <c r="C3620" s="17">
        <v>0</v>
      </c>
      <c r="D3620" s="14">
        <v>0.34776459999999998</v>
      </c>
      <c r="E3620" s="14">
        <v>2.8606699999999999E-2</v>
      </c>
      <c r="F3620" s="14">
        <v>8.1103400000000006E-2</v>
      </c>
      <c r="G3620" s="14">
        <v>3.311404</v>
      </c>
      <c r="H3620" s="14">
        <v>0.25483749999999999</v>
      </c>
      <c r="R3620" s="11">
        <f t="shared" si="114"/>
        <v>2.0123090361700769E-4</v>
      </c>
      <c r="Z3620" s="11">
        <f t="shared" si="113"/>
        <v>2.5065678796225733E-4</v>
      </c>
    </row>
    <row r="3621" spans="1:26" x14ac:dyDescent="0.2">
      <c r="A3621" s="45">
        <v>620</v>
      </c>
      <c r="B3621" s="45">
        <v>1995</v>
      </c>
      <c r="C3621" s="17">
        <v>0</v>
      </c>
      <c r="D3621" s="14">
        <v>-0.115107</v>
      </c>
      <c r="E3621" s="14">
        <v>2.9238900000000002E-2</v>
      </c>
      <c r="F3621" s="14">
        <v>3.7574299999999998E-2</v>
      </c>
      <c r="G3621" s="14">
        <v>0.59971540000000001</v>
      </c>
      <c r="H3621" s="14">
        <v>0.47764040000000002</v>
      </c>
      <c r="R3621" s="11">
        <f t="shared" si="114"/>
        <v>2.0995000623718254E-2</v>
      </c>
      <c r="Z3621" s="11">
        <f t="shared" si="113"/>
        <v>2.6635454024920152E-2</v>
      </c>
    </row>
    <row r="3622" spans="1:26" x14ac:dyDescent="0.2">
      <c r="A3622" s="45">
        <v>621</v>
      </c>
      <c r="B3622" s="45">
        <v>1995</v>
      </c>
      <c r="C3622" s="17">
        <v>0</v>
      </c>
      <c r="D3622" s="14">
        <v>0.25682339999999998</v>
      </c>
      <c r="E3622" s="14">
        <v>-0.1999059</v>
      </c>
      <c r="F3622" s="14">
        <v>4.2226600000000003E-2</v>
      </c>
      <c r="G3622" s="14">
        <v>1.397186</v>
      </c>
      <c r="H3622" s="14">
        <v>0.34109929999999999</v>
      </c>
      <c r="R3622" s="11">
        <f t="shared" si="114"/>
        <v>8.0250521223403978E-3</v>
      </c>
      <c r="Z3622" s="11">
        <f t="shared" si="113"/>
        <v>1.000123737013967E-2</v>
      </c>
    </row>
    <row r="3623" spans="1:26" x14ac:dyDescent="0.2">
      <c r="A3623" s="45">
        <v>622</v>
      </c>
      <c r="B3623" s="45">
        <v>1995</v>
      </c>
      <c r="C3623" s="17">
        <v>0</v>
      </c>
      <c r="D3623" s="14">
        <v>0.24322669999999999</v>
      </c>
      <c r="E3623" s="14">
        <v>0.14765919999999999</v>
      </c>
      <c r="F3623" s="14">
        <v>6.7526000000000003E-2</v>
      </c>
      <c r="G3623" s="14">
        <v>0.82455080000000003</v>
      </c>
      <c r="H3623" s="14">
        <v>0.62291969999999997</v>
      </c>
      <c r="R3623" s="11">
        <f t="shared" si="114"/>
        <v>9.8311478548086823E-3</v>
      </c>
      <c r="Z3623" s="11">
        <f t="shared" si="113"/>
        <v>1.2806367852476032E-2</v>
      </c>
    </row>
    <row r="3624" spans="1:26" x14ac:dyDescent="0.2">
      <c r="A3624" s="45">
        <v>623</v>
      </c>
      <c r="B3624" s="45">
        <v>1995</v>
      </c>
      <c r="C3624" s="17">
        <v>0</v>
      </c>
      <c r="D3624" s="14">
        <v>0.20264599999999999</v>
      </c>
      <c r="E3624" s="14">
        <v>0.24530750000000001</v>
      </c>
      <c r="F3624" s="14">
        <v>3.7505999999999998E-2</v>
      </c>
      <c r="G3624" s="14">
        <v>0.3104073</v>
      </c>
      <c r="H3624" s="14">
        <v>0.26125029999999999</v>
      </c>
      <c r="R3624" s="11">
        <f t="shared" si="114"/>
        <v>2.4248940576392777E-2</v>
      </c>
      <c r="Z3624" s="11">
        <f t="shared" si="113"/>
        <v>3.1147552473177034E-2</v>
      </c>
    </row>
    <row r="3625" spans="1:26" x14ac:dyDescent="0.2">
      <c r="A3625" s="45">
        <v>623</v>
      </c>
      <c r="B3625" s="45">
        <v>1996</v>
      </c>
      <c r="C3625" s="17">
        <v>0</v>
      </c>
      <c r="D3625" s="14">
        <v>0.22311549999999999</v>
      </c>
      <c r="E3625" s="14">
        <v>0.26335350000000002</v>
      </c>
      <c r="F3625" s="14">
        <v>5.7480299999999998E-2</v>
      </c>
      <c r="G3625" s="14">
        <v>0.450268</v>
      </c>
      <c r="H3625" s="14">
        <v>0.27493119999999999</v>
      </c>
      <c r="R3625" s="11">
        <f t="shared" si="114"/>
        <v>1.6242780023806847E-2</v>
      </c>
      <c r="Z3625" s="11">
        <f t="shared" si="113"/>
        <v>2.1199272907359016E-2</v>
      </c>
    </row>
    <row r="3626" spans="1:26" x14ac:dyDescent="0.2">
      <c r="A3626" s="45">
        <v>623</v>
      </c>
      <c r="B3626" s="45">
        <v>1997</v>
      </c>
      <c r="C3626" s="17">
        <v>0</v>
      </c>
      <c r="D3626" s="14">
        <v>0.23801620000000001</v>
      </c>
      <c r="E3626" s="14">
        <v>0.28070260000000002</v>
      </c>
      <c r="F3626" s="14">
        <v>3.9550099999999998E-2</v>
      </c>
      <c r="G3626" s="14">
        <v>0.68309770000000003</v>
      </c>
      <c r="H3626" s="14">
        <v>0.29040050000000001</v>
      </c>
      <c r="R3626" s="11">
        <f t="shared" si="114"/>
        <v>1.2659989144961661E-2</v>
      </c>
      <c r="Z3626" s="11">
        <f t="shared" si="113"/>
        <v>1.623163456075399E-2</v>
      </c>
    </row>
    <row r="3627" spans="1:26" x14ac:dyDescent="0.2">
      <c r="A3627" s="45">
        <v>623</v>
      </c>
      <c r="B3627" s="45">
        <v>1998</v>
      </c>
      <c r="C3627" s="17">
        <v>0</v>
      </c>
      <c r="D3627" s="14">
        <v>0.2575923</v>
      </c>
      <c r="E3627" s="14">
        <v>0.30009950000000002</v>
      </c>
      <c r="F3627" s="14">
        <v>3.11741E-2</v>
      </c>
      <c r="G3627" s="14">
        <v>0.71655219999999997</v>
      </c>
      <c r="H3627" s="14">
        <v>0.30612990000000001</v>
      </c>
      <c r="R3627" s="11">
        <f t="shared" si="114"/>
        <v>1.247981770585012E-2</v>
      </c>
      <c r="Z3627" s="11">
        <f t="shared" si="113"/>
        <v>1.5892586596402501E-2</v>
      </c>
    </row>
    <row r="3628" spans="1:26" x14ac:dyDescent="0.2">
      <c r="A3628" s="45">
        <v>623</v>
      </c>
      <c r="B3628" s="45">
        <v>1999</v>
      </c>
      <c r="C3628" s="17">
        <v>0</v>
      </c>
      <c r="D3628" s="14">
        <v>0.2533474</v>
      </c>
      <c r="E3628" s="14">
        <v>0.2966782</v>
      </c>
      <c r="F3628" s="14">
        <v>3.5922999999999997E-2</v>
      </c>
      <c r="G3628" s="14">
        <v>0.60530720000000005</v>
      </c>
      <c r="H3628" s="14">
        <v>0.29531499999999999</v>
      </c>
      <c r="R3628" s="11">
        <f t="shared" si="114"/>
        <v>1.4388728337326521E-2</v>
      </c>
      <c r="Z3628" s="11">
        <f t="shared" si="113"/>
        <v>1.8426087656623461E-2</v>
      </c>
    </row>
    <row r="3629" spans="1:26" x14ac:dyDescent="0.2">
      <c r="A3629" s="45">
        <v>623</v>
      </c>
      <c r="B3629" s="45">
        <v>2000</v>
      </c>
      <c r="C3629" s="17">
        <v>0</v>
      </c>
      <c r="D3629" s="14">
        <v>0.2472163</v>
      </c>
      <c r="E3629" s="14">
        <v>0.29377819999999999</v>
      </c>
      <c r="F3629" s="14">
        <v>4.9697499999999999E-2</v>
      </c>
      <c r="G3629" s="14">
        <v>0.4435212</v>
      </c>
      <c r="H3629" s="14">
        <v>0.30451410000000001</v>
      </c>
      <c r="R3629" s="11">
        <f t="shared" si="114"/>
        <v>1.670892732875447E-2</v>
      </c>
      <c r="Z3629" s="11">
        <f t="shared" si="113"/>
        <v>2.1694128563786642E-2</v>
      </c>
    </row>
    <row r="3630" spans="1:26" x14ac:dyDescent="0.2">
      <c r="A3630" s="45">
        <v>623</v>
      </c>
      <c r="B3630" s="45">
        <v>2001</v>
      </c>
      <c r="C3630" s="17">
        <v>0</v>
      </c>
      <c r="D3630" s="14">
        <v>0.3014481</v>
      </c>
      <c r="E3630" s="14">
        <v>0.2753891</v>
      </c>
      <c r="F3630" s="14">
        <v>2.4592800000000001E-2</v>
      </c>
      <c r="G3630" s="14">
        <v>0.4465286</v>
      </c>
      <c r="H3630" s="14">
        <v>0.27191539999999997</v>
      </c>
      <c r="R3630" s="11">
        <f t="shared" si="114"/>
        <v>2.0791456266832969E-2</v>
      </c>
      <c r="Z3630" s="11">
        <f t="shared" si="113"/>
        <v>2.6408754030059985E-2</v>
      </c>
    </row>
    <row r="3631" spans="1:26" x14ac:dyDescent="0.2">
      <c r="A3631" s="45">
        <v>623</v>
      </c>
      <c r="B3631" s="45">
        <v>2002</v>
      </c>
      <c r="C3631" s="17">
        <v>0</v>
      </c>
      <c r="D3631" s="14">
        <v>0.29213670000000003</v>
      </c>
      <c r="E3631" s="14">
        <v>0.17451130000000001</v>
      </c>
      <c r="F3631" s="14">
        <v>3.4021599999999999E-2</v>
      </c>
      <c r="G3631" s="14">
        <v>0.3563714</v>
      </c>
      <c r="H3631" s="14">
        <v>0.25983450000000002</v>
      </c>
      <c r="R3631" s="11">
        <f t="shared" si="114"/>
        <v>2.5648884964060627E-2</v>
      </c>
      <c r="Z3631" s="11">
        <f t="shared" si="113"/>
        <v>3.2732434083962328E-2</v>
      </c>
    </row>
    <row r="3632" spans="1:26" x14ac:dyDescent="0.2">
      <c r="A3632" s="45">
        <v>623</v>
      </c>
      <c r="B3632" s="45">
        <v>2004</v>
      </c>
      <c r="C3632" s="17">
        <v>0</v>
      </c>
      <c r="D3632" s="14">
        <v>0.36555209999999999</v>
      </c>
      <c r="E3632" s="14">
        <v>0.25389390000000001</v>
      </c>
      <c r="F3632" s="14">
        <v>4.5864000000000002E-2</v>
      </c>
      <c r="G3632" s="14">
        <v>0.53665300000000005</v>
      </c>
      <c r="H3632" s="14">
        <v>0.26364850000000001</v>
      </c>
      <c r="R3632" s="11">
        <f t="shared" si="114"/>
        <v>1.5754964833099568E-2</v>
      </c>
      <c r="Z3632" s="11">
        <f t="shared" si="113"/>
        <v>2.0330395121156346E-2</v>
      </c>
    </row>
    <row r="3633" spans="1:26" x14ac:dyDescent="0.2">
      <c r="A3633" s="45">
        <v>624</v>
      </c>
      <c r="B3633" s="45">
        <v>1995</v>
      </c>
      <c r="C3633" s="17">
        <v>0</v>
      </c>
      <c r="D3633" s="14">
        <v>2.1335E-2</v>
      </c>
      <c r="E3633" s="14">
        <v>0.31518420000000003</v>
      </c>
      <c r="F3633" s="14">
        <v>4.1044600000000001E-2</v>
      </c>
      <c r="G3633" s="14">
        <v>0.61519800000000002</v>
      </c>
      <c r="H3633" s="14">
        <v>0.42465009999999997</v>
      </c>
      <c r="R3633" s="11">
        <f t="shared" si="114"/>
        <v>1.3249532831594794E-2</v>
      </c>
      <c r="Z3633" s="11">
        <f t="shared" si="113"/>
        <v>1.7049913992749209E-2</v>
      </c>
    </row>
    <row r="3634" spans="1:26" x14ac:dyDescent="0.2">
      <c r="A3634" s="45">
        <v>624</v>
      </c>
      <c r="B3634" s="45">
        <v>1996</v>
      </c>
      <c r="C3634" s="17">
        <v>0</v>
      </c>
      <c r="D3634" s="14">
        <v>-2.6633799999999999E-2</v>
      </c>
      <c r="E3634" s="14">
        <v>0.2886146</v>
      </c>
      <c r="F3634" s="14">
        <v>2.0030599999999999E-2</v>
      </c>
      <c r="G3634" s="14">
        <v>0.53859210000000002</v>
      </c>
      <c r="H3634" s="14">
        <v>0.54913860000000003</v>
      </c>
      <c r="R3634" s="11">
        <f t="shared" si="114"/>
        <v>1.8313182252771947E-2</v>
      </c>
      <c r="Z3634" s="11">
        <f t="shared" si="113"/>
        <v>2.3156331801190266E-2</v>
      </c>
    </row>
    <row r="3635" spans="1:26" x14ac:dyDescent="0.2">
      <c r="A3635" s="45">
        <v>624</v>
      </c>
      <c r="B3635" s="45">
        <v>1997</v>
      </c>
      <c r="C3635" s="17">
        <v>0</v>
      </c>
      <c r="D3635" s="14">
        <v>-2.6603700000000001E-2</v>
      </c>
      <c r="E3635" s="14">
        <v>0.34201369999999998</v>
      </c>
      <c r="F3635" s="14">
        <v>3.16402E-2</v>
      </c>
      <c r="G3635" s="14">
        <v>0.95814969999999999</v>
      </c>
      <c r="H3635" s="14">
        <v>0.49280170000000001</v>
      </c>
      <c r="R3635" s="11">
        <f t="shared" si="114"/>
        <v>7.9961641443986875E-3</v>
      </c>
      <c r="Z3635" s="11">
        <f t="shared" si="113"/>
        <v>1.0160202623574954E-2</v>
      </c>
    </row>
    <row r="3636" spans="1:26" x14ac:dyDescent="0.2">
      <c r="A3636" s="45">
        <v>624</v>
      </c>
      <c r="B3636" s="45">
        <v>1998</v>
      </c>
      <c r="C3636" s="17">
        <v>0</v>
      </c>
      <c r="D3636" s="14">
        <v>-1.7530199999999999E-2</v>
      </c>
      <c r="E3636" s="14">
        <v>0.3706738</v>
      </c>
      <c r="F3636" s="14">
        <v>4.8782800000000001E-2</v>
      </c>
      <c r="G3636" s="14">
        <v>1.0486</v>
      </c>
      <c r="H3636" s="14">
        <v>0.3717898</v>
      </c>
      <c r="R3636" s="11">
        <f t="shared" si="114"/>
        <v>5.8021761576980309E-3</v>
      </c>
      <c r="Z3636" s="11">
        <f t="shared" si="113"/>
        <v>7.472978723295113E-3</v>
      </c>
    </row>
    <row r="3637" spans="1:26" x14ac:dyDescent="0.2">
      <c r="A3637" s="45">
        <v>624</v>
      </c>
      <c r="B3637" s="45">
        <v>1999</v>
      </c>
      <c r="C3637" s="17">
        <v>0</v>
      </c>
      <c r="D3637" s="14">
        <v>-2.8759900000000001E-2</v>
      </c>
      <c r="E3637" s="14">
        <v>0.33244030000000002</v>
      </c>
      <c r="F3637" s="14">
        <v>2.3721200000000001E-2</v>
      </c>
      <c r="G3637" s="14">
        <v>0.58566680000000004</v>
      </c>
      <c r="H3637" s="14">
        <v>0.54588510000000001</v>
      </c>
      <c r="R3637" s="11">
        <f t="shared" si="114"/>
        <v>1.5521071175919257E-2</v>
      </c>
      <c r="Z3637" s="11">
        <f t="shared" si="113"/>
        <v>1.9707911390634804E-2</v>
      </c>
    </row>
    <row r="3638" spans="1:26" x14ac:dyDescent="0.2">
      <c r="A3638" s="45">
        <v>624</v>
      </c>
      <c r="B3638" s="45">
        <v>2000</v>
      </c>
      <c r="C3638" s="17">
        <v>0</v>
      </c>
      <c r="D3638" s="14">
        <v>4.1812200000000001E-2</v>
      </c>
      <c r="E3638" s="14">
        <v>0.3869785</v>
      </c>
      <c r="F3638" s="14">
        <v>6.7379099999999997E-2</v>
      </c>
      <c r="G3638" s="14">
        <v>0.79729410000000001</v>
      </c>
      <c r="H3638" s="14">
        <v>0.63090999999999997</v>
      </c>
      <c r="R3638" s="11">
        <f t="shared" si="114"/>
        <v>7.2773552267051799E-3</v>
      </c>
      <c r="Z3638" s="11">
        <f t="shared" si="113"/>
        <v>9.5690625033945653E-3</v>
      </c>
    </row>
    <row r="3639" spans="1:26" x14ac:dyDescent="0.2">
      <c r="A3639" s="45">
        <v>624</v>
      </c>
      <c r="B3639" s="45">
        <v>2001</v>
      </c>
      <c r="C3639" s="17">
        <v>0</v>
      </c>
      <c r="D3639" s="14">
        <v>-2.0617099999999999E-2</v>
      </c>
      <c r="E3639" s="14">
        <v>0.41246189999999999</v>
      </c>
      <c r="F3639" s="14">
        <v>4.11283E-2</v>
      </c>
      <c r="G3639" s="14">
        <v>0.71600209999999997</v>
      </c>
      <c r="H3639" s="14">
        <v>0.45742939999999999</v>
      </c>
      <c r="R3639" s="11">
        <f t="shared" si="114"/>
        <v>9.8224953067935928E-3</v>
      </c>
      <c r="Z3639" s="11">
        <f t="shared" si="113"/>
        <v>1.2667287043294027E-2</v>
      </c>
    </row>
    <row r="3640" spans="1:26" x14ac:dyDescent="0.2">
      <c r="A3640" s="45">
        <v>624</v>
      </c>
      <c r="B3640" s="45">
        <v>2002</v>
      </c>
      <c r="C3640" s="17">
        <v>0</v>
      </c>
      <c r="D3640" s="14">
        <v>4.50049E-2</v>
      </c>
      <c r="E3640" s="14">
        <v>0.31621840000000001</v>
      </c>
      <c r="F3640" s="14">
        <v>6.7466200000000004E-2</v>
      </c>
      <c r="G3640" s="14">
        <v>0.52409609999999995</v>
      </c>
      <c r="H3640" s="14">
        <v>0.60082400000000002</v>
      </c>
      <c r="R3640" s="11">
        <f t="shared" si="114"/>
        <v>1.2393317201728427E-2</v>
      </c>
      <c r="Z3640" s="11">
        <f t="shared" si="113"/>
        <v>1.6328402250369495E-2</v>
      </c>
    </row>
    <row r="3641" spans="1:26" x14ac:dyDescent="0.2">
      <c r="A3641" s="45">
        <v>624</v>
      </c>
      <c r="B3641" s="45">
        <v>2003</v>
      </c>
      <c r="C3641" s="17">
        <v>0</v>
      </c>
      <c r="D3641" s="14">
        <v>3.11157E-2</v>
      </c>
      <c r="E3641" s="14">
        <v>0.3572053</v>
      </c>
      <c r="F3641" s="14">
        <v>3.6897899999999997E-2</v>
      </c>
      <c r="G3641" s="14">
        <v>0.76752909999999996</v>
      </c>
      <c r="H3641" s="14">
        <v>0.60799449999999999</v>
      </c>
      <c r="R3641" s="11">
        <f t="shared" si="114"/>
        <v>1.0139365877013523E-2</v>
      </c>
      <c r="Z3641" s="11">
        <f t="shared" si="113"/>
        <v>1.2991155287966353E-2</v>
      </c>
    </row>
    <row r="3642" spans="1:26" x14ac:dyDescent="0.2">
      <c r="A3642" s="45">
        <v>624</v>
      </c>
      <c r="B3642" s="45">
        <v>2004</v>
      </c>
      <c r="C3642" s="17">
        <v>0</v>
      </c>
      <c r="D3642" s="14">
        <v>-3.0570199999999999E-2</v>
      </c>
      <c r="E3642" s="14">
        <v>0.36474800000000002</v>
      </c>
      <c r="F3642" s="14">
        <v>6.5530699999999997E-2</v>
      </c>
      <c r="G3642" s="14">
        <v>0.96015200000000001</v>
      </c>
      <c r="H3642" s="14">
        <v>0.85902420000000002</v>
      </c>
      <c r="R3642" s="11">
        <f t="shared" si="114"/>
        <v>5.8928564194259542E-3</v>
      </c>
      <c r="Z3642" s="11">
        <f t="shared" si="113"/>
        <v>7.7070055495257177E-3</v>
      </c>
    </row>
    <row r="3643" spans="1:26" x14ac:dyDescent="0.2">
      <c r="A3643" s="45">
        <v>625</v>
      </c>
      <c r="B3643" s="45">
        <v>1995</v>
      </c>
      <c r="C3643" s="17">
        <v>0</v>
      </c>
      <c r="D3643" s="14">
        <v>0.2253975</v>
      </c>
      <c r="E3643" s="14">
        <v>0.41559810000000003</v>
      </c>
      <c r="F3643" s="14">
        <v>8.1810999999999995E-2</v>
      </c>
      <c r="G3643" s="14">
        <v>1.994113</v>
      </c>
      <c r="H3643" s="14">
        <v>0.27647339999999998</v>
      </c>
      <c r="R3643" s="11">
        <f t="shared" si="114"/>
        <v>9.2945470461904965E-4</v>
      </c>
      <c r="Z3643" s="11">
        <f t="shared" si="113"/>
        <v>1.2081592964166682E-3</v>
      </c>
    </row>
    <row r="3644" spans="1:26" x14ac:dyDescent="0.2">
      <c r="A3644" s="45">
        <v>625</v>
      </c>
      <c r="B3644" s="45">
        <v>1996</v>
      </c>
      <c r="C3644" s="17">
        <v>0</v>
      </c>
      <c r="D3644" s="14">
        <v>0.28130129999999998</v>
      </c>
      <c r="E3644" s="14">
        <v>0.44795960000000001</v>
      </c>
      <c r="F3644" s="14">
        <v>9.03312E-2</v>
      </c>
      <c r="G3644" s="14">
        <v>2.4030330000000002</v>
      </c>
      <c r="H3644" s="14">
        <v>0.28880990000000001</v>
      </c>
      <c r="R3644" s="11">
        <f t="shared" si="114"/>
        <v>4.31917902999944E-4</v>
      </c>
      <c r="Z3644" s="11">
        <f t="shared" si="113"/>
        <v>5.6100443832359762E-4</v>
      </c>
    </row>
    <row r="3645" spans="1:26" x14ac:dyDescent="0.2">
      <c r="A3645" s="45">
        <v>625</v>
      </c>
      <c r="B3645" s="45">
        <v>1997</v>
      </c>
      <c r="C3645" s="17">
        <v>0</v>
      </c>
      <c r="D3645" s="14">
        <v>0.26913789999999999</v>
      </c>
      <c r="E3645" s="14">
        <v>0.51131800000000005</v>
      </c>
      <c r="F3645" s="14">
        <v>9.0575100000000006E-2</v>
      </c>
      <c r="G3645" s="14">
        <v>2.5490539999999999</v>
      </c>
      <c r="H3645" s="14">
        <v>0.30306349999999999</v>
      </c>
      <c r="R3645" s="11">
        <f t="shared" si="114"/>
        <v>3.1155700524976326E-4</v>
      </c>
      <c r="Z3645" s="11">
        <f t="shared" si="113"/>
        <v>4.0434480014377828E-4</v>
      </c>
    </row>
    <row r="3646" spans="1:26" x14ac:dyDescent="0.2">
      <c r="A3646" s="45">
        <v>625</v>
      </c>
      <c r="B3646" s="45">
        <v>1998</v>
      </c>
      <c r="C3646" s="17">
        <v>0</v>
      </c>
      <c r="D3646" s="14">
        <v>0.23044990000000001</v>
      </c>
      <c r="E3646" s="14">
        <v>0.56157670000000004</v>
      </c>
      <c r="F3646" s="14">
        <v>8.6639099999999997E-2</v>
      </c>
      <c r="G3646" s="14">
        <v>2.2849849999999998</v>
      </c>
      <c r="H3646" s="14">
        <v>0.32115149999999998</v>
      </c>
      <c r="R3646" s="11">
        <f t="shared" si="114"/>
        <v>4.5516709734331047E-4</v>
      </c>
      <c r="Z3646" s="11">
        <f t="shared" si="113"/>
        <v>5.9325030776673443E-4</v>
      </c>
    </row>
    <row r="3647" spans="1:26" x14ac:dyDescent="0.2">
      <c r="A3647" s="45">
        <v>626</v>
      </c>
      <c r="B3647" s="45">
        <v>1995</v>
      </c>
      <c r="C3647" s="17">
        <v>0</v>
      </c>
      <c r="D3647" s="14">
        <v>7.05485E-2</v>
      </c>
      <c r="E3647" s="14">
        <v>0.3436226</v>
      </c>
      <c r="F3647" s="14">
        <v>4.9752699999999997E-2</v>
      </c>
      <c r="G3647" s="14">
        <v>0.75069520000000001</v>
      </c>
      <c r="H3647" s="14">
        <v>0.94984939999999995</v>
      </c>
      <c r="R3647" s="11">
        <f t="shared" si="114"/>
        <v>9.5900857836507883E-3</v>
      </c>
      <c r="Z3647" s="11">
        <f t="shared" si="113"/>
        <v>1.2416701153268485E-2</v>
      </c>
    </row>
    <row r="3648" spans="1:26" x14ac:dyDescent="0.2">
      <c r="A3648" s="45">
        <v>626</v>
      </c>
      <c r="B3648" s="45">
        <v>1996</v>
      </c>
      <c r="C3648" s="17">
        <v>0</v>
      </c>
      <c r="D3648" s="14">
        <v>9.0094199999999999E-2</v>
      </c>
      <c r="E3648" s="14">
        <v>0.36763970000000001</v>
      </c>
      <c r="F3648" s="14">
        <v>5.46629E-2</v>
      </c>
      <c r="G3648" s="14">
        <v>0.73480000000000001</v>
      </c>
      <c r="H3648" s="14">
        <v>0.94726909999999998</v>
      </c>
      <c r="R3648" s="11">
        <f t="shared" si="114"/>
        <v>9.1368846205344117E-3</v>
      </c>
      <c r="Z3648" s="11">
        <f t="shared" si="113"/>
        <v>1.1892446263081469E-2</v>
      </c>
    </row>
    <row r="3649" spans="1:26" x14ac:dyDescent="0.2">
      <c r="A3649" s="45">
        <v>626</v>
      </c>
      <c r="B3649" s="45">
        <v>1997</v>
      </c>
      <c r="C3649" s="17">
        <v>0</v>
      </c>
      <c r="D3649" s="14">
        <v>7.1322399999999994E-2</v>
      </c>
      <c r="E3649" s="14">
        <v>0.42188360000000003</v>
      </c>
      <c r="F3649" s="14">
        <v>5.7741000000000001E-2</v>
      </c>
      <c r="G3649" s="14">
        <v>1.026918</v>
      </c>
      <c r="H3649" s="14">
        <v>1.0667420000000001</v>
      </c>
      <c r="R3649" s="11">
        <f t="shared" si="114"/>
        <v>5.1928401337283658E-3</v>
      </c>
      <c r="Z3649" s="11">
        <f t="shared" si="113"/>
        <v>6.7532868417592255E-3</v>
      </c>
    </row>
    <row r="3650" spans="1:26" x14ac:dyDescent="0.2">
      <c r="A3650" s="45">
        <v>626</v>
      </c>
      <c r="B3650" s="45">
        <v>1998</v>
      </c>
      <c r="C3650" s="17">
        <v>0</v>
      </c>
      <c r="D3650" s="14">
        <v>3.8820599999999997E-2</v>
      </c>
      <c r="E3650" s="14">
        <v>0.42521150000000002</v>
      </c>
      <c r="F3650" s="14">
        <v>5.2589499999999997E-2</v>
      </c>
      <c r="G3650" s="14">
        <v>1.0029490000000001</v>
      </c>
      <c r="H3650" s="14">
        <v>1.0107269999999999</v>
      </c>
      <c r="R3650" s="11">
        <f t="shared" si="114"/>
        <v>5.5925985317582935E-3</v>
      </c>
      <c r="Z3650" s="11">
        <f t="shared" ref="Z3650:Z3713" si="115">1/(1+EXP(-(U$2+$V$2*E3650+$W$2*F3650+$X$2*G3650)))</f>
        <v>7.2464887839124217E-3</v>
      </c>
    </row>
    <row r="3651" spans="1:26" x14ac:dyDescent="0.2">
      <c r="A3651" s="45">
        <v>626</v>
      </c>
      <c r="B3651" s="45">
        <v>1999</v>
      </c>
      <c r="C3651" s="17">
        <v>0</v>
      </c>
      <c r="D3651" s="14">
        <v>-2.83174E-2</v>
      </c>
      <c r="E3651" s="14">
        <v>0.30623489999999998</v>
      </c>
      <c r="F3651" s="14">
        <v>4.9108199999999998E-2</v>
      </c>
      <c r="G3651" s="14">
        <v>0.52572909999999995</v>
      </c>
      <c r="H3651" s="14">
        <v>0.87578869999999998</v>
      </c>
      <c r="R3651" s="11">
        <f t="shared" si="114"/>
        <v>1.449477023612006E-2</v>
      </c>
      <c r="Z3651" s="11">
        <f t="shared" si="115"/>
        <v>1.8797562042139383E-2</v>
      </c>
    </row>
    <row r="3652" spans="1:26" x14ac:dyDescent="0.2">
      <c r="A3652" s="45">
        <v>626</v>
      </c>
      <c r="B3652" s="45">
        <v>2000</v>
      </c>
      <c r="C3652" s="17">
        <v>0</v>
      </c>
      <c r="D3652" s="14">
        <v>-1.7588900000000001E-2</v>
      </c>
      <c r="E3652" s="14">
        <v>0.31424489999999999</v>
      </c>
      <c r="F3652" s="14">
        <v>4.6289799999999999E-2</v>
      </c>
      <c r="G3652" s="14">
        <v>0.4355926</v>
      </c>
      <c r="H3652" s="14">
        <v>0.89454460000000002</v>
      </c>
      <c r="R3652" s="11">
        <f t="shared" si="114"/>
        <v>1.6876250336159495E-2</v>
      </c>
      <c r="Z3652" s="11">
        <f t="shared" si="115"/>
        <v>2.186921330543945E-2</v>
      </c>
    </row>
    <row r="3653" spans="1:26" x14ac:dyDescent="0.2">
      <c r="A3653" s="45">
        <v>626</v>
      </c>
      <c r="B3653" s="45">
        <v>2001</v>
      </c>
      <c r="C3653" s="17">
        <v>0</v>
      </c>
      <c r="D3653" s="14">
        <v>3.9399999999999998E-4</v>
      </c>
      <c r="E3653" s="14">
        <v>0.37160149999999997</v>
      </c>
      <c r="F3653" s="14">
        <v>4.6068600000000001E-2</v>
      </c>
      <c r="G3653" s="14">
        <v>0.91368499999999997</v>
      </c>
      <c r="H3653" s="14">
        <v>0.8059887</v>
      </c>
      <c r="R3653" s="11">
        <f t="shared" si="114"/>
        <v>7.3305932119860345E-3</v>
      </c>
      <c r="Z3653" s="11">
        <f t="shared" si="115"/>
        <v>9.444618518996915E-3</v>
      </c>
    </row>
    <row r="3654" spans="1:26" x14ac:dyDescent="0.2">
      <c r="A3654" s="45">
        <v>626</v>
      </c>
      <c r="B3654" s="45">
        <v>2002</v>
      </c>
      <c r="C3654" s="17">
        <v>0</v>
      </c>
      <c r="D3654" s="14">
        <v>4.3217800000000001E-2</v>
      </c>
      <c r="E3654" s="14">
        <v>0.3794032</v>
      </c>
      <c r="F3654" s="14">
        <v>6.1462799999999998E-2</v>
      </c>
      <c r="G3654" s="14">
        <v>0.50690579999999996</v>
      </c>
      <c r="H3654" s="14">
        <v>0.81670339999999997</v>
      </c>
      <c r="R3654" s="11">
        <f t="shared" si="114"/>
        <v>1.2193507053470606E-2</v>
      </c>
      <c r="Z3654" s="11">
        <f t="shared" si="115"/>
        <v>1.6028653513176342E-2</v>
      </c>
    </row>
    <row r="3655" spans="1:26" x14ac:dyDescent="0.2">
      <c r="A3655" s="45">
        <v>626</v>
      </c>
      <c r="B3655" s="45">
        <v>2003</v>
      </c>
      <c r="C3655" s="17">
        <v>0</v>
      </c>
      <c r="D3655" s="14">
        <v>5.7882400000000001E-2</v>
      </c>
      <c r="E3655" s="14">
        <v>0.39911829999999998</v>
      </c>
      <c r="F3655" s="14">
        <v>6.3931799999999997E-2</v>
      </c>
      <c r="G3655" s="14">
        <v>0.99121230000000005</v>
      </c>
      <c r="H3655" s="14">
        <v>0.84329109999999996</v>
      </c>
      <c r="R3655" s="11">
        <f t="shared" si="114"/>
        <v>5.4062047066389778E-3</v>
      </c>
      <c r="Z3655" s="11">
        <f t="shared" si="115"/>
        <v>7.06587013865721E-3</v>
      </c>
    </row>
    <row r="3656" spans="1:26" x14ac:dyDescent="0.2">
      <c r="A3656" s="45">
        <v>626</v>
      </c>
      <c r="B3656" s="45">
        <v>2004</v>
      </c>
      <c r="C3656" s="17">
        <v>0</v>
      </c>
      <c r="D3656" s="14">
        <v>0.1105198</v>
      </c>
      <c r="E3656" s="14">
        <v>0.44781300000000002</v>
      </c>
      <c r="F3656" s="14">
        <v>6.5311999999999995E-2</v>
      </c>
      <c r="G3656" s="14">
        <v>1.163176</v>
      </c>
      <c r="H3656" s="14">
        <v>0.75942560000000003</v>
      </c>
      <c r="R3656" s="11">
        <f t="shared" si="114"/>
        <v>3.7934797352380729E-3</v>
      </c>
      <c r="Z3656" s="11">
        <f t="shared" si="115"/>
        <v>4.955653001166559E-3</v>
      </c>
    </row>
    <row r="3657" spans="1:26" x14ac:dyDescent="0.2">
      <c r="A3657" s="45">
        <v>627</v>
      </c>
      <c r="B3657" s="45">
        <v>1996</v>
      </c>
      <c r="C3657" s="17">
        <v>0</v>
      </c>
      <c r="D3657" s="14">
        <v>0.241124</v>
      </c>
      <c r="E3657" s="14">
        <v>0.160798</v>
      </c>
      <c r="F3657" s="14">
        <v>7.5188400000000002E-2</v>
      </c>
      <c r="G3657" s="14">
        <v>2.7380640000000001</v>
      </c>
      <c r="H3657" s="14">
        <v>9.9312200000000003E-2</v>
      </c>
      <c r="R3657" s="11">
        <f t="shared" si="114"/>
        <v>4.3397939728804065E-4</v>
      </c>
      <c r="Z3657" s="11">
        <f t="shared" si="115"/>
        <v>5.4723208646754356E-4</v>
      </c>
    </row>
    <row r="3658" spans="1:26" x14ac:dyDescent="0.2">
      <c r="A3658" s="45">
        <v>627</v>
      </c>
      <c r="B3658" s="45">
        <v>1997</v>
      </c>
      <c r="C3658" s="17">
        <v>0</v>
      </c>
      <c r="D3658" s="14">
        <v>2.4102100000000001E-2</v>
      </c>
      <c r="E3658" s="14">
        <v>8.7559100000000001E-2</v>
      </c>
      <c r="F3658" s="14">
        <v>6.9399500000000003E-2</v>
      </c>
      <c r="G3658" s="14">
        <v>1.9589989999999999</v>
      </c>
      <c r="H3658" s="14">
        <v>9.4811000000000006E-2</v>
      </c>
      <c r="R3658" s="11">
        <f t="shared" si="114"/>
        <v>1.7475885035337373E-3</v>
      </c>
      <c r="Z3658" s="11">
        <f t="shared" si="115"/>
        <v>2.2247587783628467E-3</v>
      </c>
    </row>
    <row r="3659" spans="1:26" x14ac:dyDescent="0.2">
      <c r="A3659" s="45">
        <v>627</v>
      </c>
      <c r="B3659" s="45">
        <v>1998</v>
      </c>
      <c r="C3659" s="17">
        <v>0</v>
      </c>
      <c r="D3659" s="14">
        <v>5.4075600000000001E-2</v>
      </c>
      <c r="E3659" s="14">
        <v>-3.7486899999999997E-2</v>
      </c>
      <c r="F3659" s="14">
        <v>5.6572299999999999E-2</v>
      </c>
      <c r="G3659" s="14">
        <v>0.434888</v>
      </c>
      <c r="H3659" s="14">
        <v>9.6695299999999998E-2</v>
      </c>
      <c r="R3659" s="11">
        <f t="shared" si="114"/>
        <v>2.5717493798168081E-2</v>
      </c>
      <c r="Z3659" s="11">
        <f t="shared" si="115"/>
        <v>3.3121901062616324E-2</v>
      </c>
    </row>
    <row r="3660" spans="1:26" x14ac:dyDescent="0.2">
      <c r="A3660" s="45">
        <v>627</v>
      </c>
      <c r="B3660" s="45">
        <v>1999</v>
      </c>
      <c r="C3660" s="17">
        <v>0</v>
      </c>
      <c r="D3660" s="14">
        <v>7.1010500000000004E-2</v>
      </c>
      <c r="E3660" s="14">
        <v>3.4716E-3</v>
      </c>
      <c r="F3660" s="14">
        <v>6.2749799999999994E-2</v>
      </c>
      <c r="G3660" s="14">
        <v>0.90971440000000003</v>
      </c>
      <c r="H3660" s="14">
        <v>9.3597899999999998E-2</v>
      </c>
      <c r="R3660" s="11">
        <f t="shared" si="114"/>
        <v>1.0984996090509257E-2</v>
      </c>
      <c r="Z3660" s="11">
        <f t="shared" si="115"/>
        <v>1.4153821134766292E-2</v>
      </c>
    </row>
    <row r="3661" spans="1:26" x14ac:dyDescent="0.2">
      <c r="A3661" s="45">
        <v>627</v>
      </c>
      <c r="B3661" s="45">
        <v>2000</v>
      </c>
      <c r="C3661" s="17">
        <v>0</v>
      </c>
      <c r="D3661" s="14">
        <v>-1.9810899999999999E-2</v>
      </c>
      <c r="E3661" s="14">
        <v>0.1267421</v>
      </c>
      <c r="F3661" s="14">
        <v>9.3412200000000001E-2</v>
      </c>
      <c r="G3661" s="14">
        <v>3.3881429999999999</v>
      </c>
      <c r="H3661" s="14">
        <v>0.13831479999999999</v>
      </c>
      <c r="R3661" s="11">
        <f t="shared" si="114"/>
        <v>1.3992041495114121E-4</v>
      </c>
      <c r="Z3661" s="11">
        <f t="shared" si="115"/>
        <v>1.7635195228750882E-4</v>
      </c>
    </row>
    <row r="3662" spans="1:26" x14ac:dyDescent="0.2">
      <c r="A3662" s="45">
        <v>627</v>
      </c>
      <c r="B3662" s="45">
        <v>2001</v>
      </c>
      <c r="C3662" s="17">
        <v>0</v>
      </c>
      <c r="D3662" s="14">
        <v>-1.6893999999999999E-2</v>
      </c>
      <c r="E3662" s="14">
        <v>5.56631E-2</v>
      </c>
      <c r="F3662" s="14">
        <v>3.8875300000000002E-2</v>
      </c>
      <c r="G3662" s="14">
        <v>1.4235930000000001</v>
      </c>
      <c r="H3662" s="14">
        <v>6.8312899999999996E-2</v>
      </c>
      <c r="R3662" s="11">
        <f t="shared" si="114"/>
        <v>5.464478703030554E-3</v>
      </c>
      <c r="Z3662" s="11">
        <f t="shared" si="115"/>
        <v>6.8513074753180575E-3</v>
      </c>
    </row>
    <row r="3663" spans="1:26" x14ac:dyDescent="0.2">
      <c r="A3663" s="45">
        <v>627</v>
      </c>
      <c r="B3663" s="45">
        <v>2002</v>
      </c>
      <c r="C3663" s="17">
        <v>0</v>
      </c>
      <c r="D3663" s="14">
        <v>1.1302E-2</v>
      </c>
      <c r="E3663" s="14">
        <v>7.4583800000000006E-2</v>
      </c>
      <c r="F3663" s="14">
        <v>4.3577299999999999E-2</v>
      </c>
      <c r="G3663" s="14">
        <v>0.6787512</v>
      </c>
      <c r="H3663" s="14">
        <v>6.9777800000000001E-2</v>
      </c>
      <c r="R3663" s="11">
        <f t="shared" si="114"/>
        <v>1.6591172191098312E-2</v>
      </c>
      <c r="Z3663" s="11">
        <f t="shared" si="115"/>
        <v>2.1171866558185422E-2</v>
      </c>
    </row>
    <row r="3664" spans="1:26" x14ac:dyDescent="0.2">
      <c r="A3664" s="45">
        <v>627</v>
      </c>
      <c r="B3664" s="45">
        <v>2003</v>
      </c>
      <c r="C3664" s="17">
        <v>0</v>
      </c>
      <c r="D3664" s="14">
        <v>-6.9779000000000004E-3</v>
      </c>
      <c r="E3664" s="14">
        <v>0.1039529</v>
      </c>
      <c r="F3664" s="14">
        <v>4.9554300000000003E-2</v>
      </c>
      <c r="G3664" s="14">
        <v>1.0249299999999999</v>
      </c>
      <c r="H3664" s="14">
        <v>7.5859499999999996E-2</v>
      </c>
      <c r="R3664" s="11">
        <f t="shared" si="114"/>
        <v>8.7985020075057856E-3</v>
      </c>
      <c r="Z3664" s="11">
        <f t="shared" si="115"/>
        <v>1.1233227878391722E-2</v>
      </c>
    </row>
    <row r="3665" spans="1:26" x14ac:dyDescent="0.2">
      <c r="A3665" s="45">
        <v>627</v>
      </c>
      <c r="B3665" s="45">
        <v>2004</v>
      </c>
      <c r="C3665" s="17">
        <v>0</v>
      </c>
      <c r="D3665" s="14">
        <v>2.0575800000000002E-2</v>
      </c>
      <c r="E3665" s="14">
        <v>0.174789</v>
      </c>
      <c r="F3665" s="14">
        <v>8.5997000000000004E-2</v>
      </c>
      <c r="G3665" s="14">
        <v>1.6007530000000001</v>
      </c>
      <c r="H3665" s="14">
        <v>0.13994219999999999</v>
      </c>
      <c r="R3665" s="11">
        <f t="shared" si="114"/>
        <v>2.3842845749811187E-3</v>
      </c>
      <c r="Z3665" s="11">
        <f t="shared" si="115"/>
        <v>3.1097592969286372E-3</v>
      </c>
    </row>
    <row r="3666" spans="1:26" x14ac:dyDescent="0.2">
      <c r="A3666" s="45">
        <v>628</v>
      </c>
      <c r="B3666" s="45">
        <v>1995</v>
      </c>
      <c r="C3666" s="17">
        <v>0</v>
      </c>
      <c r="D3666" s="14">
        <v>0.31222879999999997</v>
      </c>
      <c r="E3666" s="14">
        <v>0.4691207</v>
      </c>
      <c r="F3666" s="14">
        <v>6.73406E-2</v>
      </c>
      <c r="G3666" s="14">
        <v>3.2261350000000002</v>
      </c>
      <c r="H3666" s="14">
        <v>1.053749</v>
      </c>
      <c r="R3666" s="11">
        <f t="shared" si="114"/>
        <v>1.3563613422113858E-4</v>
      </c>
      <c r="Z3666" s="11">
        <f t="shared" si="115"/>
        <v>1.6991836845921076E-4</v>
      </c>
    </row>
    <row r="3667" spans="1:26" x14ac:dyDescent="0.2">
      <c r="A3667" s="45">
        <v>628</v>
      </c>
      <c r="B3667" s="45">
        <v>1996</v>
      </c>
      <c r="C3667" s="17">
        <v>0</v>
      </c>
      <c r="D3667" s="14">
        <v>0.29758879999999999</v>
      </c>
      <c r="E3667" s="14">
        <v>0.4978514</v>
      </c>
      <c r="F3667" s="14">
        <v>6.9784499999999999E-2</v>
      </c>
      <c r="G3667" s="14">
        <v>3.3641640000000002</v>
      </c>
      <c r="H3667" s="14">
        <v>1.0937220000000001</v>
      </c>
      <c r="R3667" s="11">
        <f t="shared" si="114"/>
        <v>1.0238322959933859E-4</v>
      </c>
      <c r="Z3667" s="11">
        <f t="shared" si="115"/>
        <v>1.2825521173884399E-4</v>
      </c>
    </row>
    <row r="3668" spans="1:26" x14ac:dyDescent="0.2">
      <c r="A3668" s="45">
        <v>628</v>
      </c>
      <c r="B3668" s="45">
        <v>1997</v>
      </c>
      <c r="C3668" s="17">
        <v>0</v>
      </c>
      <c r="D3668" s="14">
        <v>0.2803911</v>
      </c>
      <c r="E3668" s="14">
        <v>0.54174920000000004</v>
      </c>
      <c r="F3668" s="14">
        <v>6.6996600000000003E-2</v>
      </c>
      <c r="G3668" s="14">
        <v>3.120924</v>
      </c>
      <c r="H3668" s="14">
        <v>1.113583</v>
      </c>
      <c r="R3668" s="11">
        <f t="shared" si="114"/>
        <v>1.4471679760676452E-4</v>
      </c>
      <c r="Z3668" s="11">
        <f t="shared" si="115"/>
        <v>1.8211571065817971E-4</v>
      </c>
    </row>
    <row r="3669" spans="1:26" x14ac:dyDescent="0.2">
      <c r="A3669" s="45">
        <v>628</v>
      </c>
      <c r="B3669" s="45">
        <v>1998</v>
      </c>
      <c r="C3669" s="17">
        <v>0</v>
      </c>
      <c r="D3669" s="14">
        <v>0.25517980000000001</v>
      </c>
      <c r="E3669" s="14">
        <v>0.51290769999999997</v>
      </c>
      <c r="F3669" s="14">
        <v>6.46066E-2</v>
      </c>
      <c r="G3669" s="14">
        <v>3.594986</v>
      </c>
      <c r="H3669" s="14">
        <v>1.0889359999999999</v>
      </c>
      <c r="R3669" s="11">
        <f t="shared" si="114"/>
        <v>7.2272420386959471E-5</v>
      </c>
      <c r="Z3669" s="11">
        <f t="shared" si="115"/>
        <v>8.9742005338102961E-5</v>
      </c>
    </row>
    <row r="3670" spans="1:26" x14ac:dyDescent="0.2">
      <c r="A3670" s="45">
        <v>628</v>
      </c>
      <c r="B3670" s="45">
        <v>1999</v>
      </c>
      <c r="C3670" s="17">
        <v>0</v>
      </c>
      <c r="D3670" s="14">
        <v>0.27308650000000001</v>
      </c>
      <c r="E3670" s="14">
        <v>0.53574580000000005</v>
      </c>
      <c r="F3670" s="14">
        <v>8.3574800000000005E-2</v>
      </c>
      <c r="G3670" s="14">
        <v>3.7259679999999999</v>
      </c>
      <c r="H3670" s="14">
        <v>1.211681</v>
      </c>
      <c r="R3670" s="11">
        <f t="shared" si="114"/>
        <v>4.8754579379261724E-5</v>
      </c>
      <c r="Z3670" s="11">
        <f t="shared" si="115"/>
        <v>6.1359313081517098E-5</v>
      </c>
    </row>
    <row r="3671" spans="1:26" x14ac:dyDescent="0.2">
      <c r="A3671" s="45">
        <v>628</v>
      </c>
      <c r="B3671" s="45">
        <v>2000</v>
      </c>
      <c r="C3671" s="17">
        <v>0</v>
      </c>
      <c r="D3671" s="14">
        <v>0.22527929999999999</v>
      </c>
      <c r="E3671" s="14">
        <v>0.52021200000000001</v>
      </c>
      <c r="F3671" s="14">
        <v>6.8674899999999997E-2</v>
      </c>
      <c r="G3671" s="14">
        <v>4.6227390000000002</v>
      </c>
      <c r="H3671" s="14">
        <v>1.13195</v>
      </c>
      <c r="R3671" s="11">
        <f t="shared" ref="R3671:R3734" si="116">1/(1+EXP(-(K$2+$M$2*E3671+$N$2*F3671+$O$2*G3671)))</f>
        <v>1.3457236717844448E-5</v>
      </c>
      <c r="Z3671" s="11">
        <f t="shared" si="115"/>
        <v>1.639506805140334E-5</v>
      </c>
    </row>
    <row r="3672" spans="1:26" x14ac:dyDescent="0.2">
      <c r="A3672" s="45">
        <v>628</v>
      </c>
      <c r="B3672" s="45">
        <v>2001</v>
      </c>
      <c r="C3672" s="17">
        <v>0</v>
      </c>
      <c r="D3672" s="14">
        <v>0.18068909999999999</v>
      </c>
      <c r="E3672" s="14">
        <v>0.47508980000000001</v>
      </c>
      <c r="F3672" s="14">
        <v>9.3819E-2</v>
      </c>
      <c r="G3672" s="14">
        <v>5.5351020000000002</v>
      </c>
      <c r="H3672" s="14">
        <v>1.09491</v>
      </c>
      <c r="R3672" s="11">
        <f t="shared" si="116"/>
        <v>2.7457953672508749E-6</v>
      </c>
      <c r="Z3672" s="11">
        <f t="shared" si="115"/>
        <v>3.3417987459902589E-6</v>
      </c>
    </row>
    <row r="3673" spans="1:26" x14ac:dyDescent="0.2">
      <c r="A3673" s="45">
        <v>628</v>
      </c>
      <c r="B3673" s="45">
        <v>2002</v>
      </c>
      <c r="C3673" s="17">
        <v>0</v>
      </c>
      <c r="D3673" s="14">
        <v>0.19293479999999999</v>
      </c>
      <c r="E3673" s="14">
        <v>0.49561939999999999</v>
      </c>
      <c r="F3673" s="14">
        <v>7.3752200000000004E-2</v>
      </c>
      <c r="G3673" s="14">
        <v>4.7019169999999999</v>
      </c>
      <c r="H3673" s="14">
        <v>1.0957079999999999</v>
      </c>
      <c r="R3673" s="11">
        <f t="shared" si="116"/>
        <v>1.1804556266278717E-5</v>
      </c>
      <c r="Z3673" s="11">
        <f t="shared" si="115"/>
        <v>1.4404271324174333E-5</v>
      </c>
    </row>
    <row r="3674" spans="1:26" x14ac:dyDescent="0.2">
      <c r="A3674" s="45">
        <v>628</v>
      </c>
      <c r="B3674" s="45">
        <v>2003</v>
      </c>
      <c r="C3674" s="17">
        <v>0</v>
      </c>
      <c r="D3674" s="14">
        <v>0.15794340000000001</v>
      </c>
      <c r="E3674" s="14">
        <v>0.49028080000000002</v>
      </c>
      <c r="F3674" s="14">
        <v>9.6851699999999999E-2</v>
      </c>
      <c r="G3674" s="14">
        <v>4.1621579999999998</v>
      </c>
      <c r="H3674" s="14">
        <v>1.0404340000000001</v>
      </c>
      <c r="R3674" s="11">
        <f t="shared" si="116"/>
        <v>2.3373876000671193E-5</v>
      </c>
      <c r="Z3674" s="11">
        <f t="shared" si="115"/>
        <v>2.9408760308773663E-5</v>
      </c>
    </row>
    <row r="3675" spans="1:26" x14ac:dyDescent="0.2">
      <c r="A3675" s="45">
        <v>628</v>
      </c>
      <c r="B3675" s="45">
        <v>2004</v>
      </c>
      <c r="C3675" s="17">
        <v>0</v>
      </c>
      <c r="D3675" s="14">
        <v>0.1163602</v>
      </c>
      <c r="E3675" s="14">
        <v>0.55142930000000001</v>
      </c>
      <c r="F3675" s="14">
        <v>0.1007907</v>
      </c>
      <c r="G3675" s="14">
        <v>4.375051</v>
      </c>
      <c r="H3675" s="14">
        <v>1.061733</v>
      </c>
      <c r="R3675" s="11">
        <f t="shared" si="116"/>
        <v>1.4760328472622057E-5</v>
      </c>
      <c r="Z3675" s="11">
        <f t="shared" si="115"/>
        <v>1.8583153571132361E-5</v>
      </c>
    </row>
    <row r="3676" spans="1:26" x14ac:dyDescent="0.2">
      <c r="A3676" s="45">
        <v>629</v>
      </c>
      <c r="B3676" s="45">
        <v>1995</v>
      </c>
      <c r="C3676" s="17">
        <v>0</v>
      </c>
      <c r="D3676" s="14">
        <v>0.45088270000000003</v>
      </c>
      <c r="E3676" s="14">
        <v>0.23848829999999999</v>
      </c>
      <c r="F3676" s="14">
        <v>4.77536E-2</v>
      </c>
      <c r="G3676" s="14">
        <v>5.8184769999999997</v>
      </c>
      <c r="H3676" s="14">
        <v>0.35592430000000003</v>
      </c>
      <c r="R3676" s="11">
        <f t="shared" si="116"/>
        <v>3.5643743779120794E-6</v>
      </c>
      <c r="Z3676" s="11">
        <f t="shared" si="115"/>
        <v>4.1177922573349015E-6</v>
      </c>
    </row>
    <row r="3677" spans="1:26" x14ac:dyDescent="0.2">
      <c r="A3677" s="45">
        <v>629</v>
      </c>
      <c r="B3677" s="45">
        <v>1996</v>
      </c>
      <c r="C3677" s="17">
        <v>0</v>
      </c>
      <c r="D3677" s="14">
        <v>0.44299290000000002</v>
      </c>
      <c r="E3677" s="14">
        <v>0.26654329999999998</v>
      </c>
      <c r="F3677" s="14">
        <v>7.7143400000000001E-2</v>
      </c>
      <c r="G3677" s="14">
        <v>2.6339809999999999</v>
      </c>
      <c r="H3677" s="14">
        <v>0.38717590000000002</v>
      </c>
      <c r="R3677" s="11">
        <f t="shared" si="116"/>
        <v>4.3245170031423855E-4</v>
      </c>
      <c r="Z3677" s="11">
        <f t="shared" si="115"/>
        <v>5.4941934249244033E-4</v>
      </c>
    </row>
    <row r="3678" spans="1:26" x14ac:dyDescent="0.2">
      <c r="A3678" s="45">
        <v>630</v>
      </c>
      <c r="B3678" s="45">
        <v>1995</v>
      </c>
      <c r="C3678" s="17">
        <v>0</v>
      </c>
      <c r="D3678" s="14">
        <v>-5.0547099999999998E-2</v>
      </c>
      <c r="E3678" s="14">
        <v>0.2635458</v>
      </c>
      <c r="F3678" s="14">
        <v>6.1919599999999998E-2</v>
      </c>
      <c r="G3678" s="14">
        <v>1.3646860000000001</v>
      </c>
      <c r="H3678" s="14">
        <v>0.1232781</v>
      </c>
      <c r="R3678" s="11">
        <f t="shared" si="116"/>
        <v>3.6962562276628835E-3</v>
      </c>
      <c r="Z3678" s="11">
        <f t="shared" si="115"/>
        <v>4.7641838801610464E-3</v>
      </c>
    </row>
    <row r="3679" spans="1:26" x14ac:dyDescent="0.2">
      <c r="A3679" s="45">
        <v>630</v>
      </c>
      <c r="B3679" s="45">
        <v>1996</v>
      </c>
      <c r="C3679" s="17">
        <v>0</v>
      </c>
      <c r="D3679" s="14">
        <v>-4.9220899999999998E-2</v>
      </c>
      <c r="E3679" s="14">
        <v>0.26455770000000001</v>
      </c>
      <c r="F3679" s="14">
        <v>6.0198099999999997E-2</v>
      </c>
      <c r="G3679" s="14">
        <v>1.2790090000000001</v>
      </c>
      <c r="H3679" s="14">
        <v>0.1309736</v>
      </c>
      <c r="R3679" s="11">
        <f t="shared" si="116"/>
        <v>4.2868873381660989E-3</v>
      </c>
      <c r="Z3679" s="11">
        <f t="shared" si="115"/>
        <v>5.5273190008878837E-3</v>
      </c>
    </row>
    <row r="3680" spans="1:26" x14ac:dyDescent="0.2">
      <c r="A3680" s="45">
        <v>630</v>
      </c>
      <c r="B3680" s="45">
        <v>1997</v>
      </c>
      <c r="C3680" s="17">
        <v>0</v>
      </c>
      <c r="D3680" s="14">
        <v>-6.0512799999999999E-2</v>
      </c>
      <c r="E3680" s="14">
        <v>0.29259030000000003</v>
      </c>
      <c r="F3680" s="14">
        <v>5.35548E-2</v>
      </c>
      <c r="G3680" s="14">
        <v>1.4933419999999999</v>
      </c>
      <c r="H3680" s="14">
        <v>0.15900400000000001</v>
      </c>
      <c r="R3680" s="11">
        <f t="shared" si="116"/>
        <v>3.0881876222852477E-3</v>
      </c>
      <c r="Z3680" s="11">
        <f t="shared" si="115"/>
        <v>3.9468063108843102E-3</v>
      </c>
    </row>
    <row r="3681" spans="1:26" x14ac:dyDescent="0.2">
      <c r="A3681" s="45">
        <v>630</v>
      </c>
      <c r="B3681" s="45">
        <v>1998</v>
      </c>
      <c r="C3681" s="17">
        <v>0</v>
      </c>
      <c r="D3681" s="14">
        <v>-2.1177000000000001E-2</v>
      </c>
      <c r="E3681" s="14">
        <v>0.27046589999999998</v>
      </c>
      <c r="F3681" s="14">
        <v>3.8010500000000003E-2</v>
      </c>
      <c r="G3681" s="14">
        <v>1.411516</v>
      </c>
      <c r="H3681" s="14">
        <v>0.1334506</v>
      </c>
      <c r="R3681" s="11">
        <f t="shared" si="116"/>
        <v>4.110173598843094E-3</v>
      </c>
      <c r="Z3681" s="11">
        <f t="shared" si="115"/>
        <v>5.190684737691899E-3</v>
      </c>
    </row>
    <row r="3682" spans="1:26" x14ac:dyDescent="0.2">
      <c r="A3682" s="45">
        <v>630</v>
      </c>
      <c r="B3682" s="45">
        <v>1999</v>
      </c>
      <c r="C3682" s="17">
        <v>0</v>
      </c>
      <c r="D3682" s="14">
        <v>-0.14350499999999999</v>
      </c>
      <c r="E3682" s="14">
        <v>0.26438450000000002</v>
      </c>
      <c r="F3682" s="14">
        <v>4.8529900000000001E-2</v>
      </c>
      <c r="G3682" s="14">
        <v>0.74967600000000001</v>
      </c>
      <c r="H3682" s="14">
        <v>0.13535849999999999</v>
      </c>
      <c r="R3682" s="11">
        <f t="shared" si="116"/>
        <v>1.0870529695589394E-2</v>
      </c>
      <c r="Z3682" s="11">
        <f t="shared" si="115"/>
        <v>1.401801205377756E-2</v>
      </c>
    </row>
    <row r="3683" spans="1:26" x14ac:dyDescent="0.2">
      <c r="A3683" s="45">
        <v>630</v>
      </c>
      <c r="B3683" s="45">
        <v>2000</v>
      </c>
      <c r="C3683" s="17">
        <v>0</v>
      </c>
      <c r="D3683" s="14">
        <v>-0.15092710000000001</v>
      </c>
      <c r="E3683" s="14">
        <v>0.24287819999999999</v>
      </c>
      <c r="F3683" s="14">
        <v>3.5946400000000003E-2</v>
      </c>
      <c r="G3683" s="14">
        <v>1.021191</v>
      </c>
      <c r="H3683" s="14">
        <v>0.13419149999999999</v>
      </c>
      <c r="R3683" s="11">
        <f t="shared" si="116"/>
        <v>8.0697702013772122E-3</v>
      </c>
      <c r="Z3683" s="11">
        <f t="shared" si="115"/>
        <v>1.0240779900552496E-2</v>
      </c>
    </row>
    <row r="3684" spans="1:26" x14ac:dyDescent="0.2">
      <c r="A3684" s="45">
        <v>630</v>
      </c>
      <c r="B3684" s="45">
        <v>2001</v>
      </c>
      <c r="C3684" s="17">
        <v>0</v>
      </c>
      <c r="D3684" s="14">
        <v>-0.14577039999999999</v>
      </c>
      <c r="E3684" s="14">
        <v>0.22283900000000001</v>
      </c>
      <c r="F3684" s="14">
        <v>4.2775199999999999E-2</v>
      </c>
      <c r="G3684" s="14">
        <v>0.80055620000000005</v>
      </c>
      <c r="H3684" s="14">
        <v>0.115908</v>
      </c>
      <c r="R3684" s="11">
        <f t="shared" si="116"/>
        <v>1.1146595354264037E-2</v>
      </c>
      <c r="Z3684" s="11">
        <f t="shared" si="115"/>
        <v>1.4270341251158336E-2</v>
      </c>
    </row>
    <row r="3685" spans="1:26" x14ac:dyDescent="0.2">
      <c r="A3685" s="45">
        <v>630</v>
      </c>
      <c r="B3685" s="45">
        <v>2002</v>
      </c>
      <c r="C3685" s="17">
        <v>0</v>
      </c>
      <c r="D3685" s="14">
        <v>5.1099600000000002E-2</v>
      </c>
      <c r="E3685" s="14">
        <v>0.1843467</v>
      </c>
      <c r="F3685" s="14">
        <v>3.37994E-2</v>
      </c>
      <c r="G3685" s="14">
        <v>0.47021079999999998</v>
      </c>
      <c r="H3685" s="14">
        <v>0.112371</v>
      </c>
      <c r="R3685" s="11">
        <f t="shared" si="116"/>
        <v>2.1223195567669263E-2</v>
      </c>
      <c r="Z3685" s="11">
        <f t="shared" si="115"/>
        <v>2.7056522081691306E-2</v>
      </c>
    </row>
    <row r="3686" spans="1:26" x14ac:dyDescent="0.2">
      <c r="A3686" s="45">
        <v>630</v>
      </c>
      <c r="B3686" s="45">
        <v>2003</v>
      </c>
      <c r="C3686" s="17">
        <v>0</v>
      </c>
      <c r="D3686" s="14">
        <v>-0.11759310000000001</v>
      </c>
      <c r="E3686" s="14">
        <v>5.7730299999999998E-2</v>
      </c>
      <c r="F3686" s="14">
        <v>3.2225400000000001E-2</v>
      </c>
      <c r="G3686" s="14">
        <v>0.31637510000000002</v>
      </c>
      <c r="H3686" s="14">
        <v>8.9597099999999999E-2</v>
      </c>
      <c r="R3686" s="11">
        <f t="shared" si="116"/>
        <v>3.2629529040002374E-2</v>
      </c>
      <c r="Z3686" s="11">
        <f t="shared" si="115"/>
        <v>4.1376103092671722E-2</v>
      </c>
    </row>
    <row r="3687" spans="1:26" x14ac:dyDescent="0.2">
      <c r="A3687" s="45">
        <v>630</v>
      </c>
      <c r="B3687" s="45">
        <v>2004</v>
      </c>
      <c r="C3687" s="17">
        <v>0</v>
      </c>
      <c r="D3687" s="14">
        <v>-0.1206009</v>
      </c>
      <c r="E3687" s="14">
        <v>-1.6187400000000001E-2</v>
      </c>
      <c r="F3687" s="14">
        <v>2.16819E-2</v>
      </c>
      <c r="G3687" s="14">
        <v>0.38757619999999998</v>
      </c>
      <c r="H3687" s="14">
        <v>8.94258E-2</v>
      </c>
      <c r="R3687" s="11">
        <f t="shared" si="116"/>
        <v>3.5195285503980406E-2</v>
      </c>
      <c r="Z3687" s="11">
        <f t="shared" si="115"/>
        <v>4.4058050531215379E-2</v>
      </c>
    </row>
    <row r="3688" spans="1:26" x14ac:dyDescent="0.2">
      <c r="A3688" s="45">
        <v>631</v>
      </c>
      <c r="B3688" s="45">
        <v>1995</v>
      </c>
      <c r="C3688" s="17">
        <v>0</v>
      </c>
      <c r="D3688" s="14">
        <v>9.3932500000000002E-2</v>
      </c>
      <c r="E3688" s="14">
        <v>0.32687579999999999</v>
      </c>
      <c r="F3688" s="14">
        <v>5.7868999999999997E-2</v>
      </c>
      <c r="G3688" s="14">
        <v>1.376017</v>
      </c>
      <c r="H3688" s="14">
        <v>0.42468070000000002</v>
      </c>
      <c r="R3688" s="11">
        <f t="shared" si="116"/>
        <v>3.4207431426296325E-3</v>
      </c>
      <c r="Z3688" s="11">
        <f t="shared" si="115"/>
        <v>4.4032837927227651E-3</v>
      </c>
    </row>
    <row r="3689" spans="1:26" x14ac:dyDescent="0.2">
      <c r="A3689" s="45">
        <v>631</v>
      </c>
      <c r="B3689" s="45">
        <v>1996</v>
      </c>
      <c r="C3689" s="17">
        <v>0</v>
      </c>
      <c r="D3689" s="14">
        <v>0.14396719999999999</v>
      </c>
      <c r="E3689" s="14">
        <v>0.37684699999999999</v>
      </c>
      <c r="F3689" s="14">
        <v>6.8886100000000006E-2</v>
      </c>
      <c r="G3689" s="14">
        <v>1.6167640000000001</v>
      </c>
      <c r="H3689" s="14">
        <v>0.43923289999999998</v>
      </c>
      <c r="R3689" s="11">
        <f t="shared" si="116"/>
        <v>1.9874578749661314E-3</v>
      </c>
      <c r="Z3689" s="11">
        <f t="shared" si="115"/>
        <v>2.573303054495572E-3</v>
      </c>
    </row>
    <row r="3690" spans="1:26" x14ac:dyDescent="0.2">
      <c r="A3690" s="45">
        <v>631</v>
      </c>
      <c r="B3690" s="45">
        <v>1997</v>
      </c>
      <c r="C3690" s="17">
        <v>0</v>
      </c>
      <c r="D3690" s="14">
        <v>-2.57317E-2</v>
      </c>
      <c r="E3690" s="14">
        <v>0.2940373</v>
      </c>
      <c r="F3690" s="14">
        <v>4.9537999999999999E-2</v>
      </c>
      <c r="G3690" s="14">
        <v>1.392784</v>
      </c>
      <c r="H3690" s="14">
        <v>0.461787</v>
      </c>
      <c r="R3690" s="11">
        <f t="shared" si="116"/>
        <v>3.7330017499370908E-3</v>
      </c>
      <c r="Z3690" s="11">
        <f t="shared" si="115"/>
        <v>4.7651620240937529E-3</v>
      </c>
    </row>
    <row r="3691" spans="1:26" x14ac:dyDescent="0.2">
      <c r="A3691" s="45">
        <v>631</v>
      </c>
      <c r="B3691" s="45">
        <v>1998</v>
      </c>
      <c r="C3691" s="17">
        <v>0</v>
      </c>
      <c r="D3691" s="14">
        <v>-1.45045E-2</v>
      </c>
      <c r="E3691" s="14">
        <v>0.30978230000000001</v>
      </c>
      <c r="F3691" s="14">
        <v>6.4573199999999997E-2</v>
      </c>
      <c r="G3691" s="14">
        <v>1.3035099999999999</v>
      </c>
      <c r="H3691" s="14">
        <v>0.431392</v>
      </c>
      <c r="R3691" s="11">
        <f t="shared" si="116"/>
        <v>3.7296765774448844E-3</v>
      </c>
      <c r="Z3691" s="11">
        <f t="shared" si="115"/>
        <v>4.8317084975623478E-3</v>
      </c>
    </row>
    <row r="3692" spans="1:26" x14ac:dyDescent="0.2">
      <c r="A3692" s="45">
        <v>631</v>
      </c>
      <c r="B3692" s="45">
        <v>1999</v>
      </c>
      <c r="C3692" s="17">
        <v>0</v>
      </c>
      <c r="D3692" s="14">
        <v>-5.9856800000000002E-2</v>
      </c>
      <c r="E3692" s="14">
        <v>0.18269969999999999</v>
      </c>
      <c r="F3692" s="14">
        <v>4.88368E-2</v>
      </c>
      <c r="G3692" s="14">
        <v>0.42774669999999998</v>
      </c>
      <c r="H3692" s="14">
        <v>0.28108450000000001</v>
      </c>
      <c r="R3692" s="11">
        <f t="shared" si="116"/>
        <v>2.0204695272863945E-2</v>
      </c>
      <c r="Z3692" s="11">
        <f t="shared" si="115"/>
        <v>2.6098995225060376E-2</v>
      </c>
    </row>
    <row r="3693" spans="1:26" x14ac:dyDescent="0.2">
      <c r="A3693" s="45">
        <v>631</v>
      </c>
      <c r="B3693" s="45">
        <v>2000</v>
      </c>
      <c r="C3693" s="17">
        <v>0</v>
      </c>
      <c r="D3693" s="14">
        <v>-7.5242500000000004E-2</v>
      </c>
      <c r="E3693" s="14">
        <v>0.1884807</v>
      </c>
      <c r="F3693" s="14">
        <v>4.76327E-2</v>
      </c>
      <c r="G3693" s="14">
        <v>0.36953770000000002</v>
      </c>
      <c r="H3693" s="14">
        <v>0.27838220000000002</v>
      </c>
      <c r="R3693" s="11">
        <f t="shared" si="116"/>
        <v>2.215168140507633E-2</v>
      </c>
      <c r="Z3693" s="11">
        <f t="shared" si="115"/>
        <v>2.8611094295692051E-2</v>
      </c>
    </row>
    <row r="3694" spans="1:26" x14ac:dyDescent="0.2">
      <c r="A3694" s="45">
        <v>631</v>
      </c>
      <c r="B3694" s="45">
        <v>2001</v>
      </c>
      <c r="C3694" s="17">
        <v>0</v>
      </c>
      <c r="D3694" s="14">
        <v>-9.1328999999999994E-2</v>
      </c>
      <c r="E3694" s="14">
        <v>0.17593239999999999</v>
      </c>
      <c r="F3694" s="14">
        <v>2.4376999999999999E-2</v>
      </c>
      <c r="G3694" s="14">
        <v>0.39960449999999997</v>
      </c>
      <c r="H3694" s="14">
        <v>0.31888739999999999</v>
      </c>
      <c r="R3694" s="11">
        <f t="shared" si="116"/>
        <v>2.5803918864692996E-2</v>
      </c>
      <c r="Z3694" s="11">
        <f t="shared" si="115"/>
        <v>3.2649469896583842E-2</v>
      </c>
    </row>
    <row r="3695" spans="1:26" x14ac:dyDescent="0.2">
      <c r="A3695" s="45">
        <v>632</v>
      </c>
      <c r="B3695" s="45">
        <v>1995</v>
      </c>
      <c r="C3695" s="17">
        <v>0</v>
      </c>
      <c r="D3695" s="14">
        <v>0.30487560000000002</v>
      </c>
      <c r="E3695" s="14">
        <v>-8.05786E-2</v>
      </c>
      <c r="F3695" s="14">
        <v>6.2530600000000006E-2</v>
      </c>
      <c r="G3695" s="14">
        <v>0.3004637</v>
      </c>
      <c r="H3695" s="14">
        <v>0.31699529999999998</v>
      </c>
      <c r="R3695" s="11">
        <f t="shared" si="116"/>
        <v>3.212971897255637E-2</v>
      </c>
      <c r="Z3695" s="11">
        <f t="shared" si="115"/>
        <v>4.1554881635005467E-2</v>
      </c>
    </row>
    <row r="3696" spans="1:26" x14ac:dyDescent="0.2">
      <c r="A3696" s="45">
        <v>632</v>
      </c>
      <c r="B3696" s="45">
        <v>1996</v>
      </c>
      <c r="C3696" s="17">
        <v>0</v>
      </c>
      <c r="D3696" s="14">
        <v>0.41958990000000002</v>
      </c>
      <c r="E3696" s="14">
        <v>-4.6381600000000002E-2</v>
      </c>
      <c r="F3696" s="14">
        <v>5.1080500000000001E-2</v>
      </c>
      <c r="G3696" s="14">
        <v>0.54750670000000001</v>
      </c>
      <c r="H3696" s="14">
        <v>0.42530590000000001</v>
      </c>
      <c r="R3696" s="11">
        <f t="shared" si="116"/>
        <v>2.2817713907051597E-2</v>
      </c>
      <c r="Z3696" s="11">
        <f t="shared" si="115"/>
        <v>2.9205141492471432E-2</v>
      </c>
    </row>
    <row r="3697" spans="1:26" x14ac:dyDescent="0.2">
      <c r="A3697" s="45">
        <v>633</v>
      </c>
      <c r="B3697" s="45">
        <v>1995</v>
      </c>
      <c r="C3697" s="17">
        <v>0</v>
      </c>
      <c r="D3697" s="14">
        <v>2.89886E-2</v>
      </c>
      <c r="E3697" s="14">
        <v>1.106948</v>
      </c>
      <c r="F3697" s="14">
        <v>0.12284689999999999</v>
      </c>
      <c r="G3697" s="14">
        <v>5.5284269999999998</v>
      </c>
      <c r="H3697" s="14">
        <v>0.40691349999999998</v>
      </c>
      <c r="R3697" s="11">
        <f t="shared" si="116"/>
        <v>8.7790150197345668E-7</v>
      </c>
      <c r="Z3697" s="11">
        <f t="shared" si="115"/>
        <v>1.1183079395062786E-6</v>
      </c>
    </row>
    <row r="3698" spans="1:26" x14ac:dyDescent="0.2">
      <c r="A3698" s="45">
        <v>633</v>
      </c>
      <c r="B3698" s="45">
        <v>1996</v>
      </c>
      <c r="C3698" s="17">
        <v>0</v>
      </c>
      <c r="D3698" s="14">
        <v>-1.8978600000000002E-2</v>
      </c>
      <c r="E3698" s="14">
        <v>1.1170929999999999</v>
      </c>
      <c r="F3698" s="14">
        <v>0.13703850000000001</v>
      </c>
      <c r="G3698" s="14">
        <v>4.8289840000000002</v>
      </c>
      <c r="H3698" s="14">
        <v>0.40242529999999999</v>
      </c>
      <c r="R3698" s="11">
        <f t="shared" si="116"/>
        <v>2.3540458121149822E-6</v>
      </c>
      <c r="Z3698" s="11">
        <f t="shared" si="115"/>
        <v>3.0819294859975848E-6</v>
      </c>
    </row>
    <row r="3699" spans="1:26" x14ac:dyDescent="0.2">
      <c r="A3699" s="45">
        <v>634</v>
      </c>
      <c r="B3699" s="45">
        <v>1995</v>
      </c>
      <c r="C3699" s="17">
        <v>0</v>
      </c>
      <c r="D3699" s="14">
        <v>0.4253325</v>
      </c>
      <c r="E3699" s="14">
        <v>0.89146720000000002</v>
      </c>
      <c r="F3699" s="14">
        <v>8.02065E-2</v>
      </c>
      <c r="G3699" s="14">
        <v>2.3111959999999998</v>
      </c>
      <c r="H3699" s="14">
        <v>0.79637069999999999</v>
      </c>
      <c r="R3699" s="11">
        <f t="shared" si="116"/>
        <v>2.8453399808125079E-4</v>
      </c>
      <c r="Z3699" s="11">
        <f t="shared" si="115"/>
        <v>3.7290054475943115E-4</v>
      </c>
    </row>
    <row r="3700" spans="1:26" x14ac:dyDescent="0.2">
      <c r="A3700" s="45">
        <v>634</v>
      </c>
      <c r="B3700" s="45">
        <v>1996</v>
      </c>
      <c r="C3700" s="17">
        <v>0</v>
      </c>
      <c r="D3700" s="14">
        <v>0.32877269999999997</v>
      </c>
      <c r="E3700" s="14">
        <v>0.87023450000000002</v>
      </c>
      <c r="F3700" s="14">
        <v>2.76882E-2</v>
      </c>
      <c r="G3700" s="14">
        <v>1.942375</v>
      </c>
      <c r="H3700" s="14">
        <v>0.82165160000000004</v>
      </c>
      <c r="R3700" s="11">
        <f t="shared" si="116"/>
        <v>8.0356191357499208E-4</v>
      </c>
      <c r="Z3700" s="11">
        <f t="shared" si="115"/>
        <v>1.0161069227377006E-3</v>
      </c>
    </row>
    <row r="3701" spans="1:26" x14ac:dyDescent="0.2">
      <c r="A3701" s="45">
        <v>634</v>
      </c>
      <c r="B3701" s="45">
        <v>1997</v>
      </c>
      <c r="C3701" s="17">
        <v>0</v>
      </c>
      <c r="D3701" s="14">
        <v>0.35494700000000001</v>
      </c>
      <c r="E3701" s="14">
        <v>0.75133749999999999</v>
      </c>
      <c r="F3701" s="14">
        <v>0.105489</v>
      </c>
      <c r="G3701" s="14">
        <v>3.1572770000000001</v>
      </c>
      <c r="H3701" s="14">
        <v>0.7661036</v>
      </c>
      <c r="R3701" s="11">
        <f t="shared" si="116"/>
        <v>7.4015074223505097E-5</v>
      </c>
      <c r="Z3701" s="11">
        <f t="shared" si="115"/>
        <v>9.6745375318463208E-5</v>
      </c>
    </row>
    <row r="3702" spans="1:26" x14ac:dyDescent="0.2">
      <c r="A3702" s="45">
        <v>634</v>
      </c>
      <c r="B3702" s="45">
        <v>1998</v>
      </c>
      <c r="C3702" s="17">
        <v>0</v>
      </c>
      <c r="D3702" s="14">
        <v>0.243897</v>
      </c>
      <c r="E3702" s="14">
        <v>0.85761259999999995</v>
      </c>
      <c r="F3702" s="14">
        <v>7.2894799999999996E-2</v>
      </c>
      <c r="G3702" s="14">
        <v>3.6037949999999999</v>
      </c>
      <c r="H3702" s="14">
        <v>0.64025969999999999</v>
      </c>
      <c r="R3702" s="11">
        <f t="shared" si="116"/>
        <v>4.0404075019767811E-5</v>
      </c>
      <c r="Z3702" s="11">
        <f t="shared" si="115"/>
        <v>5.1103286528811408E-5</v>
      </c>
    </row>
    <row r="3703" spans="1:26" x14ac:dyDescent="0.2">
      <c r="A3703" s="45">
        <v>634</v>
      </c>
      <c r="B3703" s="45">
        <v>1999</v>
      </c>
      <c r="C3703" s="17">
        <v>0</v>
      </c>
      <c r="D3703" s="14">
        <v>0.22879569999999999</v>
      </c>
      <c r="E3703" s="14">
        <v>0.66534079999999995</v>
      </c>
      <c r="F3703" s="14">
        <v>0.13535459999999999</v>
      </c>
      <c r="G3703" s="14">
        <v>7.3879970000000004</v>
      </c>
      <c r="H3703" s="14">
        <v>0.68042230000000004</v>
      </c>
      <c r="R3703" s="11">
        <f t="shared" si="116"/>
        <v>7.7959648887241308E-8</v>
      </c>
      <c r="Z3703" s="11">
        <f t="shared" si="115"/>
        <v>9.4859320580240702E-8</v>
      </c>
    </row>
    <row r="3704" spans="1:26" x14ac:dyDescent="0.2">
      <c r="A3704" s="45">
        <v>634</v>
      </c>
      <c r="B3704" s="45">
        <v>2000</v>
      </c>
      <c r="C3704" s="17">
        <v>0</v>
      </c>
      <c r="D3704" s="14">
        <v>0.27145079999999999</v>
      </c>
      <c r="E3704" s="14">
        <v>0.67217729999999998</v>
      </c>
      <c r="F3704" s="14">
        <v>0.13172729999999999</v>
      </c>
      <c r="G3704" s="14">
        <v>4.7293120000000002</v>
      </c>
      <c r="H3704" s="14">
        <v>0.64528969999999997</v>
      </c>
      <c r="R3704" s="11">
        <f t="shared" si="116"/>
        <v>5.4979223610261255E-6</v>
      </c>
      <c r="Z3704" s="11">
        <f t="shared" si="115"/>
        <v>7.0736815874517396E-6</v>
      </c>
    </row>
    <row r="3705" spans="1:26" x14ac:dyDescent="0.2">
      <c r="A3705" s="45">
        <v>634</v>
      </c>
      <c r="B3705" s="45">
        <v>2001</v>
      </c>
      <c r="C3705" s="17">
        <v>0</v>
      </c>
      <c r="D3705" s="14">
        <v>0.42604069999999999</v>
      </c>
      <c r="E3705" s="14">
        <v>0.82185920000000001</v>
      </c>
      <c r="F3705" s="14">
        <v>0.1070609</v>
      </c>
      <c r="G3705" s="14">
        <v>3.7084570000000001</v>
      </c>
      <c r="H3705" s="14">
        <v>0.69878910000000005</v>
      </c>
      <c r="R3705" s="11">
        <f t="shared" si="116"/>
        <v>2.7408259276767718E-5</v>
      </c>
      <c r="Z3705" s="11">
        <f t="shared" si="115"/>
        <v>3.5525145341495034E-5</v>
      </c>
    </row>
    <row r="3706" spans="1:26" x14ac:dyDescent="0.2">
      <c r="A3706" s="45">
        <v>634</v>
      </c>
      <c r="B3706" s="45">
        <v>2002</v>
      </c>
      <c r="C3706" s="17">
        <v>0</v>
      </c>
      <c r="D3706" s="14">
        <v>0.40677760000000002</v>
      </c>
      <c r="E3706" s="14">
        <v>0.93276130000000002</v>
      </c>
      <c r="F3706" s="14">
        <v>0.1132344</v>
      </c>
      <c r="G3706" s="14">
        <v>2.1306820000000002</v>
      </c>
      <c r="H3706" s="14">
        <v>0.6934631</v>
      </c>
      <c r="R3706" s="11">
        <f t="shared" si="116"/>
        <v>2.7431975603797173E-4</v>
      </c>
      <c r="Z3706" s="11">
        <f t="shared" si="115"/>
        <v>3.7137347175416897E-4</v>
      </c>
    </row>
    <row r="3707" spans="1:26" x14ac:dyDescent="0.2">
      <c r="A3707" s="45">
        <v>634</v>
      </c>
      <c r="B3707" s="45">
        <v>2003</v>
      </c>
      <c r="C3707" s="17">
        <v>0</v>
      </c>
      <c r="D3707" s="14">
        <v>0.39327000000000001</v>
      </c>
      <c r="E3707" s="14">
        <v>0.57551010000000002</v>
      </c>
      <c r="F3707" s="14">
        <v>0.1151529</v>
      </c>
      <c r="G3707" s="14">
        <v>3.4351150000000001</v>
      </c>
      <c r="H3707" s="14">
        <v>0.67950429999999995</v>
      </c>
      <c r="R3707" s="11">
        <f t="shared" si="116"/>
        <v>5.6819496012565005E-5</v>
      </c>
      <c r="Z3707" s="11">
        <f t="shared" si="115"/>
        <v>7.3956366025289879E-5</v>
      </c>
    </row>
    <row r="3708" spans="1:26" x14ac:dyDescent="0.2">
      <c r="A3708" s="45">
        <v>634</v>
      </c>
      <c r="B3708" s="45">
        <v>2004</v>
      </c>
      <c r="C3708" s="17">
        <v>0</v>
      </c>
      <c r="D3708" s="14">
        <v>0.35181420000000002</v>
      </c>
      <c r="E3708" s="14">
        <v>0.63799890000000004</v>
      </c>
      <c r="F3708" s="14">
        <v>0.1059705</v>
      </c>
      <c r="G3708" s="14">
        <v>3.3085909999999998</v>
      </c>
      <c r="H3708" s="14">
        <v>0.66465289999999999</v>
      </c>
      <c r="R3708" s="11">
        <f t="shared" si="116"/>
        <v>6.8312070944743467E-5</v>
      </c>
      <c r="Z3708" s="11">
        <f t="shared" si="115"/>
        <v>8.8684073798528899E-5</v>
      </c>
    </row>
    <row r="3709" spans="1:26" x14ac:dyDescent="0.2">
      <c r="A3709" s="45">
        <v>635</v>
      </c>
      <c r="B3709" s="45">
        <v>1995</v>
      </c>
      <c r="C3709" s="17">
        <v>0</v>
      </c>
      <c r="D3709" s="14">
        <v>0.30556450000000002</v>
      </c>
      <c r="E3709" s="14">
        <v>0.37382070000000001</v>
      </c>
      <c r="F3709" s="14">
        <v>6.7276600000000006E-2</v>
      </c>
      <c r="G3709" s="14">
        <v>1.9325589999999999</v>
      </c>
      <c r="H3709" s="14">
        <v>0.41654649999999999</v>
      </c>
      <c r="R3709" s="11">
        <f t="shared" si="116"/>
        <v>1.2234164917423187E-3</v>
      </c>
      <c r="Z3709" s="11">
        <f t="shared" si="115"/>
        <v>1.5712051501568407E-3</v>
      </c>
    </row>
    <row r="3710" spans="1:26" x14ac:dyDescent="0.2">
      <c r="A3710" s="45">
        <v>635</v>
      </c>
      <c r="B3710" s="45">
        <v>1996</v>
      </c>
      <c r="C3710" s="17">
        <v>0</v>
      </c>
      <c r="D3710" s="14">
        <v>0.3614716</v>
      </c>
      <c r="E3710" s="14">
        <v>0.43220029999999998</v>
      </c>
      <c r="F3710" s="14">
        <v>5.63957E-2</v>
      </c>
      <c r="G3710" s="14">
        <v>3.5364059999999999</v>
      </c>
      <c r="H3710" s="14">
        <v>0.43274069999999998</v>
      </c>
      <c r="R3710" s="11">
        <f t="shared" si="116"/>
        <v>9.5278295962868909E-5</v>
      </c>
      <c r="Z3710" s="11">
        <f t="shared" si="115"/>
        <v>1.1734132466016137E-4</v>
      </c>
    </row>
    <row r="3711" spans="1:26" x14ac:dyDescent="0.2">
      <c r="A3711" s="45">
        <v>635</v>
      </c>
      <c r="B3711" s="45">
        <v>1997</v>
      </c>
      <c r="C3711" s="17">
        <v>0</v>
      </c>
      <c r="D3711" s="14">
        <v>0.32042559999999998</v>
      </c>
      <c r="E3711" s="14">
        <v>0.44205030000000001</v>
      </c>
      <c r="F3711" s="14">
        <v>8.2234199999999993E-2</v>
      </c>
      <c r="G3711" s="14">
        <v>3.2951990000000002</v>
      </c>
      <c r="H3711" s="14">
        <v>0.44218390000000002</v>
      </c>
      <c r="R3711" s="11">
        <f t="shared" si="116"/>
        <v>1.1218680756866575E-4</v>
      </c>
      <c r="Z3711" s="11">
        <f t="shared" si="115"/>
        <v>1.4192117337569085E-4</v>
      </c>
    </row>
    <row r="3712" spans="1:26" x14ac:dyDescent="0.2">
      <c r="A3712" s="45">
        <v>635</v>
      </c>
      <c r="B3712" s="45">
        <v>1998</v>
      </c>
      <c r="C3712" s="17">
        <v>0</v>
      </c>
      <c r="D3712" s="14">
        <v>0.2086963</v>
      </c>
      <c r="E3712" s="14">
        <v>0.37836059999999999</v>
      </c>
      <c r="F3712" s="14">
        <v>3.3303600000000003E-2</v>
      </c>
      <c r="G3712" s="14">
        <v>1.4985679999999999</v>
      </c>
      <c r="H3712" s="14">
        <v>0.29147849999999997</v>
      </c>
      <c r="R3712" s="11">
        <f t="shared" si="116"/>
        <v>3.178611047749779E-3</v>
      </c>
      <c r="Z3712" s="11">
        <f t="shared" si="115"/>
        <v>4.0069162801093907E-3</v>
      </c>
    </row>
    <row r="3713" spans="1:26" x14ac:dyDescent="0.2">
      <c r="A3713" s="45">
        <v>635</v>
      </c>
      <c r="B3713" s="45">
        <v>1999</v>
      </c>
      <c r="C3713" s="17">
        <v>0</v>
      </c>
      <c r="D3713" s="14">
        <v>0.53062240000000005</v>
      </c>
      <c r="E3713" s="14">
        <v>0.53410299999999999</v>
      </c>
      <c r="F3713" s="14">
        <v>6.7467700000000005E-2</v>
      </c>
      <c r="G3713" s="14">
        <v>4.653905</v>
      </c>
      <c r="H3713" s="14">
        <v>0.23604330000000001</v>
      </c>
      <c r="R3713" s="11">
        <f t="shared" si="116"/>
        <v>1.2670931354077125E-5</v>
      </c>
      <c r="Z3713" s="11">
        <f t="shared" si="115"/>
        <v>1.5418599175989159E-5</v>
      </c>
    </row>
    <row r="3714" spans="1:26" x14ac:dyDescent="0.2">
      <c r="A3714" s="45">
        <v>635</v>
      </c>
      <c r="B3714" s="45">
        <v>2000</v>
      </c>
      <c r="C3714" s="17">
        <v>0</v>
      </c>
      <c r="D3714" s="14">
        <v>0.4394208</v>
      </c>
      <c r="E3714" s="14">
        <v>0.55543629999999999</v>
      </c>
      <c r="F3714" s="14">
        <v>6.03391E-2</v>
      </c>
      <c r="G3714" s="14">
        <v>4.5538230000000004</v>
      </c>
      <c r="H3714" s="14">
        <v>0.2277479</v>
      </c>
      <c r="R3714" s="11">
        <f t="shared" si="116"/>
        <v>1.5253378967071385E-5</v>
      </c>
      <c r="Z3714" s="11">
        <f t="shared" ref="Z3714:Z3777" si="117">1/(1+EXP(-(U$2+$V$2*E3714+$W$2*F3714+$X$2*G3714)))</f>
        <v>1.8507136658271217E-5</v>
      </c>
    </row>
    <row r="3715" spans="1:26" x14ac:dyDescent="0.2">
      <c r="A3715" s="45">
        <v>635</v>
      </c>
      <c r="B3715" s="45">
        <v>2002</v>
      </c>
      <c r="C3715" s="17">
        <v>0</v>
      </c>
      <c r="D3715" s="14">
        <v>0.28755710000000001</v>
      </c>
      <c r="E3715" s="14">
        <v>0.42576019999999998</v>
      </c>
      <c r="F3715" s="14">
        <v>4.2625499999999997E-2</v>
      </c>
      <c r="G3715" s="14">
        <v>2.9534720000000001</v>
      </c>
      <c r="H3715" s="14">
        <v>0.19560669999999999</v>
      </c>
      <c r="R3715" s="11">
        <f t="shared" si="116"/>
        <v>2.7180867326237002E-4</v>
      </c>
      <c r="Z3715" s="11">
        <f t="shared" si="117"/>
        <v>3.3518105714751696E-4</v>
      </c>
    </row>
    <row r="3716" spans="1:26" x14ac:dyDescent="0.2">
      <c r="A3716" s="45">
        <v>636</v>
      </c>
      <c r="B3716" s="45">
        <v>1995</v>
      </c>
      <c r="C3716" s="17">
        <v>0</v>
      </c>
      <c r="D3716" s="14">
        <v>-7.4404600000000001E-2</v>
      </c>
      <c r="E3716" s="14">
        <v>-0.33512380000000003</v>
      </c>
      <c r="F3716" s="14">
        <v>2.8033200000000001E-2</v>
      </c>
      <c r="G3716" s="14">
        <v>0.38277090000000003</v>
      </c>
      <c r="H3716" s="14">
        <v>0.30368840000000002</v>
      </c>
      <c r="R3716" s="11">
        <f t="shared" si="116"/>
        <v>5.2629164106286416E-2</v>
      </c>
      <c r="Z3716" s="11">
        <f t="shared" si="117"/>
        <v>6.5240081784390461E-2</v>
      </c>
    </row>
    <row r="3717" spans="1:26" x14ac:dyDescent="0.2">
      <c r="A3717" s="45">
        <v>637</v>
      </c>
      <c r="B3717" s="45">
        <v>2001</v>
      </c>
      <c r="C3717" s="17">
        <v>0</v>
      </c>
      <c r="D3717" s="14">
        <v>0.2447772</v>
      </c>
      <c r="E3717" s="14">
        <v>0.37962770000000001</v>
      </c>
      <c r="F3717" s="14">
        <v>1.50492E-2</v>
      </c>
      <c r="G3717" s="14">
        <v>0.83514980000000005</v>
      </c>
      <c r="H3717" s="14">
        <v>0.21430450000000001</v>
      </c>
      <c r="R3717" s="11">
        <f t="shared" si="116"/>
        <v>1.0490573102922264E-2</v>
      </c>
      <c r="Z3717" s="11">
        <f t="shared" si="117"/>
        <v>1.3195010634688108E-2</v>
      </c>
    </row>
    <row r="3718" spans="1:26" x14ac:dyDescent="0.2">
      <c r="A3718" s="45">
        <v>637</v>
      </c>
      <c r="B3718" s="45">
        <v>2002</v>
      </c>
      <c r="C3718" s="17">
        <v>0</v>
      </c>
      <c r="D3718" s="14">
        <v>0.26176260000000001</v>
      </c>
      <c r="E3718" s="14">
        <v>0.2232459</v>
      </c>
      <c r="F3718" s="14">
        <v>1.7884400000000002E-2</v>
      </c>
      <c r="G3718" s="14">
        <v>0.33154260000000002</v>
      </c>
      <c r="H3718" s="14">
        <v>0.26167560000000001</v>
      </c>
      <c r="R3718" s="11">
        <f t="shared" si="116"/>
        <v>2.8209449519252465E-2</v>
      </c>
      <c r="Z3718" s="11">
        <f t="shared" si="117"/>
        <v>3.5594154001274352E-2</v>
      </c>
    </row>
    <row r="3719" spans="1:26" x14ac:dyDescent="0.2">
      <c r="A3719" s="45">
        <v>637</v>
      </c>
      <c r="B3719" s="45">
        <v>2003</v>
      </c>
      <c r="C3719" s="17">
        <v>0</v>
      </c>
      <c r="D3719" s="14">
        <v>0.2073624</v>
      </c>
      <c r="E3719" s="14">
        <v>0.1061247</v>
      </c>
      <c r="F3719" s="14">
        <v>3.8275000000000002E-3</v>
      </c>
      <c r="G3719" s="14">
        <v>0.65788670000000005</v>
      </c>
      <c r="H3719" s="14">
        <v>0.30282559999999997</v>
      </c>
      <c r="R3719" s="11">
        <f t="shared" si="116"/>
        <v>2.2383251716479664E-2</v>
      </c>
      <c r="Z3719" s="11">
        <f t="shared" si="117"/>
        <v>2.7669214111105185E-2</v>
      </c>
    </row>
    <row r="3720" spans="1:26" x14ac:dyDescent="0.2">
      <c r="A3720" s="45">
        <v>637</v>
      </c>
      <c r="B3720" s="45">
        <v>2004</v>
      </c>
      <c r="C3720" s="17">
        <v>0</v>
      </c>
      <c r="D3720" s="14">
        <v>0.33442300000000003</v>
      </c>
      <c r="E3720" s="14">
        <v>3.2928800000000001E-2</v>
      </c>
      <c r="F3720" s="14">
        <v>4.3844399999999999E-2</v>
      </c>
      <c r="G3720" s="14">
        <v>1.1328990000000001</v>
      </c>
      <c r="H3720" s="14">
        <v>0.37726520000000002</v>
      </c>
      <c r="R3720" s="11">
        <f t="shared" si="116"/>
        <v>8.5991907967387128E-3</v>
      </c>
      <c r="Z3720" s="11">
        <f t="shared" si="117"/>
        <v>1.0876774164769362E-2</v>
      </c>
    </row>
    <row r="3721" spans="1:26" x14ac:dyDescent="0.2">
      <c r="A3721" s="45">
        <v>638</v>
      </c>
      <c r="B3721" s="45">
        <v>1995</v>
      </c>
      <c r="C3721" s="17">
        <v>0</v>
      </c>
      <c r="D3721" s="14">
        <v>-2.1566599999999998E-2</v>
      </c>
      <c r="E3721" s="14">
        <v>9.3962199999999996E-2</v>
      </c>
      <c r="F3721" s="14">
        <v>4.6651900000000003E-2</v>
      </c>
      <c r="G3721" s="14">
        <v>1.3395250000000001</v>
      </c>
      <c r="H3721" s="14">
        <v>0.1069454</v>
      </c>
      <c r="R3721" s="11">
        <f t="shared" si="116"/>
        <v>5.5525499870884513E-3</v>
      </c>
      <c r="Z3721" s="11">
        <f t="shared" si="117"/>
        <v>7.0278257157950106E-3</v>
      </c>
    </row>
    <row r="3722" spans="1:26" x14ac:dyDescent="0.2">
      <c r="A3722" s="45">
        <v>638</v>
      </c>
      <c r="B3722" s="45">
        <v>1996</v>
      </c>
      <c r="C3722" s="17">
        <v>0</v>
      </c>
      <c r="D3722" s="14">
        <v>-1.1298900000000001E-2</v>
      </c>
      <c r="E3722" s="14">
        <v>9.6801300000000007E-2</v>
      </c>
      <c r="F3722" s="14">
        <v>2.7940300000000001E-2</v>
      </c>
      <c r="G3722" s="14">
        <v>1.0654170000000001</v>
      </c>
      <c r="H3722" s="14">
        <v>9.8070500000000005E-2</v>
      </c>
      <c r="R3722" s="11">
        <f t="shared" si="116"/>
        <v>9.8971110557050327E-3</v>
      </c>
      <c r="Z3722" s="11">
        <f t="shared" si="117"/>
        <v>1.2398967528691237E-2</v>
      </c>
    </row>
    <row r="3723" spans="1:26" x14ac:dyDescent="0.2">
      <c r="A3723" s="45">
        <v>638</v>
      </c>
      <c r="B3723" s="45">
        <v>1997</v>
      </c>
      <c r="C3723" s="17">
        <v>0</v>
      </c>
      <c r="D3723" s="14">
        <v>-7.2556200000000001E-2</v>
      </c>
      <c r="E3723" s="14">
        <v>8.3795900000000006E-2</v>
      </c>
      <c r="F3723" s="14">
        <v>1.8086399999999999E-2</v>
      </c>
      <c r="G3723" s="14">
        <v>0.98007599999999995</v>
      </c>
      <c r="H3723" s="14">
        <v>0.10187300000000001</v>
      </c>
      <c r="R3723" s="11">
        <f t="shared" si="116"/>
        <v>1.2470568059204641E-2</v>
      </c>
      <c r="Z3723" s="11">
        <f t="shared" si="117"/>
        <v>1.5510923182191289E-2</v>
      </c>
    </row>
    <row r="3724" spans="1:26" x14ac:dyDescent="0.2">
      <c r="A3724" s="45">
        <v>638</v>
      </c>
      <c r="B3724" s="45">
        <v>1998</v>
      </c>
      <c r="C3724" s="17">
        <v>0</v>
      </c>
      <c r="D3724" s="14">
        <v>-8.6125999999999998E-3</v>
      </c>
      <c r="E3724" s="14">
        <v>0.10336099999999999</v>
      </c>
      <c r="F3724" s="14">
        <v>4.4680600000000001E-2</v>
      </c>
      <c r="G3724" s="14">
        <v>0.78542330000000005</v>
      </c>
      <c r="H3724" s="14">
        <v>0.1140529</v>
      </c>
      <c r="R3724" s="11">
        <f t="shared" si="116"/>
        <v>1.3349799289515397E-2</v>
      </c>
      <c r="Z3724" s="11">
        <f t="shared" si="117"/>
        <v>1.7043412672059832E-2</v>
      </c>
    </row>
    <row r="3725" spans="1:26" x14ac:dyDescent="0.2">
      <c r="A3725" s="45">
        <v>638</v>
      </c>
      <c r="B3725" s="45">
        <v>1999</v>
      </c>
      <c r="C3725" s="17">
        <v>0</v>
      </c>
      <c r="D3725" s="14">
        <v>5.8979999999999998E-2</v>
      </c>
      <c r="E3725" s="14">
        <v>0.16020499999999999</v>
      </c>
      <c r="F3725" s="14">
        <v>3.9514899999999999E-2</v>
      </c>
      <c r="G3725" s="14">
        <v>2.4254820000000001</v>
      </c>
      <c r="H3725" s="14">
        <v>0.1297238</v>
      </c>
      <c r="R3725" s="11">
        <f t="shared" si="116"/>
        <v>9.5034576847479997E-4</v>
      </c>
      <c r="Z3725" s="11">
        <f t="shared" si="117"/>
        <v>1.1717049179847904E-3</v>
      </c>
    </row>
    <row r="3726" spans="1:26" x14ac:dyDescent="0.2">
      <c r="A3726" s="45">
        <v>638</v>
      </c>
      <c r="B3726" s="45">
        <v>2000</v>
      </c>
      <c r="C3726" s="17">
        <v>0</v>
      </c>
      <c r="D3726" s="14">
        <v>-2.2951300000000001E-2</v>
      </c>
      <c r="E3726" s="14">
        <v>0.32976490000000003</v>
      </c>
      <c r="F3726" s="14">
        <v>4.3641399999999997E-2</v>
      </c>
      <c r="G3726" s="14">
        <v>1.02902</v>
      </c>
      <c r="H3726" s="14">
        <v>0.10065689999999999</v>
      </c>
      <c r="R3726" s="11">
        <f t="shared" si="116"/>
        <v>6.6142553343352612E-3</v>
      </c>
      <c r="Z3726" s="11">
        <f t="shared" si="117"/>
        <v>8.4732258301242827E-3</v>
      </c>
    </row>
    <row r="3727" spans="1:26" x14ac:dyDescent="0.2">
      <c r="A3727" s="45">
        <v>638</v>
      </c>
      <c r="B3727" s="45">
        <v>2001</v>
      </c>
      <c r="C3727" s="17">
        <v>0</v>
      </c>
      <c r="D3727" s="14">
        <v>5.3027999999999999E-3</v>
      </c>
      <c r="E3727" s="14">
        <v>0.28153489999999998</v>
      </c>
      <c r="F3727" s="14">
        <v>5.1349800000000001E-2</v>
      </c>
      <c r="G3727" s="14">
        <v>1.0583499999999999</v>
      </c>
      <c r="H3727" s="14">
        <v>9.9168800000000001E-2</v>
      </c>
      <c r="R3727" s="11">
        <f t="shared" si="116"/>
        <v>6.3674747313987668E-3</v>
      </c>
      <c r="Z3727" s="11">
        <f t="shared" si="117"/>
        <v>8.1902427147202018E-3</v>
      </c>
    </row>
    <row r="3728" spans="1:26" x14ac:dyDescent="0.2">
      <c r="A3728" s="45">
        <v>638</v>
      </c>
      <c r="B3728" s="45">
        <v>2002</v>
      </c>
      <c r="C3728" s="17">
        <v>0</v>
      </c>
      <c r="D3728" s="14">
        <v>0.1175905</v>
      </c>
      <c r="E3728" s="14">
        <v>0.19426969999999999</v>
      </c>
      <c r="F3728" s="14">
        <v>4.6663999999999997E-2</v>
      </c>
      <c r="G3728" s="14">
        <v>0.41218369999999999</v>
      </c>
      <c r="H3728" s="14">
        <v>0.12533849999999999</v>
      </c>
      <c r="R3728" s="11">
        <f t="shared" si="116"/>
        <v>2.0712858359772254E-2</v>
      </c>
      <c r="Z3728" s="11">
        <f t="shared" si="117"/>
        <v>2.6724247505097748E-2</v>
      </c>
    </row>
    <row r="3729" spans="1:26" x14ac:dyDescent="0.2">
      <c r="A3729" s="45">
        <v>638</v>
      </c>
      <c r="B3729" s="45">
        <v>2003</v>
      </c>
      <c r="C3729" s="17">
        <v>0</v>
      </c>
      <c r="D3729" s="14">
        <v>0.1131679</v>
      </c>
      <c r="E3729" s="14">
        <v>0.2020332</v>
      </c>
      <c r="F3729" s="14">
        <v>4.7703799999999998E-2</v>
      </c>
      <c r="G3729" s="14">
        <v>0.47513640000000001</v>
      </c>
      <c r="H3729" s="14">
        <v>0.1291446</v>
      </c>
      <c r="R3729" s="11">
        <f t="shared" si="116"/>
        <v>1.8415109836605093E-2</v>
      </c>
      <c r="Z3729" s="11">
        <f t="shared" si="117"/>
        <v>2.3769608808054402E-2</v>
      </c>
    </row>
    <row r="3730" spans="1:26" x14ac:dyDescent="0.2">
      <c r="A3730" s="45">
        <v>638</v>
      </c>
      <c r="B3730" s="45">
        <v>2004</v>
      </c>
      <c r="C3730" s="17">
        <v>0</v>
      </c>
      <c r="D3730" s="14">
        <v>0.12835569999999999</v>
      </c>
      <c r="E3730" s="14">
        <v>0.19362799999999999</v>
      </c>
      <c r="F3730" s="14">
        <v>2.39948E-2</v>
      </c>
      <c r="G3730" s="14">
        <v>0.53647840000000002</v>
      </c>
      <c r="H3730" s="14">
        <v>0.1169029</v>
      </c>
      <c r="R3730" s="11">
        <f t="shared" si="116"/>
        <v>2.0394589441939864E-2</v>
      </c>
      <c r="Z3730" s="11">
        <f t="shared" si="117"/>
        <v>2.577475080417287E-2</v>
      </c>
    </row>
    <row r="3731" spans="1:26" x14ac:dyDescent="0.2">
      <c r="A3731" s="45">
        <v>639</v>
      </c>
      <c r="B3731" s="45">
        <v>1995</v>
      </c>
      <c r="C3731" s="17">
        <v>0</v>
      </c>
      <c r="D3731" s="14">
        <v>0.51519110000000001</v>
      </c>
      <c r="E3731" s="14">
        <v>0.22067580000000001</v>
      </c>
      <c r="F3731" s="14">
        <v>6.0201400000000002E-2</v>
      </c>
      <c r="G3731" s="14">
        <v>1.5293110000000001</v>
      </c>
      <c r="H3731" s="14">
        <v>0.40363569999999999</v>
      </c>
      <c r="R3731" s="11">
        <f t="shared" si="116"/>
        <v>3.0700113247100294E-3</v>
      </c>
      <c r="Z3731" s="11">
        <f t="shared" si="117"/>
        <v>3.9321691098890355E-3</v>
      </c>
    </row>
    <row r="3732" spans="1:26" x14ac:dyDescent="0.2">
      <c r="A3732" s="45">
        <v>639</v>
      </c>
      <c r="B3732" s="45">
        <v>1996</v>
      </c>
      <c r="C3732" s="17">
        <v>0</v>
      </c>
      <c r="D3732" s="14">
        <v>0.51336459999999995</v>
      </c>
      <c r="E3732" s="14">
        <v>0.22350619999999999</v>
      </c>
      <c r="F3732" s="14">
        <v>4.38944E-2</v>
      </c>
      <c r="G3732" s="14">
        <v>1.1439790000000001</v>
      </c>
      <c r="H3732" s="14">
        <v>0.3818472</v>
      </c>
      <c r="R3732" s="11">
        <f t="shared" si="116"/>
        <v>6.4154421569725577E-3</v>
      </c>
      <c r="Z3732" s="11">
        <f t="shared" si="117"/>
        <v>8.1705058111940336E-3</v>
      </c>
    </row>
    <row r="3733" spans="1:26" x14ac:dyDescent="0.2">
      <c r="A3733" s="45">
        <v>639</v>
      </c>
      <c r="B3733" s="45">
        <v>1997</v>
      </c>
      <c r="C3733" s="17">
        <v>0</v>
      </c>
      <c r="D3733" s="14">
        <v>0.51854940000000005</v>
      </c>
      <c r="E3733" s="14">
        <v>0.23731910000000001</v>
      </c>
      <c r="F3733" s="14">
        <v>5.8676499999999999E-2</v>
      </c>
      <c r="G3733" s="14">
        <v>1.9104239999999999</v>
      </c>
      <c r="H3733" s="14">
        <v>0.36445319999999998</v>
      </c>
      <c r="R3733" s="11">
        <f t="shared" si="116"/>
        <v>1.6549292816208365E-3</v>
      </c>
      <c r="Z3733" s="11">
        <f t="shared" si="117"/>
        <v>2.1014214438731331E-3</v>
      </c>
    </row>
    <row r="3734" spans="1:26" x14ac:dyDescent="0.2">
      <c r="A3734" s="45">
        <v>639</v>
      </c>
      <c r="B3734" s="45">
        <v>1999</v>
      </c>
      <c r="C3734" s="17">
        <v>0</v>
      </c>
      <c r="D3734" s="14">
        <v>0.22444810000000001</v>
      </c>
      <c r="E3734" s="14">
        <v>0.3718188</v>
      </c>
      <c r="F3734" s="14">
        <v>-4.7021300000000002E-2</v>
      </c>
      <c r="G3734" s="14">
        <v>0.94471950000000005</v>
      </c>
      <c r="H3734" s="14">
        <v>0.17381489999999999</v>
      </c>
      <c r="R3734" s="11">
        <f t="shared" si="116"/>
        <v>1.4579069971182119E-2</v>
      </c>
      <c r="Z3734" s="11">
        <f t="shared" si="117"/>
        <v>1.7379305619447075E-2</v>
      </c>
    </row>
    <row r="3735" spans="1:26" x14ac:dyDescent="0.2">
      <c r="A3735" s="45">
        <v>640</v>
      </c>
      <c r="B3735" s="45">
        <v>1995</v>
      </c>
      <c r="C3735" s="17">
        <v>0</v>
      </c>
      <c r="D3735" s="14">
        <v>6.6071999999999997E-3</v>
      </c>
      <c r="E3735" s="14">
        <v>9.1035999999999999E-3</v>
      </c>
      <c r="F3735" s="14">
        <v>4.6302400000000001E-2</v>
      </c>
      <c r="G3735" s="14">
        <v>0.8817623</v>
      </c>
      <c r="H3735" s="14">
        <v>0.20627570000000001</v>
      </c>
      <c r="R3735" s="11">
        <f t="shared" ref="R3735:R3798" si="118">1/(1+EXP(-(K$2+$M$2*E3735+$N$2*F3735+$O$2*G3735)))</f>
        <v>1.2967456210347042E-2</v>
      </c>
      <c r="Z3735" s="11">
        <f t="shared" si="117"/>
        <v>1.64916807679912E-2</v>
      </c>
    </row>
    <row r="3736" spans="1:26" x14ac:dyDescent="0.2">
      <c r="A3736" s="45">
        <v>640</v>
      </c>
      <c r="B3736" s="45">
        <v>1996</v>
      </c>
      <c r="C3736" s="17">
        <v>0</v>
      </c>
      <c r="D3736" s="14">
        <v>7.6810900000000001E-2</v>
      </c>
      <c r="E3736" s="14">
        <v>3.6445699999999998E-2</v>
      </c>
      <c r="F3736" s="14">
        <v>4.1408E-2</v>
      </c>
      <c r="G3736" s="14">
        <v>1.602333</v>
      </c>
      <c r="H3736" s="14">
        <v>0.23290920000000001</v>
      </c>
      <c r="R3736" s="11">
        <f t="shared" si="118"/>
        <v>4.1472132601496885E-3</v>
      </c>
      <c r="Z3736" s="11">
        <f t="shared" si="117"/>
        <v>5.1884651898188774E-3</v>
      </c>
    </row>
    <row r="3737" spans="1:26" x14ac:dyDescent="0.2">
      <c r="A3737" s="45">
        <v>640</v>
      </c>
      <c r="B3737" s="45">
        <v>1997</v>
      </c>
      <c r="C3737" s="17">
        <v>0</v>
      </c>
      <c r="D3737" s="14">
        <v>9.9738499999999994E-2</v>
      </c>
      <c r="E3737" s="14">
        <v>3.07984E-2</v>
      </c>
      <c r="F3737" s="14">
        <v>6.4551700000000004E-2</v>
      </c>
      <c r="G3737" s="14">
        <v>1.1691229999999999</v>
      </c>
      <c r="H3737" s="14">
        <v>0.2433912</v>
      </c>
      <c r="R3737" s="11">
        <f t="shared" si="118"/>
        <v>6.9109142813278453E-3</v>
      </c>
      <c r="Z3737" s="11">
        <f t="shared" si="117"/>
        <v>8.8859888263582484E-3</v>
      </c>
    </row>
    <row r="3738" spans="1:26" x14ac:dyDescent="0.2">
      <c r="A3738" s="45">
        <v>640</v>
      </c>
      <c r="B3738" s="45">
        <v>1998</v>
      </c>
      <c r="C3738" s="17">
        <v>0</v>
      </c>
      <c r="D3738" s="14">
        <v>1.5500000000000001E-5</v>
      </c>
      <c r="E3738" s="14">
        <v>4.1055599999999998E-2</v>
      </c>
      <c r="F3738" s="14">
        <v>2.62814E-2</v>
      </c>
      <c r="G3738" s="14">
        <v>0.94703570000000004</v>
      </c>
      <c r="H3738" s="14">
        <v>0.1177638</v>
      </c>
      <c r="R3738" s="11">
        <f t="shared" si="118"/>
        <v>1.3091822932701922E-2</v>
      </c>
      <c r="Z3738" s="11">
        <f t="shared" si="117"/>
        <v>1.6377198723291173E-2</v>
      </c>
    </row>
    <row r="3739" spans="1:26" x14ac:dyDescent="0.2">
      <c r="A3739" s="45">
        <v>640</v>
      </c>
      <c r="B3739" s="45">
        <v>1999</v>
      </c>
      <c r="C3739" s="17">
        <v>0</v>
      </c>
      <c r="D3739" s="14">
        <v>0.21505920000000001</v>
      </c>
      <c r="E3739" s="14">
        <v>-0.67550010000000005</v>
      </c>
      <c r="F3739" s="14">
        <v>2.3349999999999998E-3</v>
      </c>
      <c r="G3739" s="14">
        <v>0.1489048</v>
      </c>
      <c r="H3739" s="14">
        <v>0.3028633</v>
      </c>
      <c r="R3739" s="11">
        <f t="shared" si="118"/>
        <v>0.1397633455426546</v>
      </c>
      <c r="Z3739" s="11">
        <f t="shared" si="117"/>
        <v>0.16566960543658152</v>
      </c>
    </row>
    <row r="3740" spans="1:26" x14ac:dyDescent="0.2">
      <c r="A3740" s="45">
        <v>640</v>
      </c>
      <c r="B3740" s="45">
        <v>2000</v>
      </c>
      <c r="C3740" s="17">
        <v>0</v>
      </c>
      <c r="D3740" s="14">
        <v>0.1150351</v>
      </c>
      <c r="E3740" s="14">
        <v>-0.71386119999999997</v>
      </c>
      <c r="F3740" s="14">
        <v>1.8871700000000002E-2</v>
      </c>
      <c r="G3740" s="14">
        <v>5.6809600000000002E-2</v>
      </c>
      <c r="H3740" s="14">
        <v>0.32155620000000001</v>
      </c>
      <c r="R3740" s="11">
        <f t="shared" si="118"/>
        <v>0.14842664696137378</v>
      </c>
      <c r="Z3740" s="11">
        <f t="shared" si="117"/>
        <v>0.17768611978409729</v>
      </c>
    </row>
    <row r="3741" spans="1:26" x14ac:dyDescent="0.2">
      <c r="A3741" s="45">
        <v>640</v>
      </c>
      <c r="B3741" s="45">
        <v>2001</v>
      </c>
      <c r="C3741" s="17">
        <v>0</v>
      </c>
      <c r="D3741" s="14">
        <v>5.6054699999999999E-2</v>
      </c>
      <c r="E3741" s="14">
        <v>-0.87932569999999999</v>
      </c>
      <c r="F3741" s="14">
        <v>4.7067299999999999E-2</v>
      </c>
      <c r="G3741" s="14">
        <v>6.3392500000000004E-2</v>
      </c>
      <c r="H3741" s="14">
        <v>0.30948710000000001</v>
      </c>
      <c r="R3741" s="11">
        <f t="shared" si="118"/>
        <v>0.14900394397572769</v>
      </c>
      <c r="Z3741" s="11">
        <f t="shared" si="117"/>
        <v>0.18090203068957325</v>
      </c>
    </row>
    <row r="3742" spans="1:26" x14ac:dyDescent="0.2">
      <c r="A3742" s="45">
        <v>640</v>
      </c>
      <c r="B3742" s="45">
        <v>2002</v>
      </c>
      <c r="C3742" s="17">
        <v>0</v>
      </c>
      <c r="D3742" s="14">
        <v>-6.0860000000000005E-4</v>
      </c>
      <c r="E3742" s="14">
        <v>-1.0082169999999999</v>
      </c>
      <c r="F3742" s="14">
        <v>4.0484100000000002E-2</v>
      </c>
      <c r="G3742" s="14">
        <v>9.4299800000000003E-2</v>
      </c>
      <c r="H3742" s="14">
        <v>0.37811440000000002</v>
      </c>
      <c r="R3742" s="11">
        <f t="shared" si="118"/>
        <v>0.17485264485464316</v>
      </c>
      <c r="Z3742" s="11">
        <f t="shared" si="117"/>
        <v>0.20917151871074147</v>
      </c>
    </row>
    <row r="3743" spans="1:26" x14ac:dyDescent="0.2">
      <c r="A3743" s="45">
        <v>640</v>
      </c>
      <c r="B3743" s="45">
        <v>2003</v>
      </c>
      <c r="C3743" s="17">
        <v>0</v>
      </c>
      <c r="D3743" s="14">
        <v>0.1055958</v>
      </c>
      <c r="E3743" s="14">
        <v>-0.85370900000000005</v>
      </c>
      <c r="F3743" s="14">
        <v>3.01856E-2</v>
      </c>
      <c r="G3743" s="14">
        <v>0.13332550000000001</v>
      </c>
      <c r="H3743" s="14">
        <v>0.35886509999999999</v>
      </c>
      <c r="R3743" s="11">
        <f t="shared" si="118"/>
        <v>0.14728083799868652</v>
      </c>
      <c r="Z3743" s="11">
        <f t="shared" si="117"/>
        <v>0.17676765778785439</v>
      </c>
    </row>
    <row r="3744" spans="1:26" x14ac:dyDescent="0.2">
      <c r="A3744" s="45">
        <v>640</v>
      </c>
      <c r="B3744" s="45">
        <v>2004</v>
      </c>
      <c r="C3744" s="17">
        <v>0</v>
      </c>
      <c r="D3744" s="14">
        <v>8.6841399999999999E-2</v>
      </c>
      <c r="E3744" s="14">
        <v>-0.72196479999999996</v>
      </c>
      <c r="F3744" s="14">
        <v>4.5983000000000003E-2</v>
      </c>
      <c r="G3744" s="14">
        <v>0.28551599999999999</v>
      </c>
      <c r="H3744" s="14">
        <v>0.36534119999999998</v>
      </c>
      <c r="R3744" s="11">
        <f t="shared" si="118"/>
        <v>8.9762189598589559E-2</v>
      </c>
      <c r="Z3744" s="11">
        <f t="shared" si="117"/>
        <v>0.11058869444432233</v>
      </c>
    </row>
    <row r="3745" spans="1:26" x14ac:dyDescent="0.2">
      <c r="A3745" s="45">
        <v>641</v>
      </c>
      <c r="B3745" s="45">
        <v>1995</v>
      </c>
      <c r="C3745" s="17">
        <v>0</v>
      </c>
      <c r="D3745" s="14">
        <v>0.17506630000000001</v>
      </c>
      <c r="E3745" s="14">
        <v>9.9902099999999994E-2</v>
      </c>
      <c r="F3745" s="14">
        <v>6.5521200000000002E-2</v>
      </c>
      <c r="G3745" s="14">
        <v>0.74054589999999998</v>
      </c>
      <c r="H3745" s="14">
        <v>0.46381240000000001</v>
      </c>
      <c r="R3745" s="11">
        <f t="shared" si="118"/>
        <v>1.2212908159833705E-2</v>
      </c>
      <c r="Z3745" s="11">
        <f t="shared" si="117"/>
        <v>1.5874990421751972E-2</v>
      </c>
    </row>
    <row r="3746" spans="1:26" x14ac:dyDescent="0.2">
      <c r="A3746" s="45">
        <v>641</v>
      </c>
      <c r="B3746" s="45">
        <v>1996</v>
      </c>
      <c r="C3746" s="17">
        <v>0</v>
      </c>
      <c r="D3746" s="14">
        <v>0.1958926</v>
      </c>
      <c r="E3746" s="14">
        <v>0.22058249999999999</v>
      </c>
      <c r="F3746" s="14">
        <v>4.5453399999999998E-2</v>
      </c>
      <c r="G3746" s="14">
        <v>1.3582350000000001</v>
      </c>
      <c r="H3746" s="14">
        <v>0.43328090000000002</v>
      </c>
      <c r="R3746" s="11">
        <f t="shared" si="118"/>
        <v>4.5310159422423321E-3</v>
      </c>
      <c r="Z3746" s="11">
        <f t="shared" si="117"/>
        <v>5.7532675711062216E-3</v>
      </c>
    </row>
    <row r="3747" spans="1:26" x14ac:dyDescent="0.2">
      <c r="A3747" s="45">
        <v>641</v>
      </c>
      <c r="B3747" s="45">
        <v>1997</v>
      </c>
      <c r="C3747" s="17">
        <v>0</v>
      </c>
      <c r="D3747" s="14">
        <v>0.15435370000000001</v>
      </c>
      <c r="E3747" s="14">
        <v>0.24344640000000001</v>
      </c>
      <c r="F3747" s="14">
        <v>3.0991100000000001E-2</v>
      </c>
      <c r="G3747" s="14">
        <v>1.398882</v>
      </c>
      <c r="H3747" s="14">
        <v>0.429956</v>
      </c>
      <c r="R3747" s="11">
        <f t="shared" si="118"/>
        <v>4.611396896467247E-3</v>
      </c>
      <c r="Z3747" s="11">
        <f t="shared" si="117"/>
        <v>5.7859602528371476E-3</v>
      </c>
    </row>
    <row r="3748" spans="1:26" x14ac:dyDescent="0.2">
      <c r="A3748" s="45">
        <v>641</v>
      </c>
      <c r="B3748" s="45">
        <v>1999</v>
      </c>
      <c r="C3748" s="17">
        <v>0</v>
      </c>
      <c r="D3748" s="14">
        <v>0.2404231</v>
      </c>
      <c r="E3748" s="14">
        <v>0.15651680000000001</v>
      </c>
      <c r="F3748" s="14">
        <v>1.59802E-2</v>
      </c>
      <c r="G3748" s="14">
        <v>0.45494129999999999</v>
      </c>
      <c r="H3748" s="14">
        <v>0.6182725</v>
      </c>
      <c r="R3748" s="11">
        <f t="shared" si="118"/>
        <v>2.5985855816572711E-2</v>
      </c>
      <c r="Z3748" s="11">
        <f t="shared" si="117"/>
        <v>3.2600420149922045E-2</v>
      </c>
    </row>
    <row r="3749" spans="1:26" x14ac:dyDescent="0.2">
      <c r="A3749" s="45">
        <v>641</v>
      </c>
      <c r="B3749" s="45">
        <v>2000</v>
      </c>
      <c r="C3749" s="17">
        <v>0</v>
      </c>
      <c r="D3749" s="14">
        <v>0.17998140000000001</v>
      </c>
      <c r="E3749" s="14">
        <v>0.2068905</v>
      </c>
      <c r="F3749" s="14">
        <v>7.0315600000000006E-2</v>
      </c>
      <c r="G3749" s="14">
        <v>0.44708100000000001</v>
      </c>
      <c r="H3749" s="14">
        <v>0.9593062</v>
      </c>
      <c r="R3749" s="11">
        <f t="shared" si="118"/>
        <v>1.5997061870993382E-2</v>
      </c>
      <c r="Z3749" s="11">
        <f t="shared" si="117"/>
        <v>2.1057864230861423E-2</v>
      </c>
    </row>
    <row r="3750" spans="1:26" x14ac:dyDescent="0.2">
      <c r="A3750" s="45">
        <v>641</v>
      </c>
      <c r="B3750" s="45">
        <v>2001</v>
      </c>
      <c r="C3750" s="17">
        <v>0</v>
      </c>
      <c r="D3750" s="14">
        <v>0.1667003</v>
      </c>
      <c r="E3750" s="14">
        <v>0.14901780000000001</v>
      </c>
      <c r="F3750" s="14">
        <v>2.9059700000000001E-2</v>
      </c>
      <c r="G3750" s="14">
        <v>0.31198049999999999</v>
      </c>
      <c r="H3750" s="14">
        <v>0.50393239999999995</v>
      </c>
      <c r="R3750" s="11">
        <f t="shared" si="118"/>
        <v>2.9604655319729885E-2</v>
      </c>
      <c r="Z3750" s="11">
        <f t="shared" si="117"/>
        <v>3.7594701443115094E-2</v>
      </c>
    </row>
    <row r="3751" spans="1:26" x14ac:dyDescent="0.2">
      <c r="A3751" s="45">
        <v>641</v>
      </c>
      <c r="B3751" s="45">
        <v>2002</v>
      </c>
      <c r="C3751" s="17">
        <v>0</v>
      </c>
      <c r="D3751" s="14">
        <v>0.1424832</v>
      </c>
      <c r="E3751" s="14">
        <v>7.0993700000000007E-2</v>
      </c>
      <c r="F3751" s="14">
        <v>4.5248799999999999E-2</v>
      </c>
      <c r="G3751" s="14">
        <v>0.14039070000000001</v>
      </c>
      <c r="H3751" s="14">
        <v>0.55720979999999998</v>
      </c>
      <c r="R3751" s="11">
        <f t="shared" si="118"/>
        <v>3.7965358049554074E-2</v>
      </c>
      <c r="Z3751" s="11">
        <f t="shared" si="117"/>
        <v>4.8762484967264055E-2</v>
      </c>
    </row>
    <row r="3752" spans="1:26" x14ac:dyDescent="0.2">
      <c r="A3752" s="45">
        <v>641</v>
      </c>
      <c r="B3752" s="45">
        <v>2003</v>
      </c>
      <c r="C3752" s="17">
        <v>0</v>
      </c>
      <c r="D3752" s="14">
        <v>0.12619849999999999</v>
      </c>
      <c r="E3752" s="14">
        <v>0.10174560000000001</v>
      </c>
      <c r="F3752" s="14">
        <v>4.0038999999999998E-2</v>
      </c>
      <c r="G3752" s="14">
        <v>0.384799</v>
      </c>
      <c r="H3752" s="14">
        <v>0.61096569999999994</v>
      </c>
      <c r="R3752" s="11">
        <f t="shared" si="118"/>
        <v>2.5959774523578606E-2</v>
      </c>
      <c r="Z3752" s="11">
        <f t="shared" si="117"/>
        <v>3.3184359374729598E-2</v>
      </c>
    </row>
    <row r="3753" spans="1:26" x14ac:dyDescent="0.2">
      <c r="A3753" s="45">
        <v>641</v>
      </c>
      <c r="B3753" s="45">
        <v>2004</v>
      </c>
      <c r="C3753" s="17">
        <v>0</v>
      </c>
      <c r="D3753" s="14">
        <v>0.12772149999999999</v>
      </c>
      <c r="E3753" s="14">
        <v>0.1869651</v>
      </c>
      <c r="F3753" s="14">
        <v>3.74718E-2</v>
      </c>
      <c r="G3753" s="14">
        <v>0.80269029999999997</v>
      </c>
      <c r="H3753" s="14">
        <v>0.85816879999999995</v>
      </c>
      <c r="R3753" s="11">
        <f t="shared" si="118"/>
        <v>1.2197770947890181E-2</v>
      </c>
      <c r="Z3753" s="11">
        <f t="shared" si="117"/>
        <v>1.5525259661239051E-2</v>
      </c>
    </row>
    <row r="3754" spans="1:26" x14ac:dyDescent="0.2">
      <c r="A3754" s="45">
        <v>642</v>
      </c>
      <c r="B3754" s="45">
        <v>1995</v>
      </c>
      <c r="C3754" s="17">
        <v>0</v>
      </c>
      <c r="D3754" s="14">
        <v>7.9613299999999998E-2</v>
      </c>
      <c r="E3754" s="14">
        <v>0.33366299999999999</v>
      </c>
      <c r="F3754" s="14">
        <v>-1.0291099999999999E-2</v>
      </c>
      <c r="G3754" s="14">
        <v>1.37896</v>
      </c>
      <c r="H3754" s="14">
        <v>0.39808379999999999</v>
      </c>
      <c r="R3754" s="11">
        <f t="shared" si="118"/>
        <v>5.8015435289946252E-3</v>
      </c>
      <c r="Z3754" s="11">
        <f t="shared" si="117"/>
        <v>7.0613222547532047E-3</v>
      </c>
    </row>
    <row r="3755" spans="1:26" x14ac:dyDescent="0.2">
      <c r="A3755" s="45">
        <v>642</v>
      </c>
      <c r="B3755" s="45">
        <v>1996</v>
      </c>
      <c r="C3755" s="17">
        <v>0</v>
      </c>
      <c r="D3755" s="14">
        <v>8.0268500000000007E-2</v>
      </c>
      <c r="E3755" s="14">
        <v>0.33680840000000001</v>
      </c>
      <c r="F3755" s="14">
        <v>5.12817E-2</v>
      </c>
      <c r="G3755" s="14">
        <v>1.5799989999999999</v>
      </c>
      <c r="H3755" s="14">
        <v>0.48906280000000002</v>
      </c>
      <c r="R3755" s="11">
        <f t="shared" si="118"/>
        <v>2.5699761244778268E-3</v>
      </c>
      <c r="Z3755" s="11">
        <f t="shared" si="117"/>
        <v>3.2776114996559622E-3</v>
      </c>
    </row>
    <row r="3756" spans="1:26" x14ac:dyDescent="0.2">
      <c r="A3756" s="45">
        <v>642</v>
      </c>
      <c r="B3756" s="45">
        <v>1997</v>
      </c>
      <c r="C3756" s="17">
        <v>0</v>
      </c>
      <c r="D3756" s="14">
        <v>4.4870899999999998E-2</v>
      </c>
      <c r="E3756" s="14">
        <v>0.36048439999999998</v>
      </c>
      <c r="F3756" s="14">
        <v>5.5878799999999999E-2</v>
      </c>
      <c r="G3756" s="14">
        <v>1.7796289999999999</v>
      </c>
      <c r="H3756" s="14">
        <v>0.43163970000000002</v>
      </c>
      <c r="R3756" s="11">
        <f t="shared" si="118"/>
        <v>1.7426355584032906E-3</v>
      </c>
      <c r="Z3756" s="11">
        <f t="shared" si="117"/>
        <v>2.2233802209659244E-3</v>
      </c>
    </row>
    <row r="3757" spans="1:26" x14ac:dyDescent="0.2">
      <c r="A3757" s="45">
        <v>642</v>
      </c>
      <c r="B3757" s="45">
        <v>1998</v>
      </c>
      <c r="C3757" s="17">
        <v>0</v>
      </c>
      <c r="D3757" s="14">
        <v>3.9954799999999999E-2</v>
      </c>
      <c r="E3757" s="14">
        <v>0.36029670000000003</v>
      </c>
      <c r="F3757" s="14">
        <v>3.4406399999999997E-2</v>
      </c>
      <c r="G3757" s="14">
        <v>1.7135769999999999</v>
      </c>
      <c r="H3757" s="14">
        <v>0.30522949999999999</v>
      </c>
      <c r="R3757" s="11">
        <f t="shared" si="118"/>
        <v>2.2982178120082614E-3</v>
      </c>
      <c r="Z3757" s="11">
        <f t="shared" si="117"/>
        <v>2.884941536411282E-3</v>
      </c>
    </row>
    <row r="3758" spans="1:26" x14ac:dyDescent="0.2">
      <c r="A3758" s="45">
        <v>642</v>
      </c>
      <c r="B3758" s="45">
        <v>1999</v>
      </c>
      <c r="C3758" s="17">
        <v>0</v>
      </c>
      <c r="D3758" s="14">
        <v>4.7805199999999999E-2</v>
      </c>
      <c r="E3758" s="14">
        <v>0.36077340000000002</v>
      </c>
      <c r="F3758" s="14">
        <v>4.3733000000000001E-2</v>
      </c>
      <c r="G3758" s="14">
        <v>1.7955650000000001</v>
      </c>
      <c r="H3758" s="14">
        <v>0.3791948</v>
      </c>
      <c r="R3758" s="11">
        <f t="shared" si="118"/>
        <v>1.8712544814675654E-3</v>
      </c>
      <c r="Z3758" s="11">
        <f t="shared" si="117"/>
        <v>2.3629977530107149E-3</v>
      </c>
    </row>
    <row r="3759" spans="1:26" x14ac:dyDescent="0.2">
      <c r="A3759" s="45">
        <v>642</v>
      </c>
      <c r="B3759" s="45">
        <v>2000</v>
      </c>
      <c r="C3759" s="17">
        <v>0</v>
      </c>
      <c r="D3759" s="14">
        <v>5.9954300000000002E-2</v>
      </c>
      <c r="E3759" s="14">
        <v>0.38045899999999999</v>
      </c>
      <c r="F3759" s="14">
        <v>5.7125599999999999E-2</v>
      </c>
      <c r="G3759" s="14">
        <v>1.997115</v>
      </c>
      <c r="H3759" s="14">
        <v>0.49472830000000001</v>
      </c>
      <c r="R3759" s="11">
        <f t="shared" si="118"/>
        <v>1.1857259982421449E-3</v>
      </c>
      <c r="Z3759" s="11">
        <f t="shared" si="117"/>
        <v>1.5084175902185983E-3</v>
      </c>
    </row>
    <row r="3760" spans="1:26" x14ac:dyDescent="0.2">
      <c r="A3760" s="45">
        <v>643</v>
      </c>
      <c r="B3760" s="45">
        <v>1999</v>
      </c>
      <c r="C3760" s="17">
        <v>0</v>
      </c>
      <c r="D3760" s="14">
        <v>-5.4603999999999998E-3</v>
      </c>
      <c r="E3760" s="14">
        <v>0.17324249999999999</v>
      </c>
      <c r="F3760" s="14">
        <v>4.0230200000000001E-2</v>
      </c>
      <c r="G3760" s="14">
        <v>0.48307840000000002</v>
      </c>
      <c r="H3760" s="14">
        <v>0.30532239999999999</v>
      </c>
      <c r="R3760" s="11">
        <f t="shared" si="118"/>
        <v>2.0094514274900669E-2</v>
      </c>
      <c r="Z3760" s="11">
        <f t="shared" si="117"/>
        <v>2.5741030753889057E-2</v>
      </c>
    </row>
    <row r="3761" spans="1:26" x14ac:dyDescent="0.2">
      <c r="A3761" s="45">
        <v>643</v>
      </c>
      <c r="B3761" s="45">
        <v>2000</v>
      </c>
      <c r="C3761" s="17">
        <v>0</v>
      </c>
      <c r="D3761" s="14">
        <v>-2.6470799999999999E-2</v>
      </c>
      <c r="E3761" s="14">
        <v>0.1857142</v>
      </c>
      <c r="F3761" s="14">
        <v>3.6605499999999999E-2</v>
      </c>
      <c r="G3761" s="14">
        <v>0.4667733</v>
      </c>
      <c r="H3761" s="14">
        <v>0.27915180000000001</v>
      </c>
      <c r="R3761" s="11">
        <f t="shared" si="118"/>
        <v>2.0832968770682442E-2</v>
      </c>
      <c r="Z3761" s="11">
        <f t="shared" si="117"/>
        <v>2.6624664691071335E-2</v>
      </c>
    </row>
    <row r="3762" spans="1:26" x14ac:dyDescent="0.2">
      <c r="A3762" s="45">
        <v>643</v>
      </c>
      <c r="B3762" s="45">
        <v>2001</v>
      </c>
      <c r="C3762" s="17">
        <v>0</v>
      </c>
      <c r="D3762" s="14">
        <v>-6.5504900000000005E-2</v>
      </c>
      <c r="E3762" s="14">
        <v>0.16499929999999999</v>
      </c>
      <c r="F3762" s="14">
        <v>-2.5936000000000002E-3</v>
      </c>
      <c r="G3762" s="14">
        <v>0.20949760000000001</v>
      </c>
      <c r="H3762" s="14">
        <v>0.20617920000000001</v>
      </c>
      <c r="R3762" s="11">
        <f t="shared" si="118"/>
        <v>4.3251999023333654E-2</v>
      </c>
      <c r="Z3762" s="11">
        <f t="shared" si="117"/>
        <v>5.3532951974063971E-2</v>
      </c>
    </row>
    <row r="3763" spans="1:26" x14ac:dyDescent="0.2">
      <c r="A3763" s="45">
        <v>643</v>
      </c>
      <c r="B3763" s="45">
        <v>2002</v>
      </c>
      <c r="C3763" s="17">
        <v>0</v>
      </c>
      <c r="D3763" s="14">
        <v>-3.2517600000000001E-2</v>
      </c>
      <c r="E3763" s="14">
        <v>6.8325700000000003E-2</v>
      </c>
      <c r="F3763" s="14">
        <v>1.26283E-2</v>
      </c>
      <c r="G3763" s="14">
        <v>7.8523099999999998E-2</v>
      </c>
      <c r="H3763" s="14">
        <v>0.22494249999999999</v>
      </c>
      <c r="R3763" s="11">
        <f t="shared" si="118"/>
        <v>5.3708882950776242E-2</v>
      </c>
      <c r="Z3763" s="11">
        <f t="shared" si="117"/>
        <v>6.70529372918999E-2</v>
      </c>
    </row>
    <row r="3764" spans="1:26" x14ac:dyDescent="0.2">
      <c r="A3764" s="45">
        <v>643</v>
      </c>
      <c r="B3764" s="45">
        <v>2003</v>
      </c>
      <c r="C3764" s="17">
        <v>0</v>
      </c>
      <c r="D3764" s="14">
        <v>8.6999E-3</v>
      </c>
      <c r="E3764" s="14">
        <v>8.4249500000000005E-2</v>
      </c>
      <c r="F3764" s="14">
        <v>3.3212800000000001E-2</v>
      </c>
      <c r="G3764" s="14">
        <v>0.15488669999999999</v>
      </c>
      <c r="H3764" s="14">
        <v>0.241954</v>
      </c>
      <c r="R3764" s="11">
        <f t="shared" si="118"/>
        <v>3.9983844984720511E-2</v>
      </c>
      <c r="Z3764" s="11">
        <f t="shared" si="117"/>
        <v>5.0852663483900828E-2</v>
      </c>
    </row>
    <row r="3765" spans="1:26" x14ac:dyDescent="0.2">
      <c r="A3765" s="45">
        <v>643</v>
      </c>
      <c r="B3765" s="45">
        <v>2004</v>
      </c>
      <c r="C3765" s="17">
        <v>0</v>
      </c>
      <c r="D3765" s="14">
        <v>-8.9219E-3</v>
      </c>
      <c r="E3765" s="14">
        <v>2.3255899999999999E-2</v>
      </c>
      <c r="F3765" s="14">
        <v>2.69538E-2</v>
      </c>
      <c r="G3765" s="14">
        <v>0.1256989</v>
      </c>
      <c r="H3765" s="14">
        <v>0.26919969999999999</v>
      </c>
      <c r="R3765" s="11">
        <f t="shared" si="118"/>
        <v>4.7733610734354309E-2</v>
      </c>
      <c r="Z3765" s="11">
        <f t="shared" si="117"/>
        <v>6.0202851281187644E-2</v>
      </c>
    </row>
    <row r="3766" spans="1:26" x14ac:dyDescent="0.2">
      <c r="A3766" s="45">
        <v>644</v>
      </c>
      <c r="B3766" s="45">
        <v>1995</v>
      </c>
      <c r="C3766" s="17">
        <v>0</v>
      </c>
      <c r="D3766" s="14">
        <v>0.28838429999999998</v>
      </c>
      <c r="E3766" s="14">
        <v>0.2772927</v>
      </c>
      <c r="F3766" s="14">
        <v>9.0475899999999998E-2</v>
      </c>
      <c r="G3766" s="14">
        <v>1.851078</v>
      </c>
      <c r="H3766" s="14">
        <v>0.35577530000000002</v>
      </c>
      <c r="R3766" s="11">
        <f t="shared" si="118"/>
        <v>1.3313162102090554E-3</v>
      </c>
      <c r="Z3766" s="11">
        <f t="shared" si="117"/>
        <v>1.7398604497442208E-3</v>
      </c>
    </row>
    <row r="3767" spans="1:26" x14ac:dyDescent="0.2">
      <c r="A3767" s="45">
        <v>644</v>
      </c>
      <c r="B3767" s="45">
        <v>1996</v>
      </c>
      <c r="C3767" s="17">
        <v>0</v>
      </c>
      <c r="D3767" s="14">
        <v>0.3303836</v>
      </c>
      <c r="E3767" s="14">
        <v>0.34449380000000002</v>
      </c>
      <c r="F3767" s="14">
        <v>8.0733100000000002E-2</v>
      </c>
      <c r="G3767" s="14">
        <v>1.2982229999999999</v>
      </c>
      <c r="H3767" s="14">
        <v>0.3679694</v>
      </c>
      <c r="R3767" s="11">
        <f t="shared" si="118"/>
        <v>3.1443241991012329E-3</v>
      </c>
      <c r="Z3767" s="11">
        <f t="shared" si="117"/>
        <v>4.1335803830743582E-3</v>
      </c>
    </row>
    <row r="3768" spans="1:26" x14ac:dyDescent="0.2">
      <c r="A3768" s="45">
        <v>644</v>
      </c>
      <c r="B3768" s="45">
        <v>1997</v>
      </c>
      <c r="C3768" s="17">
        <v>0</v>
      </c>
      <c r="D3768" s="14">
        <v>0.2247798</v>
      </c>
      <c r="E3768" s="14">
        <v>0.3337851</v>
      </c>
      <c r="F3768" s="14">
        <v>8.6459599999999998E-2</v>
      </c>
      <c r="G3768" s="14">
        <v>2.0134789999999998</v>
      </c>
      <c r="H3768" s="14">
        <v>0.33007229999999999</v>
      </c>
      <c r="R3768" s="11">
        <f t="shared" si="118"/>
        <v>9.7795274297584277E-4</v>
      </c>
      <c r="Z3768" s="11">
        <f t="shared" si="117"/>
        <v>1.271917596700721E-3</v>
      </c>
    </row>
    <row r="3769" spans="1:26" x14ac:dyDescent="0.2">
      <c r="A3769" s="45">
        <v>644</v>
      </c>
      <c r="B3769" s="45">
        <v>1998</v>
      </c>
      <c r="C3769" s="17">
        <v>0</v>
      </c>
      <c r="D3769" s="14">
        <v>0.1424213</v>
      </c>
      <c r="E3769" s="14">
        <v>0.31287599999999999</v>
      </c>
      <c r="F3769" s="14">
        <v>4.4859400000000001E-2</v>
      </c>
      <c r="G3769" s="14">
        <v>1.1171759999999999</v>
      </c>
      <c r="H3769" s="14">
        <v>0.22102869999999999</v>
      </c>
      <c r="R3769" s="11">
        <f t="shared" si="118"/>
        <v>5.8377047564956569E-3</v>
      </c>
      <c r="Z3769" s="11">
        <f t="shared" si="117"/>
        <v>7.4687755335859788E-3</v>
      </c>
    </row>
    <row r="3770" spans="1:26" x14ac:dyDescent="0.2">
      <c r="A3770" s="45">
        <v>644</v>
      </c>
      <c r="B3770" s="45">
        <v>1999</v>
      </c>
      <c r="C3770" s="17">
        <v>0</v>
      </c>
      <c r="D3770" s="14">
        <v>0.14159939999999999</v>
      </c>
      <c r="E3770" s="14">
        <v>0.30041889999999999</v>
      </c>
      <c r="F3770" s="14">
        <v>5.0450599999999998E-2</v>
      </c>
      <c r="G3770" s="14">
        <v>0.56504679999999996</v>
      </c>
      <c r="H3770" s="14">
        <v>0.2016319</v>
      </c>
      <c r="R3770" s="11">
        <f t="shared" si="118"/>
        <v>1.3595812787976648E-2</v>
      </c>
      <c r="Z3770" s="11">
        <f t="shared" si="117"/>
        <v>1.7637133136305962E-2</v>
      </c>
    </row>
    <row r="3771" spans="1:26" x14ac:dyDescent="0.2">
      <c r="A3771" s="45">
        <v>644</v>
      </c>
      <c r="B3771" s="45">
        <v>2000</v>
      </c>
      <c r="C3771" s="17">
        <v>0</v>
      </c>
      <c r="D3771" s="14">
        <v>0.13811850000000001</v>
      </c>
      <c r="E3771" s="14">
        <v>0.3160676</v>
      </c>
      <c r="F3771" s="14">
        <v>4.0139800000000003E-2</v>
      </c>
      <c r="G3771" s="14">
        <v>0.62351630000000002</v>
      </c>
      <c r="H3771" s="14">
        <v>0.21817990000000001</v>
      </c>
      <c r="R3771" s="11">
        <f t="shared" si="118"/>
        <v>1.3154393099697841E-2</v>
      </c>
      <c r="Z3771" s="11">
        <f t="shared" si="117"/>
        <v>1.691307299834334E-2</v>
      </c>
    </row>
    <row r="3772" spans="1:26" x14ac:dyDescent="0.2">
      <c r="A3772" s="45">
        <v>644</v>
      </c>
      <c r="B3772" s="45">
        <v>2001</v>
      </c>
      <c r="C3772" s="17">
        <v>0</v>
      </c>
      <c r="D3772" s="14">
        <v>0.13731280000000001</v>
      </c>
      <c r="E3772" s="14">
        <v>0.34088499999999999</v>
      </c>
      <c r="F3772" s="14">
        <v>6.4322000000000004E-2</v>
      </c>
      <c r="G3772" s="14">
        <v>0.82015780000000005</v>
      </c>
      <c r="H3772" s="14">
        <v>0.2219325</v>
      </c>
      <c r="R3772" s="11">
        <f t="shared" si="118"/>
        <v>7.6859592077017794E-3</v>
      </c>
      <c r="Z3772" s="11">
        <f t="shared" si="117"/>
        <v>1.0059226558301741E-2</v>
      </c>
    </row>
    <row r="3773" spans="1:26" x14ac:dyDescent="0.2">
      <c r="A3773" s="45">
        <v>644</v>
      </c>
      <c r="B3773" s="45">
        <v>2002</v>
      </c>
      <c r="C3773" s="17">
        <v>0</v>
      </c>
      <c r="D3773" s="14">
        <v>0.14780979999999999</v>
      </c>
      <c r="E3773" s="14">
        <v>0.345995</v>
      </c>
      <c r="F3773" s="14">
        <v>1.8068600000000001E-2</v>
      </c>
      <c r="G3773" s="14">
        <v>0.4975058</v>
      </c>
      <c r="H3773" s="14">
        <v>0.2486129</v>
      </c>
      <c r="R3773" s="11">
        <f t="shared" si="118"/>
        <v>1.8272538444295817E-2</v>
      </c>
      <c r="Z3773" s="11">
        <f t="shared" si="117"/>
        <v>2.3133724056185922E-2</v>
      </c>
    </row>
    <row r="3774" spans="1:26" x14ac:dyDescent="0.2">
      <c r="A3774" s="45">
        <v>644</v>
      </c>
      <c r="B3774" s="45">
        <v>2003</v>
      </c>
      <c r="C3774" s="17">
        <v>0</v>
      </c>
      <c r="D3774" s="14">
        <v>0.2798139</v>
      </c>
      <c r="E3774" s="14">
        <v>0.31769219999999998</v>
      </c>
      <c r="F3774" s="14">
        <v>7.6353599999999994E-2</v>
      </c>
      <c r="G3774" s="14">
        <v>0.68987270000000001</v>
      </c>
      <c r="H3774" s="14">
        <v>0.28923969999999999</v>
      </c>
      <c r="R3774" s="11">
        <f t="shared" si="118"/>
        <v>8.8755347159019688E-3</v>
      </c>
      <c r="Z3774" s="11">
        <f t="shared" si="117"/>
        <v>1.1749615692349348E-2</v>
      </c>
    </row>
    <row r="3775" spans="1:26" x14ac:dyDescent="0.2">
      <c r="A3775" s="45">
        <v>645</v>
      </c>
      <c r="B3775" s="45">
        <v>1995</v>
      </c>
      <c r="C3775" s="17">
        <v>0</v>
      </c>
      <c r="D3775" s="14">
        <v>0.27011059999999998</v>
      </c>
      <c r="E3775" s="14">
        <v>0.33441779999999999</v>
      </c>
      <c r="F3775" s="14">
        <v>6.2741599999999995E-2</v>
      </c>
      <c r="G3775" s="14">
        <v>1.9227639999999999</v>
      </c>
      <c r="H3775" s="14">
        <v>0.4296239</v>
      </c>
      <c r="R3775" s="11">
        <f t="shared" si="118"/>
        <v>1.3643578036438753E-3</v>
      </c>
      <c r="Z3775" s="11">
        <f t="shared" si="117"/>
        <v>1.7436760902349488E-3</v>
      </c>
    </row>
    <row r="3776" spans="1:26" x14ac:dyDescent="0.2">
      <c r="A3776" s="45">
        <v>645</v>
      </c>
      <c r="B3776" s="45">
        <v>1996</v>
      </c>
      <c r="C3776" s="17">
        <v>0</v>
      </c>
      <c r="D3776" s="14">
        <v>0.24523339999999999</v>
      </c>
      <c r="E3776" s="14">
        <v>0.3328025</v>
      </c>
      <c r="F3776" s="14">
        <v>3.2010700000000003E-2</v>
      </c>
      <c r="G3776" s="14">
        <v>2.3198910000000001</v>
      </c>
      <c r="H3776" s="14">
        <v>0.29501080000000002</v>
      </c>
      <c r="R3776" s="11">
        <f t="shared" si="118"/>
        <v>9.2906862098404307E-4</v>
      </c>
      <c r="Z3776" s="11">
        <f t="shared" si="117"/>
        <v>1.1478713576923171E-3</v>
      </c>
    </row>
    <row r="3777" spans="1:26" x14ac:dyDescent="0.2">
      <c r="A3777" s="45">
        <v>645</v>
      </c>
      <c r="B3777" s="45">
        <v>1997</v>
      </c>
      <c r="C3777" s="17">
        <v>0</v>
      </c>
      <c r="D3777" s="14">
        <v>0.37270639999999999</v>
      </c>
      <c r="E3777" s="14">
        <v>0.44337579999999999</v>
      </c>
      <c r="F3777" s="14">
        <v>5.3031000000000002E-2</v>
      </c>
      <c r="G3777" s="14">
        <v>3.5749360000000001</v>
      </c>
      <c r="H3777" s="14">
        <v>0.2383846</v>
      </c>
      <c r="R3777" s="11">
        <f t="shared" si="118"/>
        <v>9.0565251019472458E-5</v>
      </c>
      <c r="Z3777" s="11">
        <f t="shared" si="117"/>
        <v>1.1117811250280305E-4</v>
      </c>
    </row>
    <row r="3778" spans="1:26" x14ac:dyDescent="0.2">
      <c r="A3778" s="45">
        <v>645</v>
      </c>
      <c r="B3778" s="45">
        <v>1998</v>
      </c>
      <c r="C3778" s="17">
        <v>0</v>
      </c>
      <c r="D3778" s="14">
        <v>0.26380029999999999</v>
      </c>
      <c r="E3778" s="14">
        <v>0.47626109999999999</v>
      </c>
      <c r="F3778" s="14">
        <v>5.0919899999999997E-2</v>
      </c>
      <c r="G3778" s="14">
        <v>7.1079020000000002</v>
      </c>
      <c r="H3778" s="14">
        <v>0.21553520000000001</v>
      </c>
      <c r="R3778" s="11">
        <f t="shared" si="118"/>
        <v>3.1509459021272017E-7</v>
      </c>
      <c r="Z3778" s="11">
        <f t="shared" ref="Z3778:Z3841" si="119">1/(1+EXP(-(U$2+$V$2*E3778+$W$2*F3778+$X$2*G3778)))</f>
        <v>3.5764917394784961E-7</v>
      </c>
    </row>
    <row r="3779" spans="1:26" x14ac:dyDescent="0.2">
      <c r="A3779" s="45">
        <v>645</v>
      </c>
      <c r="B3779" s="45">
        <v>1999</v>
      </c>
      <c r="C3779" s="17">
        <v>0</v>
      </c>
      <c r="D3779" s="14">
        <v>0.26150610000000002</v>
      </c>
      <c r="E3779" s="14">
        <v>0.53135259999999995</v>
      </c>
      <c r="F3779" s="14">
        <v>6.3347799999999996E-2</v>
      </c>
      <c r="G3779" s="14">
        <v>13.18305</v>
      </c>
      <c r="H3779" s="14">
        <v>0.1992042</v>
      </c>
      <c r="R3779" s="11">
        <f t="shared" si="118"/>
        <v>1.6441228469383672E-11</v>
      </c>
      <c r="Z3779" s="11">
        <f t="shared" si="119"/>
        <v>1.6523184643263486E-11</v>
      </c>
    </row>
    <row r="3780" spans="1:26" x14ac:dyDescent="0.2">
      <c r="A3780" s="45">
        <v>645</v>
      </c>
      <c r="B3780" s="45">
        <v>2000</v>
      </c>
      <c r="C3780" s="17">
        <v>0</v>
      </c>
      <c r="D3780" s="14">
        <v>0.3149325</v>
      </c>
      <c r="E3780" s="14">
        <v>0.59083209999999997</v>
      </c>
      <c r="F3780" s="14">
        <v>7.9648300000000005E-2</v>
      </c>
      <c r="G3780" s="14">
        <v>16.01388</v>
      </c>
      <c r="H3780" s="14">
        <v>0.19251589999999999</v>
      </c>
      <c r="R3780" s="11">
        <f t="shared" si="118"/>
        <v>1.4539875530314571E-13</v>
      </c>
      <c r="Z3780" s="11">
        <f t="shared" si="119"/>
        <v>1.3942321887597118E-13</v>
      </c>
    </row>
    <row r="3781" spans="1:26" x14ac:dyDescent="0.2">
      <c r="A3781" s="45">
        <v>645</v>
      </c>
      <c r="B3781" s="45">
        <v>2001</v>
      </c>
      <c r="C3781" s="17">
        <v>0</v>
      </c>
      <c r="D3781" s="14">
        <v>0.30424390000000001</v>
      </c>
      <c r="E3781" s="14">
        <v>0.62268869999999998</v>
      </c>
      <c r="F3781" s="14">
        <v>1.82405E-2</v>
      </c>
      <c r="G3781" s="14">
        <v>12.463480000000001</v>
      </c>
      <c r="H3781" s="14">
        <v>0.1397439</v>
      </c>
      <c r="R3781" s="11">
        <f t="shared" si="118"/>
        <v>6.5007724207102265E-11</v>
      </c>
      <c r="Z3781" s="11">
        <f t="shared" si="119"/>
        <v>6.4166460889477066E-11</v>
      </c>
    </row>
    <row r="3782" spans="1:26" x14ac:dyDescent="0.2">
      <c r="A3782" s="45">
        <v>645</v>
      </c>
      <c r="B3782" s="45">
        <v>2002</v>
      </c>
      <c r="C3782" s="17">
        <v>0</v>
      </c>
      <c r="D3782" s="14">
        <v>0.3132781</v>
      </c>
      <c r="E3782" s="14">
        <v>0.59021500000000005</v>
      </c>
      <c r="F3782" s="14">
        <v>3.4065699999999997E-2</v>
      </c>
      <c r="G3782" s="14">
        <v>6.6206779999999998</v>
      </c>
      <c r="H3782" s="14">
        <v>0.1728614</v>
      </c>
      <c r="R3782" s="11">
        <f t="shared" si="118"/>
        <v>6.6410236433019676E-7</v>
      </c>
      <c r="Z3782" s="11">
        <f t="shared" si="119"/>
        <v>7.5440984599545785E-7</v>
      </c>
    </row>
    <row r="3783" spans="1:26" x14ac:dyDescent="0.2">
      <c r="A3783" s="45">
        <v>645</v>
      </c>
      <c r="B3783" s="45">
        <v>2003</v>
      </c>
      <c r="C3783" s="17">
        <v>0</v>
      </c>
      <c r="D3783" s="14">
        <v>0.38327689999999998</v>
      </c>
      <c r="E3783" s="14">
        <v>0.62261619999999995</v>
      </c>
      <c r="F3783" s="14">
        <v>6.0821600000000003E-2</v>
      </c>
      <c r="G3783" s="14">
        <v>13.97195</v>
      </c>
      <c r="H3783" s="14">
        <v>0.21630940000000001</v>
      </c>
      <c r="R3783" s="11">
        <f t="shared" si="118"/>
        <v>4.1791743565779538E-12</v>
      </c>
      <c r="Z3783" s="11">
        <f t="shared" si="119"/>
        <v>4.1320388569738705E-12</v>
      </c>
    </row>
    <row r="3784" spans="1:26" x14ac:dyDescent="0.2">
      <c r="A3784" s="45">
        <v>645</v>
      </c>
      <c r="B3784" s="45">
        <v>2004</v>
      </c>
      <c r="C3784" s="17">
        <v>0</v>
      </c>
      <c r="D3784" s="14">
        <v>0.53690470000000001</v>
      </c>
      <c r="E3784" s="14">
        <v>0.70948670000000003</v>
      </c>
      <c r="F3784" s="14">
        <v>6.29609E-2</v>
      </c>
      <c r="G3784" s="14">
        <v>13.18197</v>
      </c>
      <c r="H3784" s="14">
        <v>0.23680480000000001</v>
      </c>
      <c r="R3784" s="11">
        <f t="shared" si="118"/>
        <v>1.2750842772259039E-11</v>
      </c>
      <c r="Z3784" s="11">
        <f t="shared" si="119"/>
        <v>1.2889102646922501E-11</v>
      </c>
    </row>
    <row r="3785" spans="1:26" x14ac:dyDescent="0.2">
      <c r="A3785" s="45">
        <v>646</v>
      </c>
      <c r="B3785" s="45">
        <v>1998</v>
      </c>
      <c r="C3785" s="17">
        <v>0</v>
      </c>
      <c r="D3785" s="14">
        <v>-5.9847699999999997E-2</v>
      </c>
      <c r="E3785" s="14">
        <v>7.0029900000000006E-2</v>
      </c>
      <c r="F3785" s="14">
        <v>4.6042E-2</v>
      </c>
      <c r="G3785" s="14">
        <v>0.45212629999999998</v>
      </c>
      <c r="H3785" s="14">
        <v>0.14251920000000001</v>
      </c>
      <c r="R3785" s="11">
        <f t="shared" si="118"/>
        <v>2.333703903502141E-2</v>
      </c>
      <c r="Z3785" s="11">
        <f t="shared" si="119"/>
        <v>2.9922254633186859E-2</v>
      </c>
    </row>
    <row r="3786" spans="1:26" x14ac:dyDescent="0.2">
      <c r="A3786" s="45">
        <v>646</v>
      </c>
      <c r="B3786" s="45">
        <v>1999</v>
      </c>
      <c r="C3786" s="17">
        <v>0</v>
      </c>
      <c r="D3786" s="14">
        <v>-9.0907299999999996E-2</v>
      </c>
      <c r="E3786" s="14">
        <v>7.3994199999999996E-2</v>
      </c>
      <c r="F3786" s="14">
        <v>3.5249900000000001E-2</v>
      </c>
      <c r="G3786" s="14">
        <v>0.34033059999999998</v>
      </c>
      <c r="H3786" s="14">
        <v>0.1426404</v>
      </c>
      <c r="R3786" s="11">
        <f t="shared" si="118"/>
        <v>3.00209091003612E-2</v>
      </c>
      <c r="Z3786" s="11">
        <f t="shared" si="119"/>
        <v>3.8187813375758918E-2</v>
      </c>
    </row>
    <row r="3787" spans="1:26" x14ac:dyDescent="0.2">
      <c r="A3787" s="45">
        <v>646</v>
      </c>
      <c r="B3787" s="45">
        <v>2000</v>
      </c>
      <c r="C3787" s="17">
        <v>0</v>
      </c>
      <c r="D3787" s="14">
        <v>-7.6828099999999996E-2</v>
      </c>
      <c r="E3787" s="14">
        <v>6.0937199999999997E-2</v>
      </c>
      <c r="F3787" s="14">
        <v>3.72298E-2</v>
      </c>
      <c r="G3787" s="14">
        <v>0.32808389999999998</v>
      </c>
      <c r="H3787" s="14">
        <v>0.18449960000000001</v>
      </c>
      <c r="R3787" s="11">
        <f t="shared" si="118"/>
        <v>3.0687955861226614E-2</v>
      </c>
      <c r="Z3787" s="11">
        <f t="shared" si="119"/>
        <v>3.9083256698062223E-2</v>
      </c>
    </row>
    <row r="3788" spans="1:26" x14ac:dyDescent="0.2">
      <c r="A3788" s="45">
        <v>646</v>
      </c>
      <c r="B3788" s="45">
        <v>2002</v>
      </c>
      <c r="C3788" s="17">
        <v>0</v>
      </c>
      <c r="D3788" s="14">
        <v>-7.8629000000000008E-3</v>
      </c>
      <c r="E3788" s="14">
        <v>-8.8228000000000001E-2</v>
      </c>
      <c r="F3788" s="14">
        <v>3.4123800000000003E-2</v>
      </c>
      <c r="G3788" s="14">
        <v>0.25465130000000002</v>
      </c>
      <c r="H3788" s="14">
        <v>0.10257810000000001</v>
      </c>
      <c r="R3788" s="11">
        <f t="shared" si="118"/>
        <v>4.3357079383787585E-2</v>
      </c>
      <c r="Z3788" s="11">
        <f t="shared" si="119"/>
        <v>5.4708243475931083E-2</v>
      </c>
    </row>
    <row r="3789" spans="1:26" x14ac:dyDescent="0.2">
      <c r="A3789" s="45">
        <v>646</v>
      </c>
      <c r="B3789" s="45">
        <v>2003</v>
      </c>
      <c r="C3789" s="17">
        <v>0</v>
      </c>
      <c r="D3789" s="14">
        <v>1.76048E-2</v>
      </c>
      <c r="E3789" s="14">
        <v>-5.1024699999999999E-2</v>
      </c>
      <c r="F3789" s="14">
        <v>3.1599299999999997E-2</v>
      </c>
      <c r="G3789" s="14">
        <v>0.31660369999999999</v>
      </c>
      <c r="H3789" s="14">
        <v>9.8746100000000003E-2</v>
      </c>
      <c r="R3789" s="11">
        <f t="shared" si="118"/>
        <v>3.8177340563921421E-2</v>
      </c>
      <c r="Z3789" s="11">
        <f t="shared" si="119"/>
        <v>4.8141795302139148E-2</v>
      </c>
    </row>
    <row r="3790" spans="1:26" x14ac:dyDescent="0.2">
      <c r="A3790" s="45">
        <v>646</v>
      </c>
      <c r="B3790" s="45">
        <v>2004</v>
      </c>
      <c r="C3790" s="17">
        <v>0</v>
      </c>
      <c r="D3790" s="14">
        <v>-9.1059000000000001E-3</v>
      </c>
      <c r="E3790" s="14">
        <v>-8.0537800000000007E-2</v>
      </c>
      <c r="F3790" s="14">
        <v>4.85458E-2</v>
      </c>
      <c r="G3790" s="14">
        <v>0.8699498</v>
      </c>
      <c r="H3790" s="14">
        <v>0.1292037</v>
      </c>
      <c r="R3790" s="11">
        <f t="shared" si="118"/>
        <v>1.4758894466307381E-2</v>
      </c>
      <c r="Z3790" s="11">
        <f t="shared" si="119"/>
        <v>1.8742819174517384E-2</v>
      </c>
    </row>
    <row r="3791" spans="1:26" x14ac:dyDescent="0.2">
      <c r="A3791" s="45">
        <v>647</v>
      </c>
      <c r="B3791" s="45">
        <v>1995</v>
      </c>
      <c r="C3791" s="17">
        <v>0</v>
      </c>
      <c r="D3791" s="14">
        <v>6.5278100000000006E-2</v>
      </c>
      <c r="E3791" s="14">
        <v>-0.28255409999999997</v>
      </c>
      <c r="F3791" s="14">
        <v>6.6016699999999998E-2</v>
      </c>
      <c r="G3791" s="14">
        <v>0.27736329999999998</v>
      </c>
      <c r="H3791" s="14">
        <v>0.58875299999999997</v>
      </c>
      <c r="R3791" s="11">
        <f t="shared" si="118"/>
        <v>4.2995486842842032E-2</v>
      </c>
      <c r="Z3791" s="11">
        <f t="shared" si="119"/>
        <v>5.5239648888934623E-2</v>
      </c>
    </row>
    <row r="3792" spans="1:26" x14ac:dyDescent="0.2">
      <c r="A3792" s="45">
        <v>647</v>
      </c>
      <c r="B3792" s="45">
        <v>1996</v>
      </c>
      <c r="C3792" s="17">
        <v>0</v>
      </c>
      <c r="D3792" s="14">
        <v>0.27020080000000002</v>
      </c>
      <c r="E3792" s="14">
        <v>-0.37780930000000001</v>
      </c>
      <c r="F3792" s="14">
        <v>5.5365999999999999E-2</v>
      </c>
      <c r="G3792" s="14">
        <v>0.19903499999999999</v>
      </c>
      <c r="H3792" s="14">
        <v>0.4998358</v>
      </c>
      <c r="R3792" s="11">
        <f t="shared" si="118"/>
        <v>5.9850404380566311E-2</v>
      </c>
      <c r="Z3792" s="11">
        <f t="shared" si="119"/>
        <v>7.5788200166572631E-2</v>
      </c>
    </row>
    <row r="3793" spans="1:26" x14ac:dyDescent="0.2">
      <c r="A3793" s="45">
        <v>647</v>
      </c>
      <c r="B3793" s="45">
        <v>1997</v>
      </c>
      <c r="C3793" s="17">
        <v>1</v>
      </c>
      <c r="D3793" s="14">
        <v>0.29284559999999998</v>
      </c>
      <c r="E3793" s="14">
        <v>-0.44408720000000002</v>
      </c>
      <c r="F3793" s="14">
        <v>6.3220499999999999E-2</v>
      </c>
      <c r="G3793" s="14">
        <v>0.40916530000000001</v>
      </c>
      <c r="H3793" s="14">
        <v>0.53672520000000001</v>
      </c>
      <c r="R3793" s="11">
        <f t="shared" si="118"/>
        <v>4.4980082093382244E-2</v>
      </c>
      <c r="Z3793" s="11">
        <f t="shared" si="119"/>
        <v>5.7174078322075134E-2</v>
      </c>
    </row>
    <row r="3794" spans="1:26" x14ac:dyDescent="0.2">
      <c r="A3794" s="45">
        <v>648</v>
      </c>
      <c r="B3794" s="45">
        <v>1995</v>
      </c>
      <c r="C3794" s="17">
        <v>0</v>
      </c>
      <c r="D3794" s="14">
        <v>0.38436310000000001</v>
      </c>
      <c r="E3794" s="14">
        <v>0.1798109</v>
      </c>
      <c r="F3794" s="14">
        <v>6.0933899999999999E-2</v>
      </c>
      <c r="G3794" s="14">
        <v>1.896501</v>
      </c>
      <c r="H3794" s="14">
        <v>0.2178745</v>
      </c>
      <c r="R3794" s="11">
        <f t="shared" si="118"/>
        <v>1.8064347570493336E-3</v>
      </c>
      <c r="Z3794" s="11">
        <f t="shared" si="119"/>
        <v>2.2941337608555737E-3</v>
      </c>
    </row>
    <row r="3795" spans="1:26" x14ac:dyDescent="0.2">
      <c r="A3795" s="45">
        <v>648</v>
      </c>
      <c r="B3795" s="45">
        <v>1996</v>
      </c>
      <c r="C3795" s="17">
        <v>0</v>
      </c>
      <c r="D3795" s="14">
        <v>0.4606497</v>
      </c>
      <c r="E3795" s="14">
        <v>0.19294500000000001</v>
      </c>
      <c r="F3795" s="14">
        <v>4.8865400000000003E-2</v>
      </c>
      <c r="G3795" s="14">
        <v>1.855289</v>
      </c>
      <c r="H3795" s="14">
        <v>0.18124779999999999</v>
      </c>
      <c r="R3795" s="11">
        <f t="shared" si="118"/>
        <v>2.0837972984294991E-3</v>
      </c>
      <c r="Z3795" s="11">
        <f t="shared" si="119"/>
        <v>2.6237502721254851E-3</v>
      </c>
    </row>
    <row r="3796" spans="1:26" x14ac:dyDescent="0.2">
      <c r="A3796" s="45">
        <v>648</v>
      </c>
      <c r="B3796" s="45">
        <v>1997</v>
      </c>
      <c r="C3796" s="17">
        <v>0</v>
      </c>
      <c r="D3796" s="14">
        <v>0.3770983</v>
      </c>
      <c r="E3796" s="14">
        <v>0.19619300000000001</v>
      </c>
      <c r="F3796" s="14">
        <v>5.4261299999999998E-2</v>
      </c>
      <c r="G3796" s="14">
        <v>1.8621780000000001</v>
      </c>
      <c r="H3796" s="14">
        <v>0.19344410000000001</v>
      </c>
      <c r="R3796" s="11">
        <f t="shared" si="118"/>
        <v>1.9649129113365519E-3</v>
      </c>
      <c r="Z3796" s="11">
        <f t="shared" si="119"/>
        <v>2.4849770056880214E-3</v>
      </c>
    </row>
    <row r="3797" spans="1:26" x14ac:dyDescent="0.2">
      <c r="A3797" s="45">
        <v>648</v>
      </c>
      <c r="B3797" s="45">
        <v>1998</v>
      </c>
      <c r="C3797" s="17">
        <v>0</v>
      </c>
      <c r="D3797" s="14">
        <v>0.36676769999999997</v>
      </c>
      <c r="E3797" s="14">
        <v>0.2122339</v>
      </c>
      <c r="F3797" s="14">
        <v>3.6586E-2</v>
      </c>
      <c r="G3797" s="14">
        <v>0.68333290000000002</v>
      </c>
      <c r="H3797" s="14">
        <v>0.1851411</v>
      </c>
      <c r="R3797" s="11">
        <f t="shared" si="118"/>
        <v>1.4291752298251609E-2</v>
      </c>
      <c r="Z3797" s="11">
        <f t="shared" si="119"/>
        <v>1.8229436211414558E-2</v>
      </c>
    </row>
    <row r="3798" spans="1:26" x14ac:dyDescent="0.2">
      <c r="A3798" s="45">
        <v>648</v>
      </c>
      <c r="B3798" s="45">
        <v>1999</v>
      </c>
      <c r="C3798" s="17">
        <v>0</v>
      </c>
      <c r="D3798" s="14">
        <v>0.31420389999999998</v>
      </c>
      <c r="E3798" s="14">
        <v>0.21333940000000001</v>
      </c>
      <c r="F3798" s="14">
        <v>3.3157399999999997E-2</v>
      </c>
      <c r="G3798" s="14">
        <v>0.79392739999999995</v>
      </c>
      <c r="H3798" s="14">
        <v>0.15403359999999999</v>
      </c>
      <c r="R3798" s="11">
        <f t="shared" si="118"/>
        <v>1.2320394181271691E-2</v>
      </c>
      <c r="Z3798" s="11">
        <f t="shared" si="119"/>
        <v>1.5643193464779086E-2</v>
      </c>
    </row>
    <row r="3799" spans="1:26" x14ac:dyDescent="0.2">
      <c r="A3799" s="45">
        <v>648</v>
      </c>
      <c r="B3799" s="45">
        <v>2000</v>
      </c>
      <c r="C3799" s="17">
        <v>0</v>
      </c>
      <c r="D3799" s="14">
        <v>0.39518700000000001</v>
      </c>
      <c r="E3799" s="14">
        <v>0.22503899999999999</v>
      </c>
      <c r="F3799" s="14">
        <v>3.7066300000000003E-2</v>
      </c>
      <c r="G3799" s="14">
        <v>2.2502580000000001</v>
      </c>
      <c r="H3799" s="14">
        <v>0.14605029999999999</v>
      </c>
      <c r="R3799" s="11">
        <f t="shared" ref="R3799:R3862" si="120">1/(1+EXP(-(K$2+$M$2*E3799+$N$2*F3799+$O$2*G3799)))</f>
        <v>1.1657998265855564E-3</v>
      </c>
      <c r="Z3799" s="11">
        <f t="shared" si="119"/>
        <v>1.4431300405065553E-3</v>
      </c>
    </row>
    <row r="3800" spans="1:26" x14ac:dyDescent="0.2">
      <c r="A3800" s="45">
        <v>648</v>
      </c>
      <c r="B3800" s="45">
        <v>2001</v>
      </c>
      <c r="C3800" s="17">
        <v>0</v>
      </c>
      <c r="D3800" s="14">
        <v>0.25405139999999998</v>
      </c>
      <c r="E3800" s="14">
        <v>0.1325268</v>
      </c>
      <c r="F3800" s="14">
        <v>4.2586499999999999E-2</v>
      </c>
      <c r="G3800" s="14">
        <v>2.2406280000000001</v>
      </c>
      <c r="H3800" s="14">
        <v>0.18105879999999999</v>
      </c>
      <c r="R3800" s="11">
        <f t="shared" si="120"/>
        <v>1.2956104584249427E-3</v>
      </c>
      <c r="Z3800" s="11">
        <f t="shared" si="119"/>
        <v>1.6062809513404394E-3</v>
      </c>
    </row>
    <row r="3801" spans="1:26" x14ac:dyDescent="0.2">
      <c r="A3801" s="45">
        <v>648</v>
      </c>
      <c r="B3801" s="45">
        <v>2002</v>
      </c>
      <c r="C3801" s="17">
        <v>0</v>
      </c>
      <c r="D3801" s="14">
        <v>0.2179546</v>
      </c>
      <c r="E3801" s="14">
        <v>0.25008560000000002</v>
      </c>
      <c r="F3801" s="14">
        <v>4.1457300000000002E-2</v>
      </c>
      <c r="G3801" s="14">
        <v>2.136406</v>
      </c>
      <c r="H3801" s="14">
        <v>0.1897848</v>
      </c>
      <c r="R3801" s="11">
        <f t="shared" si="120"/>
        <v>1.3010397273133878E-3</v>
      </c>
      <c r="Z3801" s="11">
        <f t="shared" si="119"/>
        <v>1.6217279845096588E-3</v>
      </c>
    </row>
    <row r="3802" spans="1:26" x14ac:dyDescent="0.2">
      <c r="A3802" s="45">
        <v>648</v>
      </c>
      <c r="B3802" s="45">
        <v>2003</v>
      </c>
      <c r="C3802" s="17">
        <v>0</v>
      </c>
      <c r="D3802" s="14">
        <v>0.24215590000000001</v>
      </c>
      <c r="E3802" s="14">
        <v>0.36864780000000003</v>
      </c>
      <c r="F3802" s="14">
        <v>6.2930399999999997E-2</v>
      </c>
      <c r="G3802" s="14">
        <v>4.1104510000000003</v>
      </c>
      <c r="H3802" s="14">
        <v>0.1871186</v>
      </c>
      <c r="R3802" s="11">
        <f t="shared" si="120"/>
        <v>3.9733632460395728E-5</v>
      </c>
      <c r="Z3802" s="11">
        <f t="shared" si="119"/>
        <v>4.8474272121637524E-5</v>
      </c>
    </row>
    <row r="3803" spans="1:26" x14ac:dyDescent="0.2">
      <c r="A3803" s="45">
        <v>648</v>
      </c>
      <c r="B3803" s="45">
        <v>2004</v>
      </c>
      <c r="C3803" s="17">
        <v>0</v>
      </c>
      <c r="D3803" s="14">
        <v>0.27898679999999998</v>
      </c>
      <c r="E3803" s="14">
        <v>0.46665580000000001</v>
      </c>
      <c r="F3803" s="14">
        <v>5.5586799999999999E-2</v>
      </c>
      <c r="G3803" s="14">
        <v>5.3396210000000002</v>
      </c>
      <c r="H3803" s="14">
        <v>0.18983810000000001</v>
      </c>
      <c r="R3803" s="11">
        <f t="shared" si="120"/>
        <v>5.1534717741688443E-6</v>
      </c>
      <c r="Z3803" s="11">
        <f t="shared" si="119"/>
        <v>6.1030306144431407E-6</v>
      </c>
    </row>
    <row r="3804" spans="1:26" x14ac:dyDescent="0.2">
      <c r="A3804" s="45">
        <v>649</v>
      </c>
      <c r="B3804" s="45">
        <v>1995</v>
      </c>
      <c r="C3804" s="17">
        <v>0</v>
      </c>
      <c r="D3804" s="14">
        <v>0.35175709999999999</v>
      </c>
      <c r="E3804" s="14">
        <v>0.14451449999999999</v>
      </c>
      <c r="F3804" s="14">
        <v>3.3826500000000002E-2</v>
      </c>
      <c r="G3804" s="14">
        <v>4.6728209999999999</v>
      </c>
      <c r="H3804" s="14">
        <v>0.16790089999999999</v>
      </c>
      <c r="R3804" s="11">
        <f t="shared" si="120"/>
        <v>2.835258121852467E-5</v>
      </c>
      <c r="Z3804" s="11">
        <f t="shared" si="119"/>
        <v>3.3103342023443982E-5</v>
      </c>
    </row>
    <row r="3805" spans="1:26" x14ac:dyDescent="0.2">
      <c r="A3805" s="45">
        <v>649</v>
      </c>
      <c r="B3805" s="45">
        <v>1996</v>
      </c>
      <c r="C3805" s="17">
        <v>0</v>
      </c>
      <c r="D3805" s="14">
        <v>0.49584089999999997</v>
      </c>
      <c r="E3805" s="14">
        <v>0.1892606</v>
      </c>
      <c r="F3805" s="14">
        <v>6.11202E-2</v>
      </c>
      <c r="G3805" s="14">
        <v>2.8825090000000002</v>
      </c>
      <c r="H3805" s="14">
        <v>0.21065410000000001</v>
      </c>
      <c r="R3805" s="11">
        <f t="shared" si="120"/>
        <v>3.7019182582892572E-4</v>
      </c>
      <c r="Z3805" s="11">
        <f t="shared" si="119"/>
        <v>4.6044035317910738E-4</v>
      </c>
    </row>
    <row r="3806" spans="1:26" x14ac:dyDescent="0.2">
      <c r="A3806" s="45">
        <v>649</v>
      </c>
      <c r="B3806" s="45">
        <v>1997</v>
      </c>
      <c r="C3806" s="17">
        <v>0</v>
      </c>
      <c r="D3806" s="14">
        <v>0.62597979999999998</v>
      </c>
      <c r="E3806" s="14">
        <v>0.24551590000000001</v>
      </c>
      <c r="F3806" s="14">
        <v>4.4768099999999998E-2</v>
      </c>
      <c r="G3806" s="14">
        <v>1.973004</v>
      </c>
      <c r="H3806" s="14">
        <v>0.1967129</v>
      </c>
      <c r="R3806" s="11">
        <f t="shared" si="120"/>
        <v>1.6542828673587089E-3</v>
      </c>
      <c r="Z3806" s="11">
        <f t="shared" si="119"/>
        <v>2.0745655287014927E-3</v>
      </c>
    </row>
    <row r="3807" spans="1:26" x14ac:dyDescent="0.2">
      <c r="A3807" s="45">
        <v>649</v>
      </c>
      <c r="B3807" s="45">
        <v>1998</v>
      </c>
      <c r="C3807" s="17">
        <v>0</v>
      </c>
      <c r="D3807" s="14">
        <v>0.45457370000000002</v>
      </c>
      <c r="E3807" s="14">
        <v>0.27892280000000003</v>
      </c>
      <c r="F3807" s="14">
        <v>4.84261E-2</v>
      </c>
      <c r="G3807" s="14">
        <v>1.3276760000000001</v>
      </c>
      <c r="H3807" s="14">
        <v>0.17285819999999999</v>
      </c>
      <c r="R3807" s="11">
        <f t="shared" si="120"/>
        <v>4.2686667124372064E-3</v>
      </c>
      <c r="Z3807" s="11">
        <f t="shared" si="119"/>
        <v>5.4481494449720742E-3</v>
      </c>
    </row>
    <row r="3808" spans="1:26" x14ac:dyDescent="0.2">
      <c r="A3808" s="45">
        <v>649</v>
      </c>
      <c r="B3808" s="45">
        <v>1999</v>
      </c>
      <c r="C3808" s="17">
        <v>0</v>
      </c>
      <c r="D3808" s="14">
        <v>0.38348989999999999</v>
      </c>
      <c r="E3808" s="14">
        <v>0.28320659999999998</v>
      </c>
      <c r="F3808" s="14">
        <v>5.0260699999999998E-2</v>
      </c>
      <c r="G3808" s="14">
        <v>1.122101</v>
      </c>
      <c r="H3808" s="14">
        <v>0.2416797</v>
      </c>
      <c r="R3808" s="11">
        <f t="shared" si="120"/>
        <v>5.7919548782522845E-3</v>
      </c>
      <c r="Z3808" s="11">
        <f t="shared" si="119"/>
        <v>7.4346656506497711E-3</v>
      </c>
    </row>
    <row r="3809" spans="1:26" x14ac:dyDescent="0.2">
      <c r="A3809" s="45">
        <v>650</v>
      </c>
      <c r="B3809" s="45">
        <v>1995</v>
      </c>
      <c r="C3809" s="17">
        <v>0</v>
      </c>
      <c r="D3809" s="14">
        <v>0.2153089</v>
      </c>
      <c r="E3809" s="14">
        <v>0.3538191</v>
      </c>
      <c r="F3809" s="14">
        <v>5.2981599999999997E-2</v>
      </c>
      <c r="G3809" s="14">
        <v>2.2678579999999999</v>
      </c>
      <c r="H3809" s="14">
        <v>0.28692289999999998</v>
      </c>
      <c r="R3809" s="11">
        <f t="shared" si="120"/>
        <v>8.2790407441278666E-4</v>
      </c>
      <c r="Z3809" s="11">
        <f t="shared" si="119"/>
        <v>1.0425651016288909E-3</v>
      </c>
    </row>
    <row r="3810" spans="1:26" x14ac:dyDescent="0.2">
      <c r="A3810" s="45">
        <v>650</v>
      </c>
      <c r="B3810" s="45">
        <v>1996</v>
      </c>
      <c r="C3810" s="17">
        <v>0</v>
      </c>
      <c r="D3810" s="14">
        <v>0.25978620000000002</v>
      </c>
      <c r="E3810" s="14">
        <v>0.30307679999999998</v>
      </c>
      <c r="F3810" s="14">
        <v>7.4061699999999994E-2</v>
      </c>
      <c r="G3810" s="14">
        <v>1.891019</v>
      </c>
      <c r="H3810" s="14">
        <v>0.27731169999999999</v>
      </c>
      <c r="R3810" s="11">
        <f t="shared" si="120"/>
        <v>1.3720213993692059E-3</v>
      </c>
      <c r="Z3810" s="11">
        <f t="shared" si="119"/>
        <v>1.7691212082212627E-3</v>
      </c>
    </row>
    <row r="3811" spans="1:26" x14ac:dyDescent="0.2">
      <c r="A3811" s="45">
        <v>650</v>
      </c>
      <c r="B3811" s="45">
        <v>1997</v>
      </c>
      <c r="C3811" s="17">
        <v>0</v>
      </c>
      <c r="D3811" s="14">
        <v>0.2170976</v>
      </c>
      <c r="E3811" s="14">
        <v>0.34846510000000003</v>
      </c>
      <c r="F3811" s="14">
        <v>6.1284699999999998E-2</v>
      </c>
      <c r="G3811" s="14">
        <v>2.4913189999999998</v>
      </c>
      <c r="H3811" s="14">
        <v>0.30764449999999999</v>
      </c>
      <c r="R3811" s="11">
        <f t="shared" si="120"/>
        <v>5.4699522763155747E-4</v>
      </c>
      <c r="Z3811" s="11">
        <f t="shared" si="119"/>
        <v>6.9004411149953531E-4</v>
      </c>
    </row>
    <row r="3812" spans="1:26" x14ac:dyDescent="0.2">
      <c r="A3812" s="45">
        <v>650</v>
      </c>
      <c r="B3812" s="45">
        <v>1998</v>
      </c>
      <c r="C3812" s="17">
        <v>0</v>
      </c>
      <c r="D3812" s="14">
        <v>0.21052129999999999</v>
      </c>
      <c r="E3812" s="14">
        <v>0.31097730000000001</v>
      </c>
      <c r="F3812" s="14">
        <v>5.3675599999999997E-2</v>
      </c>
      <c r="G3812" s="14">
        <v>1.679171</v>
      </c>
      <c r="H3812" s="14">
        <v>0.26614860000000001</v>
      </c>
      <c r="R3812" s="11">
        <f t="shared" si="120"/>
        <v>2.2358057183774352E-3</v>
      </c>
      <c r="Z3812" s="11">
        <f t="shared" si="119"/>
        <v>2.8485451901864036E-3</v>
      </c>
    </row>
    <row r="3813" spans="1:26" x14ac:dyDescent="0.2">
      <c r="A3813" s="45">
        <v>650</v>
      </c>
      <c r="B3813" s="45">
        <v>1999</v>
      </c>
      <c r="C3813" s="17">
        <v>0</v>
      </c>
      <c r="D3813" s="14">
        <v>0.2755978</v>
      </c>
      <c r="E3813" s="14">
        <v>0.31117549999999999</v>
      </c>
      <c r="F3813" s="14">
        <v>3.69279E-2</v>
      </c>
      <c r="G3813" s="14">
        <v>1.2210639999999999</v>
      </c>
      <c r="H3813" s="14">
        <v>0.1859142</v>
      </c>
      <c r="R3813" s="11">
        <f t="shared" si="120"/>
        <v>5.2870120618030789E-3</v>
      </c>
      <c r="Z3813" s="11">
        <f t="shared" si="119"/>
        <v>6.7060729395720482E-3</v>
      </c>
    </row>
    <row r="3814" spans="1:26" x14ac:dyDescent="0.2">
      <c r="A3814" s="45">
        <v>650</v>
      </c>
      <c r="B3814" s="45">
        <v>2000</v>
      </c>
      <c r="C3814" s="17">
        <v>0</v>
      </c>
      <c r="D3814" s="14">
        <v>0.29684559999999999</v>
      </c>
      <c r="E3814" s="14">
        <v>0.28485660000000002</v>
      </c>
      <c r="F3814" s="14">
        <v>5.3460000000000001E-3</v>
      </c>
      <c r="G3814" s="14">
        <v>0.83061510000000005</v>
      </c>
      <c r="H3814" s="14">
        <v>0.2454151</v>
      </c>
      <c r="R3814" s="11">
        <f t="shared" si="120"/>
        <v>1.3072443737603297E-2</v>
      </c>
      <c r="Z3814" s="11">
        <f t="shared" si="119"/>
        <v>1.6252958746128993E-2</v>
      </c>
    </row>
    <row r="3815" spans="1:26" x14ac:dyDescent="0.2">
      <c r="A3815" s="45">
        <v>650</v>
      </c>
      <c r="B3815" s="45">
        <v>2001</v>
      </c>
      <c r="C3815" s="17">
        <v>0</v>
      </c>
      <c r="D3815" s="14">
        <v>0.2689184</v>
      </c>
      <c r="E3815" s="14">
        <v>0.21589059999999999</v>
      </c>
      <c r="F3815" s="14">
        <v>2.1628999999999999E-2</v>
      </c>
      <c r="G3815" s="14">
        <v>1.1656770000000001</v>
      </c>
      <c r="H3815" s="14">
        <v>0.23254649999999999</v>
      </c>
      <c r="R3815" s="11">
        <f t="shared" si="120"/>
        <v>7.4800060494894837E-3</v>
      </c>
      <c r="Z3815" s="11">
        <f t="shared" si="119"/>
        <v>9.3460408623586826E-3</v>
      </c>
    </row>
    <row r="3816" spans="1:26" x14ac:dyDescent="0.2">
      <c r="A3816" s="45">
        <v>650</v>
      </c>
      <c r="B3816" s="45">
        <v>2002</v>
      </c>
      <c r="C3816" s="17">
        <v>0</v>
      </c>
      <c r="D3816" s="14">
        <v>0.27719460000000001</v>
      </c>
      <c r="E3816" s="14">
        <v>0.2055013</v>
      </c>
      <c r="F3816" s="14">
        <v>3.7210199999999999E-2</v>
      </c>
      <c r="G3816" s="14">
        <v>1.0190490000000001</v>
      </c>
      <c r="H3816" s="14">
        <v>0.2389947</v>
      </c>
      <c r="R3816" s="11">
        <f t="shared" si="120"/>
        <v>8.460280199626545E-3</v>
      </c>
      <c r="Z3816" s="11">
        <f t="shared" si="119"/>
        <v>1.0733108836119378E-2</v>
      </c>
    </row>
    <row r="3817" spans="1:26" x14ac:dyDescent="0.2">
      <c r="A3817" s="45">
        <v>650</v>
      </c>
      <c r="B3817" s="45">
        <v>2003</v>
      </c>
      <c r="C3817" s="17">
        <v>0</v>
      </c>
      <c r="D3817" s="14">
        <v>0.28077560000000001</v>
      </c>
      <c r="E3817" s="14">
        <v>0.23558670000000001</v>
      </c>
      <c r="F3817" s="14">
        <v>3.9328700000000001E-2</v>
      </c>
      <c r="G3817" s="14">
        <v>1.298041</v>
      </c>
      <c r="H3817" s="14">
        <v>0.2358556</v>
      </c>
      <c r="R3817" s="11">
        <f t="shared" si="120"/>
        <v>5.1215290653809789E-3</v>
      </c>
      <c r="Z3817" s="11">
        <f t="shared" si="119"/>
        <v>6.4815190008638461E-3</v>
      </c>
    </row>
    <row r="3818" spans="1:26" x14ac:dyDescent="0.2">
      <c r="A3818" s="45">
        <v>650</v>
      </c>
      <c r="B3818" s="45">
        <v>2004</v>
      </c>
      <c r="C3818" s="17">
        <v>0</v>
      </c>
      <c r="D3818" s="14">
        <v>0.3525237</v>
      </c>
      <c r="E3818" s="14">
        <v>0.3366247</v>
      </c>
      <c r="F3818" s="14">
        <v>4.5640600000000003E-2</v>
      </c>
      <c r="G3818" s="14">
        <v>2.1581009999999998</v>
      </c>
      <c r="H3818" s="14">
        <v>0.254251</v>
      </c>
      <c r="R3818" s="11">
        <f t="shared" si="120"/>
        <v>1.0720019851853584E-3</v>
      </c>
      <c r="Z3818" s="11">
        <f t="shared" si="119"/>
        <v>1.3442315980928727E-3</v>
      </c>
    </row>
    <row r="3819" spans="1:26" x14ac:dyDescent="0.2">
      <c r="A3819" s="45">
        <v>651</v>
      </c>
      <c r="B3819" s="45">
        <v>1995</v>
      </c>
      <c r="C3819" s="17">
        <v>0</v>
      </c>
      <c r="D3819" s="14">
        <v>0.5734745</v>
      </c>
      <c r="E3819" s="14">
        <v>0.28466130000000001</v>
      </c>
      <c r="F3819" s="14">
        <v>0.1115867</v>
      </c>
      <c r="G3819" s="14">
        <v>15.24217</v>
      </c>
      <c r="H3819" s="14">
        <v>0.46313759999999998</v>
      </c>
      <c r="R3819" s="11">
        <f t="shared" si="120"/>
        <v>6.0122791921415936E-13</v>
      </c>
      <c r="Z3819" s="11">
        <f t="shared" si="119"/>
        <v>5.9567050861857051E-13</v>
      </c>
    </row>
    <row r="3820" spans="1:26" x14ac:dyDescent="0.2">
      <c r="A3820" s="45">
        <v>651</v>
      </c>
      <c r="B3820" s="45">
        <v>1996</v>
      </c>
      <c r="C3820" s="17">
        <v>0</v>
      </c>
      <c r="D3820" s="14">
        <v>0.58457579999999998</v>
      </c>
      <c r="E3820" s="14">
        <v>0.35723759999999999</v>
      </c>
      <c r="F3820" s="14">
        <v>5.6193899999999998E-2</v>
      </c>
      <c r="G3820" s="14">
        <v>11.592029999999999</v>
      </c>
      <c r="H3820" s="14">
        <v>0.63549169999999999</v>
      </c>
      <c r="R3820" s="11">
        <f t="shared" si="120"/>
        <v>2.8305002446072774E-10</v>
      </c>
      <c r="Z3820" s="11">
        <f t="shared" si="119"/>
        <v>2.9113886685394114E-10</v>
      </c>
    </row>
    <row r="3821" spans="1:26" x14ac:dyDescent="0.2">
      <c r="A3821" s="45">
        <v>652</v>
      </c>
      <c r="B3821" s="45">
        <v>1998</v>
      </c>
      <c r="C3821" s="17">
        <v>0</v>
      </c>
      <c r="D3821" s="14">
        <v>0.1109241</v>
      </c>
      <c r="E3821" s="14">
        <v>2.5371999999999999E-2</v>
      </c>
      <c r="F3821" s="14">
        <v>3.3308999999999999E-3</v>
      </c>
      <c r="G3821" s="14">
        <v>0.96979219999999999</v>
      </c>
      <c r="H3821" s="14">
        <v>3.8671999999999998E-2</v>
      </c>
      <c r="R3821" s="11">
        <f t="shared" si="120"/>
        <v>1.5482106968812978E-2</v>
      </c>
      <c r="Z3821" s="11">
        <f t="shared" si="119"/>
        <v>1.8982336490171271E-2</v>
      </c>
    </row>
    <row r="3822" spans="1:26" x14ac:dyDescent="0.2">
      <c r="A3822" s="45">
        <v>652</v>
      </c>
      <c r="B3822" s="45">
        <v>1999</v>
      </c>
      <c r="C3822" s="17">
        <v>0</v>
      </c>
      <c r="D3822" s="14">
        <v>4.9209900000000001E-2</v>
      </c>
      <c r="E3822" s="14">
        <v>1.8275300000000001E-2</v>
      </c>
      <c r="F3822" s="14">
        <v>1.4199099999999999E-2</v>
      </c>
      <c r="G3822" s="14">
        <v>0.92376380000000002</v>
      </c>
      <c r="H3822" s="14">
        <v>4.6821799999999997E-2</v>
      </c>
      <c r="R3822" s="11">
        <f t="shared" si="120"/>
        <v>1.5432403368008165E-2</v>
      </c>
      <c r="Z3822" s="11">
        <f t="shared" si="119"/>
        <v>1.9102127944149967E-2</v>
      </c>
    </row>
    <row r="3823" spans="1:26" x14ac:dyDescent="0.2">
      <c r="A3823" s="45">
        <v>652</v>
      </c>
      <c r="B3823" s="45">
        <v>2000</v>
      </c>
      <c r="C3823" s="17">
        <v>0</v>
      </c>
      <c r="D3823" s="14">
        <v>3.1446000000000002E-2</v>
      </c>
      <c r="E3823" s="14">
        <v>-6.4811000000000001E-3</v>
      </c>
      <c r="F3823" s="14">
        <v>1.3047400000000001E-2</v>
      </c>
      <c r="G3823" s="14">
        <v>0.54744060000000005</v>
      </c>
      <c r="H3823" s="14">
        <v>5.2873400000000001E-2</v>
      </c>
      <c r="R3823" s="11">
        <f t="shared" si="120"/>
        <v>2.9005992873326822E-2</v>
      </c>
      <c r="Z3823" s="11">
        <f t="shared" si="119"/>
        <v>3.6010884120304412E-2</v>
      </c>
    </row>
    <row r="3824" spans="1:26" x14ac:dyDescent="0.2">
      <c r="A3824" s="45">
        <v>652</v>
      </c>
      <c r="B3824" s="45">
        <v>2001</v>
      </c>
      <c r="C3824" s="17">
        <v>0</v>
      </c>
      <c r="D3824" s="14">
        <v>2.2020100000000001E-2</v>
      </c>
      <c r="E3824" s="14">
        <v>-4.0448600000000001E-2</v>
      </c>
      <c r="F3824" s="14">
        <v>1.16738E-2</v>
      </c>
      <c r="G3824" s="14">
        <v>0.59671909999999995</v>
      </c>
      <c r="H3824" s="14">
        <v>4.6036000000000001E-2</v>
      </c>
      <c r="R3824" s="11">
        <f t="shared" si="120"/>
        <v>2.8499068789303292E-2</v>
      </c>
      <c r="Z3824" s="11">
        <f t="shared" si="119"/>
        <v>3.527096560127075E-2</v>
      </c>
    </row>
    <row r="3825" spans="1:26" x14ac:dyDescent="0.2">
      <c r="A3825" s="45">
        <v>652</v>
      </c>
      <c r="B3825" s="45">
        <v>2003</v>
      </c>
      <c r="C3825" s="17">
        <v>0</v>
      </c>
      <c r="D3825" s="14">
        <v>5.1689100000000002E-2</v>
      </c>
      <c r="E3825" s="14">
        <v>-4.9215700000000001E-2</v>
      </c>
      <c r="F3825" s="14">
        <v>1.12222E-2</v>
      </c>
      <c r="G3825" s="14">
        <v>0.26556800000000003</v>
      </c>
      <c r="H3825" s="14">
        <v>4.9212699999999998E-2</v>
      </c>
      <c r="R3825" s="11">
        <f t="shared" si="120"/>
        <v>4.8113160283571613E-2</v>
      </c>
      <c r="Z3825" s="11">
        <f t="shared" si="119"/>
        <v>5.9631657760559911E-2</v>
      </c>
    </row>
    <row r="3826" spans="1:26" x14ac:dyDescent="0.2">
      <c r="A3826" s="45">
        <v>652</v>
      </c>
      <c r="B3826" s="45">
        <v>2004</v>
      </c>
      <c r="C3826" s="17">
        <v>0</v>
      </c>
      <c r="D3826" s="14">
        <v>3.3171199999999998E-2</v>
      </c>
      <c r="E3826" s="14">
        <v>-0.23159360000000001</v>
      </c>
      <c r="F3826" s="14">
        <v>1.6516800000000002E-2</v>
      </c>
      <c r="G3826" s="14">
        <v>0.2261495</v>
      </c>
      <c r="H3826" s="14">
        <v>5.70979E-2</v>
      </c>
      <c r="R3826" s="11">
        <f t="shared" si="120"/>
        <v>6.3017985713120825E-2</v>
      </c>
      <c r="Z3826" s="11">
        <f t="shared" si="119"/>
        <v>7.7738243393806875E-2</v>
      </c>
    </row>
    <row r="3827" spans="1:26" x14ac:dyDescent="0.2">
      <c r="A3827" s="45">
        <v>653</v>
      </c>
      <c r="B3827" s="45">
        <v>1995</v>
      </c>
      <c r="C3827" s="17">
        <v>0</v>
      </c>
      <c r="D3827" s="14">
        <v>8.0810499999999993E-2</v>
      </c>
      <c r="E3827" s="14">
        <v>0.28246359999999998</v>
      </c>
      <c r="F3827" s="14">
        <v>5.5818899999999998E-2</v>
      </c>
      <c r="G3827" s="14">
        <v>1.806257</v>
      </c>
      <c r="H3827" s="14">
        <v>0.28303780000000001</v>
      </c>
      <c r="R3827" s="11">
        <f t="shared" si="120"/>
        <v>1.8715337761196162E-3</v>
      </c>
      <c r="Z3827" s="11">
        <f t="shared" si="119"/>
        <v>2.3798817995500437E-3</v>
      </c>
    </row>
    <row r="3828" spans="1:26" x14ac:dyDescent="0.2">
      <c r="A3828" s="45">
        <v>653</v>
      </c>
      <c r="B3828" s="45">
        <v>1996</v>
      </c>
      <c r="C3828" s="17">
        <v>0</v>
      </c>
      <c r="D3828" s="14">
        <v>5.6362500000000003E-2</v>
      </c>
      <c r="E3828" s="14">
        <v>0.1882422</v>
      </c>
      <c r="F3828" s="14">
        <v>5.7769599999999997E-2</v>
      </c>
      <c r="G3828" s="14">
        <v>2.4371330000000002</v>
      </c>
      <c r="H3828" s="14">
        <v>0.27255370000000001</v>
      </c>
      <c r="R3828" s="11">
        <f t="shared" si="120"/>
        <v>7.7405912444577119E-4</v>
      </c>
      <c r="Z3828" s="11">
        <f t="shared" si="119"/>
        <v>9.6945238398181801E-4</v>
      </c>
    </row>
    <row r="3829" spans="1:26" x14ac:dyDescent="0.2">
      <c r="A3829" s="45">
        <v>653</v>
      </c>
      <c r="B3829" s="45">
        <v>1997</v>
      </c>
      <c r="C3829" s="17">
        <v>0</v>
      </c>
      <c r="D3829" s="14">
        <v>-7.3838999999999997E-3</v>
      </c>
      <c r="E3829" s="14">
        <v>0.15244060000000001</v>
      </c>
      <c r="F3829" s="14">
        <v>5.9520799999999999E-2</v>
      </c>
      <c r="G3829" s="14">
        <v>2.164873</v>
      </c>
      <c r="H3829" s="14">
        <v>0.24781210000000001</v>
      </c>
      <c r="R3829" s="11">
        <f t="shared" si="120"/>
        <v>1.2402916448491094E-3</v>
      </c>
      <c r="Z3829" s="11">
        <f t="shared" si="119"/>
        <v>1.562842134765119E-3</v>
      </c>
    </row>
    <row r="3830" spans="1:26" x14ac:dyDescent="0.2">
      <c r="A3830" s="45">
        <v>653</v>
      </c>
      <c r="B3830" s="45">
        <v>1998</v>
      </c>
      <c r="C3830" s="17">
        <v>0</v>
      </c>
      <c r="D3830" s="14">
        <v>0.19025139999999999</v>
      </c>
      <c r="E3830" s="14">
        <v>0.42448170000000002</v>
      </c>
      <c r="F3830" s="14">
        <v>5.4173800000000001E-2</v>
      </c>
      <c r="G3830" s="14">
        <v>1.101404</v>
      </c>
      <c r="H3830" s="14">
        <v>0.20694760000000001</v>
      </c>
      <c r="R3830" s="11">
        <f t="shared" si="120"/>
        <v>4.7294201524469915E-3</v>
      </c>
      <c r="Z3830" s="11">
        <f t="shared" si="119"/>
        <v>6.1241707471989008E-3</v>
      </c>
    </row>
    <row r="3831" spans="1:26" x14ac:dyDescent="0.2">
      <c r="A3831" s="45">
        <v>653</v>
      </c>
      <c r="B3831" s="45">
        <v>1999</v>
      </c>
      <c r="C3831" s="17">
        <v>0</v>
      </c>
      <c r="D3831" s="14">
        <v>4.2163800000000001E-2</v>
      </c>
      <c r="E3831" s="14">
        <v>0.4840372</v>
      </c>
      <c r="F3831" s="14">
        <v>6.7505200000000001E-2</v>
      </c>
      <c r="G3831" s="14">
        <v>0.83350999999999997</v>
      </c>
      <c r="H3831" s="14">
        <v>0.22710250000000001</v>
      </c>
      <c r="R3831" s="11">
        <f t="shared" si="120"/>
        <v>5.9669692830947099E-3</v>
      </c>
      <c r="Z3831" s="11">
        <f t="shared" si="119"/>
        <v>7.8698153710897428E-3</v>
      </c>
    </row>
    <row r="3832" spans="1:26" x14ac:dyDescent="0.2">
      <c r="A3832" s="45">
        <v>654</v>
      </c>
      <c r="B3832" s="45">
        <v>1995</v>
      </c>
      <c r="C3832" s="17">
        <v>0</v>
      </c>
      <c r="D3832" s="14">
        <v>0.16489780000000001</v>
      </c>
      <c r="E3832" s="14">
        <v>0.28357060000000001</v>
      </c>
      <c r="F3832" s="14">
        <v>6.0625499999999999E-2</v>
      </c>
      <c r="G3832" s="14">
        <v>1.1084890000000001</v>
      </c>
      <c r="H3832" s="14">
        <v>0.32126120000000002</v>
      </c>
      <c r="R3832" s="11">
        <f t="shared" si="120"/>
        <v>5.4470317439674273E-3</v>
      </c>
      <c r="Z3832" s="11">
        <f t="shared" si="119"/>
        <v>7.054031891668075E-3</v>
      </c>
    </row>
    <row r="3833" spans="1:26" x14ac:dyDescent="0.2">
      <c r="A3833" s="45">
        <v>654</v>
      </c>
      <c r="B3833" s="45">
        <v>1996</v>
      </c>
      <c r="C3833" s="17">
        <v>0</v>
      </c>
      <c r="D3833" s="14">
        <v>0.15953100000000001</v>
      </c>
      <c r="E3833" s="14">
        <v>0.33043080000000002</v>
      </c>
      <c r="F3833" s="14">
        <v>5.5039100000000001E-2</v>
      </c>
      <c r="G3833" s="14">
        <v>1.2696609999999999</v>
      </c>
      <c r="H3833" s="14">
        <v>0.33031060000000001</v>
      </c>
      <c r="R3833" s="11">
        <f t="shared" si="120"/>
        <v>4.1210609925660729E-3</v>
      </c>
      <c r="Z3833" s="11">
        <f t="shared" si="119"/>
        <v>5.3044447940500975E-3</v>
      </c>
    </row>
    <row r="3834" spans="1:26" x14ac:dyDescent="0.2">
      <c r="A3834" s="45">
        <v>654</v>
      </c>
      <c r="B3834" s="45">
        <v>1997</v>
      </c>
      <c r="C3834" s="17">
        <v>0</v>
      </c>
      <c r="D3834" s="14">
        <v>0.15486459999999999</v>
      </c>
      <c r="E3834" s="14">
        <v>0.33270379999999999</v>
      </c>
      <c r="F3834" s="14">
        <v>6.3465800000000003E-2</v>
      </c>
      <c r="G3834" s="14">
        <v>1.7001850000000001</v>
      </c>
      <c r="H3834" s="14">
        <v>0.31955339999999999</v>
      </c>
      <c r="R3834" s="11">
        <f t="shared" si="120"/>
        <v>1.9377149481173744E-3</v>
      </c>
      <c r="Z3834" s="11">
        <f t="shared" si="119"/>
        <v>2.4895062679786096E-3</v>
      </c>
    </row>
    <row r="3835" spans="1:26" x14ac:dyDescent="0.2">
      <c r="A3835" s="45">
        <v>654</v>
      </c>
      <c r="B3835" s="45">
        <v>1998</v>
      </c>
      <c r="C3835" s="17">
        <v>0</v>
      </c>
      <c r="D3835" s="14">
        <v>0.18911929999999999</v>
      </c>
      <c r="E3835" s="14">
        <v>0.34894639999999999</v>
      </c>
      <c r="F3835" s="14">
        <v>4.2663100000000002E-2</v>
      </c>
      <c r="G3835" s="14">
        <v>0.87311490000000003</v>
      </c>
      <c r="H3835" s="14">
        <v>0.30135269999999997</v>
      </c>
      <c r="R3835" s="11">
        <f t="shared" si="120"/>
        <v>8.2971849494612449E-3</v>
      </c>
      <c r="Z3835" s="11">
        <f t="shared" si="119"/>
        <v>1.0658717808013739E-2</v>
      </c>
    </row>
    <row r="3836" spans="1:26" x14ac:dyDescent="0.2">
      <c r="A3836" s="45">
        <v>654</v>
      </c>
      <c r="B3836" s="45">
        <v>1999</v>
      </c>
      <c r="C3836" s="17">
        <v>0</v>
      </c>
      <c r="D3836" s="14">
        <v>0.1318202</v>
      </c>
      <c r="E3836" s="14">
        <v>0.35365239999999998</v>
      </c>
      <c r="F3836" s="14">
        <v>4.1074699999999999E-2</v>
      </c>
      <c r="G3836" s="14">
        <v>0.95451699999999995</v>
      </c>
      <c r="H3836" s="14">
        <v>0.2888288</v>
      </c>
      <c r="R3836" s="11">
        <f t="shared" si="120"/>
        <v>7.3376932049490778E-3</v>
      </c>
      <c r="Z3836" s="11">
        <f t="shared" si="119"/>
        <v>9.401376310943144E-3</v>
      </c>
    </row>
    <row r="3837" spans="1:26" x14ac:dyDescent="0.2">
      <c r="A3837" s="45">
        <v>654</v>
      </c>
      <c r="B3837" s="45">
        <v>2000</v>
      </c>
      <c r="C3837" s="17">
        <v>0</v>
      </c>
      <c r="D3837" s="14">
        <v>0.1469249</v>
      </c>
      <c r="E3837" s="14">
        <v>0.31143670000000001</v>
      </c>
      <c r="F3837" s="14">
        <v>3.8603600000000002E-2</v>
      </c>
      <c r="G3837" s="14">
        <v>0.60224690000000003</v>
      </c>
      <c r="H3837" s="14">
        <v>0.27474700000000002</v>
      </c>
      <c r="R3837" s="11">
        <f t="shared" si="120"/>
        <v>1.385931510426824E-2</v>
      </c>
      <c r="Z3837" s="11">
        <f t="shared" si="119"/>
        <v>1.7799171737579458E-2</v>
      </c>
    </row>
    <row r="3838" spans="1:26" x14ac:dyDescent="0.2">
      <c r="A3838" s="45">
        <v>654</v>
      </c>
      <c r="B3838" s="45">
        <v>2001</v>
      </c>
      <c r="C3838" s="17">
        <v>0</v>
      </c>
      <c r="D3838" s="14">
        <v>9.0191999999999994E-2</v>
      </c>
      <c r="E3838" s="14">
        <v>0.23697689999999999</v>
      </c>
      <c r="F3838" s="14">
        <v>3.1344799999999999E-2</v>
      </c>
      <c r="G3838" s="14">
        <v>0.58681059999999996</v>
      </c>
      <c r="H3838" s="14">
        <v>0.2655208</v>
      </c>
      <c r="R3838" s="11">
        <f t="shared" si="120"/>
        <v>1.6726178169605015E-2</v>
      </c>
      <c r="Z3838" s="11">
        <f t="shared" si="119"/>
        <v>2.1292512621802193E-2</v>
      </c>
    </row>
    <row r="3839" spans="1:26" x14ac:dyDescent="0.2">
      <c r="A3839" s="45">
        <v>654</v>
      </c>
      <c r="B3839" s="45">
        <v>2002</v>
      </c>
      <c r="C3839" s="17">
        <v>0</v>
      </c>
      <c r="D3839" s="14">
        <v>0.1572298</v>
      </c>
      <c r="E3839" s="14">
        <v>0.13265399999999999</v>
      </c>
      <c r="F3839" s="14">
        <v>3.4085400000000002E-2</v>
      </c>
      <c r="G3839" s="14">
        <v>0.59713570000000005</v>
      </c>
      <c r="H3839" s="14">
        <v>0.26115500000000003</v>
      </c>
      <c r="R3839" s="11">
        <f t="shared" si="120"/>
        <v>1.8695477492329179E-2</v>
      </c>
      <c r="Z3839" s="11">
        <f t="shared" si="119"/>
        <v>2.3750314230971091E-2</v>
      </c>
    </row>
    <row r="3840" spans="1:26" x14ac:dyDescent="0.2">
      <c r="A3840" s="45">
        <v>654</v>
      </c>
      <c r="B3840" s="45">
        <v>2003</v>
      </c>
      <c r="C3840" s="17">
        <v>0</v>
      </c>
      <c r="D3840" s="14">
        <v>0.12518180000000001</v>
      </c>
      <c r="E3840" s="14">
        <v>0.14371610000000001</v>
      </c>
      <c r="F3840" s="14">
        <v>5.8825599999999999E-2</v>
      </c>
      <c r="G3840" s="14">
        <v>0.72915779999999997</v>
      </c>
      <c r="H3840" s="14">
        <v>0.30858720000000001</v>
      </c>
      <c r="R3840" s="11">
        <f t="shared" si="120"/>
        <v>1.2309796385469822E-2</v>
      </c>
      <c r="Z3840" s="11">
        <f t="shared" si="119"/>
        <v>1.594174824917215E-2</v>
      </c>
    </row>
    <row r="3841" spans="1:26" x14ac:dyDescent="0.2">
      <c r="A3841" s="45">
        <v>654</v>
      </c>
      <c r="B3841" s="45">
        <v>2004</v>
      </c>
      <c r="C3841" s="17">
        <v>0</v>
      </c>
      <c r="D3841" s="14">
        <v>0.1982573</v>
      </c>
      <c r="E3841" s="14">
        <v>0.17036290000000001</v>
      </c>
      <c r="F3841" s="14">
        <v>4.3255599999999998E-2</v>
      </c>
      <c r="G3841" s="14">
        <v>0.91668810000000001</v>
      </c>
      <c r="H3841" s="14">
        <v>0.32874160000000002</v>
      </c>
      <c r="R3841" s="11">
        <f t="shared" si="120"/>
        <v>9.9713240337817692E-3</v>
      </c>
      <c r="Z3841" s="11">
        <f t="shared" si="119"/>
        <v>1.2720106983805161E-2</v>
      </c>
    </row>
    <row r="3842" spans="1:26" x14ac:dyDescent="0.2">
      <c r="A3842" s="45">
        <v>655</v>
      </c>
      <c r="B3842" s="45">
        <v>1999</v>
      </c>
      <c r="C3842" s="17">
        <v>0</v>
      </c>
      <c r="D3842" s="14">
        <v>0.24731259999999999</v>
      </c>
      <c r="E3842" s="14">
        <v>5.7849600000000001E-2</v>
      </c>
      <c r="F3842" s="14">
        <v>5.8618000000000003E-2</v>
      </c>
      <c r="G3842" s="14">
        <v>5.5973550000000003</v>
      </c>
      <c r="H3842" s="14">
        <v>0.46683550000000001</v>
      </c>
      <c r="R3842" s="11">
        <f t="shared" si="120"/>
        <v>6.0442791240925468E-6</v>
      </c>
      <c r="Z3842" s="11">
        <f t="shared" ref="Z3842:Z3905" si="121">1/(1+EXP(-(U$2+$V$2*E3842+$W$2*F3842+$X$2*G3842)))</f>
        <v>7.0358865855337237E-6</v>
      </c>
    </row>
    <row r="3843" spans="1:26" x14ac:dyDescent="0.2">
      <c r="A3843" s="45">
        <v>655</v>
      </c>
      <c r="B3843" s="45">
        <v>2000</v>
      </c>
      <c r="C3843" s="17">
        <v>0</v>
      </c>
      <c r="D3843" s="14">
        <v>0.31136000000000003</v>
      </c>
      <c r="E3843" s="14">
        <v>2.3109999999999999E-2</v>
      </c>
      <c r="F3843" s="14">
        <v>3.4239699999999998E-2</v>
      </c>
      <c r="G3843" s="14">
        <v>1.1384840000000001</v>
      </c>
      <c r="H3843" s="14">
        <v>0.33291270000000001</v>
      </c>
      <c r="R3843" s="11">
        <f t="shared" si="120"/>
        <v>9.3290826967101E-3</v>
      </c>
      <c r="Z3843" s="11">
        <f t="shared" si="121"/>
        <v>1.1700934555903283E-2</v>
      </c>
    </row>
    <row r="3844" spans="1:26" x14ac:dyDescent="0.2">
      <c r="A3844" s="45">
        <v>655</v>
      </c>
      <c r="B3844" s="45">
        <v>2001</v>
      </c>
      <c r="C3844" s="17">
        <v>0</v>
      </c>
      <c r="D3844" s="14">
        <v>0.21906149999999999</v>
      </c>
      <c r="E3844" s="14">
        <v>9.6560000000000005E-4</v>
      </c>
      <c r="F3844" s="14">
        <v>4.2535400000000001E-2</v>
      </c>
      <c r="G3844" s="14">
        <v>1.830846</v>
      </c>
      <c r="H3844" s="14">
        <v>0.2347234</v>
      </c>
      <c r="R3844" s="11">
        <f t="shared" si="120"/>
        <v>3.0101545189303125E-3</v>
      </c>
      <c r="Z3844" s="11">
        <f t="shared" si="121"/>
        <v>3.7470741137876273E-3</v>
      </c>
    </row>
    <row r="3845" spans="1:26" x14ac:dyDescent="0.2">
      <c r="A3845" s="45">
        <v>655</v>
      </c>
      <c r="B3845" s="45">
        <v>2002</v>
      </c>
      <c r="C3845" s="17">
        <v>0</v>
      </c>
      <c r="D3845" s="14">
        <v>0.27261839999999998</v>
      </c>
      <c r="E3845" s="14">
        <v>-0.21627179999999999</v>
      </c>
      <c r="F3845" s="14">
        <v>5.1053000000000001E-2</v>
      </c>
      <c r="G3845" s="14">
        <v>0.84227450000000004</v>
      </c>
      <c r="H3845" s="14">
        <v>0.32795659999999999</v>
      </c>
      <c r="R3845" s="11">
        <f t="shared" si="120"/>
        <v>1.8349509630198029E-2</v>
      </c>
      <c r="Z3845" s="11">
        <f t="shared" si="121"/>
        <v>2.3234604567645832E-2</v>
      </c>
    </row>
    <row r="3846" spans="1:26" x14ac:dyDescent="0.2">
      <c r="A3846" s="45">
        <v>655</v>
      </c>
      <c r="B3846" s="45">
        <v>2003</v>
      </c>
      <c r="C3846" s="17">
        <v>0</v>
      </c>
      <c r="D3846" s="14">
        <v>0.2837324</v>
      </c>
      <c r="E3846" s="14">
        <v>-0.2047667</v>
      </c>
      <c r="F3846" s="14">
        <v>5.8444500000000003E-2</v>
      </c>
      <c r="G3846" s="14">
        <v>1.9666189999999999</v>
      </c>
      <c r="H3846" s="14">
        <v>0.41311969999999998</v>
      </c>
      <c r="R3846" s="11">
        <f t="shared" si="120"/>
        <v>2.8795571199781082E-3</v>
      </c>
      <c r="Z3846" s="11">
        <f t="shared" si="121"/>
        <v>3.5953477673849252E-3</v>
      </c>
    </row>
    <row r="3847" spans="1:26" x14ac:dyDescent="0.2">
      <c r="A3847" s="45">
        <v>655</v>
      </c>
      <c r="B3847" s="45">
        <v>2004</v>
      </c>
      <c r="C3847" s="17">
        <v>0</v>
      </c>
      <c r="D3847" s="14">
        <v>0.2826612</v>
      </c>
      <c r="E3847" s="14">
        <v>-0.23105880000000001</v>
      </c>
      <c r="F3847" s="14">
        <v>5.7327400000000001E-2</v>
      </c>
      <c r="G3847" s="14">
        <v>1.3877299999999999</v>
      </c>
      <c r="H3847" s="14">
        <v>0.4308187</v>
      </c>
      <c r="R3847" s="11">
        <f t="shared" si="120"/>
        <v>7.5580455160709483E-3</v>
      </c>
      <c r="Z3847" s="11">
        <f t="shared" si="121"/>
        <v>9.5284172925649679E-3</v>
      </c>
    </row>
    <row r="3848" spans="1:26" x14ac:dyDescent="0.2">
      <c r="A3848" s="45">
        <v>656</v>
      </c>
      <c r="B3848" s="45">
        <v>1996</v>
      </c>
      <c r="C3848" s="17">
        <v>0</v>
      </c>
      <c r="D3848" s="14">
        <v>0.22049659999999999</v>
      </c>
      <c r="E3848" s="14">
        <v>2.8423799999999999E-2</v>
      </c>
      <c r="F3848" s="14">
        <v>5.55275E-2</v>
      </c>
      <c r="G3848" s="14">
        <v>0.28201379999999998</v>
      </c>
      <c r="H3848" s="14">
        <v>0.42148400000000003</v>
      </c>
      <c r="R3848" s="11">
        <f t="shared" si="120"/>
        <v>2.9933437670572355E-2</v>
      </c>
      <c r="Z3848" s="11">
        <f t="shared" si="121"/>
        <v>3.8680652658614242E-2</v>
      </c>
    </row>
    <row r="3849" spans="1:26" x14ac:dyDescent="0.2">
      <c r="A3849" s="45">
        <v>656</v>
      </c>
      <c r="B3849" s="45">
        <v>1997</v>
      </c>
      <c r="C3849" s="17">
        <v>0</v>
      </c>
      <c r="D3849" s="14">
        <v>0.16582640000000001</v>
      </c>
      <c r="E3849" s="14">
        <v>-8.9271999999999997E-3</v>
      </c>
      <c r="F3849" s="14">
        <v>7.9461400000000001E-2</v>
      </c>
      <c r="G3849" s="14">
        <v>0.60370349999999995</v>
      </c>
      <c r="H3849" s="14">
        <v>0.39543879999999998</v>
      </c>
      <c r="R3849" s="11">
        <f t="shared" si="120"/>
        <v>1.5856832132766743E-2</v>
      </c>
      <c r="Z3849" s="11">
        <f t="shared" si="121"/>
        <v>2.0805860523378149E-2</v>
      </c>
    </row>
    <row r="3850" spans="1:26" x14ac:dyDescent="0.2">
      <c r="A3850" s="45">
        <v>656</v>
      </c>
      <c r="B3850" s="45">
        <v>2001</v>
      </c>
      <c r="C3850" s="17">
        <v>1</v>
      </c>
      <c r="D3850" s="14">
        <v>-0.4376198</v>
      </c>
      <c r="E3850" s="14">
        <v>-8.6269100000000001E-2</v>
      </c>
      <c r="F3850" s="14">
        <v>2.98175E-2</v>
      </c>
      <c r="G3850" s="14">
        <v>5.42411E-2</v>
      </c>
      <c r="H3850" s="14">
        <v>0.33397559999999998</v>
      </c>
      <c r="R3850" s="11">
        <f t="shared" si="120"/>
        <v>6.0483794527244762E-2</v>
      </c>
      <c r="Z3850" s="11">
        <f t="shared" si="121"/>
        <v>7.6029547872253633E-2</v>
      </c>
    </row>
    <row r="3851" spans="1:26" x14ac:dyDescent="0.2">
      <c r="A3851" s="45">
        <v>657</v>
      </c>
      <c r="B3851" s="45">
        <v>1995</v>
      </c>
      <c r="C3851" s="17">
        <v>0</v>
      </c>
      <c r="D3851" s="14">
        <v>0.38952219999999999</v>
      </c>
      <c r="E3851" s="14">
        <v>0.31598470000000001</v>
      </c>
      <c r="F3851" s="14">
        <v>5.6628499999999998E-2</v>
      </c>
      <c r="G3851" s="14">
        <v>1.2512639999999999</v>
      </c>
      <c r="H3851" s="14">
        <v>0.45771450000000002</v>
      </c>
      <c r="R3851" s="11">
        <f t="shared" si="120"/>
        <v>4.2783238191316129E-3</v>
      </c>
      <c r="Z3851" s="11">
        <f t="shared" si="121"/>
        <v>5.5132623619609071E-3</v>
      </c>
    </row>
    <row r="3852" spans="1:26" x14ac:dyDescent="0.2">
      <c r="A3852" s="45">
        <v>657</v>
      </c>
      <c r="B3852" s="45">
        <v>1996</v>
      </c>
      <c r="C3852" s="17">
        <v>0</v>
      </c>
      <c r="D3852" s="14">
        <v>0.43159629999999999</v>
      </c>
      <c r="E3852" s="14">
        <v>0.37050480000000002</v>
      </c>
      <c r="F3852" s="14">
        <v>5.69466E-2</v>
      </c>
      <c r="G3852" s="14">
        <v>1.3592169999999999</v>
      </c>
      <c r="H3852" s="14">
        <v>0.42527300000000001</v>
      </c>
      <c r="R3852" s="11">
        <f t="shared" si="120"/>
        <v>3.3223414933002075E-3</v>
      </c>
      <c r="Z3852" s="11">
        <f t="shared" si="121"/>
        <v>4.2814660426094752E-3</v>
      </c>
    </row>
    <row r="3853" spans="1:26" x14ac:dyDescent="0.2">
      <c r="A3853" s="45">
        <v>657</v>
      </c>
      <c r="B3853" s="45">
        <v>1997</v>
      </c>
      <c r="C3853" s="17">
        <v>0</v>
      </c>
      <c r="D3853" s="14">
        <v>0.38445210000000002</v>
      </c>
      <c r="E3853" s="14">
        <v>0.32347819999999999</v>
      </c>
      <c r="F3853" s="14">
        <v>5.2701900000000003E-2</v>
      </c>
      <c r="G3853" s="14">
        <v>1.270548</v>
      </c>
      <c r="H3853" s="14">
        <v>0.3916886</v>
      </c>
      <c r="R3853" s="11">
        <f t="shared" si="120"/>
        <v>4.2350169326767495E-3</v>
      </c>
      <c r="Z3853" s="11">
        <f t="shared" si="121"/>
        <v>5.4391734992436189E-3</v>
      </c>
    </row>
    <row r="3854" spans="1:26" x14ac:dyDescent="0.2">
      <c r="A3854" s="45">
        <v>657</v>
      </c>
      <c r="B3854" s="45">
        <v>1998</v>
      </c>
      <c r="C3854" s="17">
        <v>0</v>
      </c>
      <c r="D3854" s="14">
        <v>0.34351520000000002</v>
      </c>
      <c r="E3854" s="14">
        <v>0.30337649999999999</v>
      </c>
      <c r="F3854" s="14">
        <v>1.1199600000000001E-2</v>
      </c>
      <c r="G3854" s="14">
        <v>0.66589039999999999</v>
      </c>
      <c r="H3854" s="14">
        <v>0.34663369999999999</v>
      </c>
      <c r="R3854" s="11">
        <f t="shared" si="120"/>
        <v>1.5745383031072997E-2</v>
      </c>
      <c r="Z3854" s="11">
        <f t="shared" si="121"/>
        <v>1.9737874241855861E-2</v>
      </c>
    </row>
    <row r="3855" spans="1:26" x14ac:dyDescent="0.2">
      <c r="A3855" s="45">
        <v>657</v>
      </c>
      <c r="B3855" s="45">
        <v>1999</v>
      </c>
      <c r="C3855" s="17">
        <v>0</v>
      </c>
      <c r="D3855" s="14">
        <v>0.32147629999999999</v>
      </c>
      <c r="E3855" s="14">
        <v>0.29815330000000001</v>
      </c>
      <c r="F3855" s="14">
        <v>3.3201000000000001E-2</v>
      </c>
      <c r="G3855" s="14">
        <v>0.9248577</v>
      </c>
      <c r="H3855" s="14">
        <v>0.37999230000000001</v>
      </c>
      <c r="R3855" s="11">
        <f t="shared" si="120"/>
        <v>8.8677920186217007E-3</v>
      </c>
      <c r="Z3855" s="11">
        <f t="shared" si="121"/>
        <v>1.1270716750156409E-2</v>
      </c>
    </row>
    <row r="3856" spans="1:26" x14ac:dyDescent="0.2">
      <c r="A3856" s="45">
        <v>657</v>
      </c>
      <c r="B3856" s="45">
        <v>2000</v>
      </c>
      <c r="C3856" s="17">
        <v>0</v>
      </c>
      <c r="D3856" s="14">
        <v>0.33756370000000002</v>
      </c>
      <c r="E3856" s="14">
        <v>0.36018230000000001</v>
      </c>
      <c r="F3856" s="14">
        <v>4.2756500000000003E-2</v>
      </c>
      <c r="G3856" s="14">
        <v>0.98400209999999999</v>
      </c>
      <c r="H3856" s="14">
        <v>0.3774419</v>
      </c>
      <c r="R3856" s="11">
        <f t="shared" si="120"/>
        <v>6.8454592773476491E-3</v>
      </c>
      <c r="Z3856" s="11">
        <f t="shared" si="121"/>
        <v>8.7802187998207819E-3</v>
      </c>
    </row>
    <row r="3857" spans="1:26" x14ac:dyDescent="0.2">
      <c r="A3857" s="45">
        <v>657</v>
      </c>
      <c r="B3857" s="45">
        <v>2001</v>
      </c>
      <c r="C3857" s="17">
        <v>0</v>
      </c>
      <c r="D3857" s="14">
        <v>0.37123810000000002</v>
      </c>
      <c r="E3857" s="14">
        <v>0.38891429999999999</v>
      </c>
      <c r="F3857" s="14">
        <v>3.6050800000000001E-2</v>
      </c>
      <c r="G3857" s="14">
        <v>1.112843</v>
      </c>
      <c r="H3857" s="14">
        <v>0.3837701</v>
      </c>
      <c r="R3857" s="11">
        <f t="shared" si="120"/>
        <v>5.648175783491978E-3</v>
      </c>
      <c r="Z3857" s="11">
        <f t="shared" si="121"/>
        <v>7.1943296872160811E-3</v>
      </c>
    </row>
    <row r="3858" spans="1:26" x14ac:dyDescent="0.2">
      <c r="A3858" s="45">
        <v>657</v>
      </c>
      <c r="B3858" s="45">
        <v>2002</v>
      </c>
      <c r="C3858" s="17">
        <v>0</v>
      </c>
      <c r="D3858" s="14">
        <v>0.39577370000000001</v>
      </c>
      <c r="E3858" s="14">
        <v>0.41370440000000003</v>
      </c>
      <c r="F3858" s="14">
        <v>4.1404400000000001E-2</v>
      </c>
      <c r="G3858" s="14">
        <v>1.6561650000000001</v>
      </c>
      <c r="H3858" s="14">
        <v>0.35131869999999998</v>
      </c>
      <c r="R3858" s="11">
        <f t="shared" si="120"/>
        <v>2.2035879435517666E-3</v>
      </c>
      <c r="Z3858" s="11">
        <f t="shared" si="121"/>
        <v>2.790688741335842E-3</v>
      </c>
    </row>
    <row r="3859" spans="1:26" x14ac:dyDescent="0.2">
      <c r="A3859" s="45">
        <v>657</v>
      </c>
      <c r="B3859" s="45">
        <v>2003</v>
      </c>
      <c r="C3859" s="17">
        <v>0</v>
      </c>
      <c r="D3859" s="14">
        <v>0.42528519999999997</v>
      </c>
      <c r="E3859" s="14">
        <v>0.46449600000000002</v>
      </c>
      <c r="F3859" s="14">
        <v>3.5409499999999997E-2</v>
      </c>
      <c r="G3859" s="14">
        <v>2.4972530000000002</v>
      </c>
      <c r="H3859" s="14">
        <v>0.36136849999999998</v>
      </c>
      <c r="R3859" s="11">
        <f t="shared" si="120"/>
        <v>5.6297411002128347E-4</v>
      </c>
      <c r="Z3859" s="11">
        <f t="shared" si="121"/>
        <v>6.9798226888503022E-4</v>
      </c>
    </row>
    <row r="3860" spans="1:26" x14ac:dyDescent="0.2">
      <c r="A3860" s="45">
        <v>657</v>
      </c>
      <c r="B3860" s="45">
        <v>2004</v>
      </c>
      <c r="C3860" s="17">
        <v>0</v>
      </c>
      <c r="D3860" s="14">
        <v>0.3705463</v>
      </c>
      <c r="E3860" s="14">
        <v>0.43004710000000002</v>
      </c>
      <c r="F3860" s="14">
        <v>3.8887600000000001E-2</v>
      </c>
      <c r="G3860" s="14">
        <v>2.9491499999999999</v>
      </c>
      <c r="H3860" s="14">
        <v>0.38343699999999997</v>
      </c>
      <c r="R3860" s="11">
        <f t="shared" si="120"/>
        <v>2.8023931546079545E-4</v>
      </c>
      <c r="Z3860" s="11">
        <f t="shared" si="121"/>
        <v>3.4460317948911478E-4</v>
      </c>
    </row>
    <row r="3861" spans="1:26" x14ac:dyDescent="0.2">
      <c r="A3861" s="45">
        <v>658</v>
      </c>
      <c r="B3861" s="45">
        <v>1995</v>
      </c>
      <c r="C3861" s="17">
        <v>0</v>
      </c>
      <c r="D3861" s="14">
        <v>0.15075740000000001</v>
      </c>
      <c r="E3861" s="14">
        <v>4.0994599999999999E-2</v>
      </c>
      <c r="F3861" s="14">
        <v>6.3284800000000002E-2</v>
      </c>
      <c r="G3861" s="14">
        <v>1.0691269999999999</v>
      </c>
      <c r="H3861" s="14">
        <v>0.94862469999999999</v>
      </c>
      <c r="R3861" s="11">
        <f t="shared" si="120"/>
        <v>8.0575395227122006E-3</v>
      </c>
      <c r="Z3861" s="11">
        <f t="shared" si="121"/>
        <v>1.0372411045409733E-2</v>
      </c>
    </row>
    <row r="3862" spans="1:26" x14ac:dyDescent="0.2">
      <c r="A3862" s="45">
        <v>658</v>
      </c>
      <c r="B3862" s="45">
        <v>1996</v>
      </c>
      <c r="C3862" s="17">
        <v>0</v>
      </c>
      <c r="D3862" s="14">
        <v>3.6292199999999997E-2</v>
      </c>
      <c r="E3862" s="14">
        <v>5.3259000000000001E-2</v>
      </c>
      <c r="F3862" s="14">
        <v>5.7877100000000001E-2</v>
      </c>
      <c r="G3862" s="14">
        <v>1.4257120000000001</v>
      </c>
      <c r="H3862" s="14">
        <v>0.81404810000000005</v>
      </c>
      <c r="R3862" s="11">
        <f t="shared" si="120"/>
        <v>4.6981145252493264E-3</v>
      </c>
      <c r="Z3862" s="11">
        <f t="shared" si="121"/>
        <v>5.9827635841205396E-3</v>
      </c>
    </row>
    <row r="3863" spans="1:26" x14ac:dyDescent="0.2">
      <c r="A3863" s="45">
        <v>658</v>
      </c>
      <c r="B3863" s="45">
        <v>1997</v>
      </c>
      <c r="C3863" s="17">
        <v>0</v>
      </c>
      <c r="D3863" s="14">
        <v>8.2682500000000006E-2</v>
      </c>
      <c r="E3863" s="14">
        <v>7.4876600000000001E-2</v>
      </c>
      <c r="F3863" s="14">
        <v>6.5093799999999993E-2</v>
      </c>
      <c r="G3863" s="14">
        <v>1.508067</v>
      </c>
      <c r="H3863" s="14">
        <v>0.68533160000000004</v>
      </c>
      <c r="R3863" s="11">
        <f t="shared" ref="R3863:R3926" si="122">1/(1+EXP(-(K$2+$M$2*E3863+$N$2*F3863+$O$2*G3863)))</f>
        <v>3.772324127468865E-3</v>
      </c>
      <c r="Z3863" s="11">
        <f t="shared" si="121"/>
        <v>4.8282621481212018E-3</v>
      </c>
    </row>
    <row r="3864" spans="1:26" x14ac:dyDescent="0.2">
      <c r="A3864" s="45">
        <v>658</v>
      </c>
      <c r="B3864" s="45">
        <v>1998</v>
      </c>
      <c r="C3864" s="17">
        <v>0</v>
      </c>
      <c r="D3864" s="14">
        <v>5.2423499999999998E-2</v>
      </c>
      <c r="E3864" s="14">
        <v>9.7991200000000001E-2</v>
      </c>
      <c r="F3864" s="14">
        <v>4.5409699999999997E-2</v>
      </c>
      <c r="G3864" s="14">
        <v>1.025887</v>
      </c>
      <c r="H3864" s="14">
        <v>0.52885579999999999</v>
      </c>
      <c r="R3864" s="11">
        <f t="shared" si="122"/>
        <v>9.1569763008739098E-3</v>
      </c>
      <c r="Z3864" s="11">
        <f t="shared" si="121"/>
        <v>1.1647949600705917E-2</v>
      </c>
    </row>
    <row r="3865" spans="1:26" x14ac:dyDescent="0.2">
      <c r="A3865" s="45">
        <v>658</v>
      </c>
      <c r="B3865" s="45">
        <v>1999</v>
      </c>
      <c r="C3865" s="17">
        <v>0</v>
      </c>
      <c r="D3865" s="14">
        <v>4.39067E-2</v>
      </c>
      <c r="E3865" s="14">
        <v>0.15905540000000001</v>
      </c>
      <c r="F3865" s="14">
        <v>5.5765099999999998E-2</v>
      </c>
      <c r="G3865" s="14">
        <v>1.0371809999999999</v>
      </c>
      <c r="H3865" s="14">
        <v>0.70338699999999998</v>
      </c>
      <c r="R3865" s="11">
        <f t="shared" si="122"/>
        <v>7.5873228668748233E-3</v>
      </c>
      <c r="Z3865" s="11">
        <f t="shared" si="121"/>
        <v>9.7547695954609947E-3</v>
      </c>
    </row>
    <row r="3866" spans="1:26" x14ac:dyDescent="0.2">
      <c r="A3866" s="45">
        <v>658</v>
      </c>
      <c r="B3866" s="45">
        <v>2000</v>
      </c>
      <c r="C3866" s="17">
        <v>0</v>
      </c>
      <c r="D3866" s="14">
        <v>4.0164199999999997E-2</v>
      </c>
      <c r="E3866" s="14">
        <v>0.16718189999999999</v>
      </c>
      <c r="F3866" s="14">
        <v>8.0224100000000007E-2</v>
      </c>
      <c r="G3866" s="14">
        <v>0.80854300000000001</v>
      </c>
      <c r="H3866" s="14">
        <v>0.85887650000000004</v>
      </c>
      <c r="R3866" s="11">
        <f t="shared" si="122"/>
        <v>8.8647425121337158E-3</v>
      </c>
      <c r="Z3866" s="11">
        <f t="shared" si="121"/>
        <v>1.1682145595979661E-2</v>
      </c>
    </row>
    <row r="3867" spans="1:26" x14ac:dyDescent="0.2">
      <c r="A3867" s="45">
        <v>659</v>
      </c>
      <c r="B3867" s="45">
        <v>1995</v>
      </c>
      <c r="C3867" s="17">
        <v>0</v>
      </c>
      <c r="D3867" s="14">
        <v>0.49663220000000002</v>
      </c>
      <c r="E3867" s="14">
        <v>-5.46122E-2</v>
      </c>
      <c r="F3867" s="14">
        <v>4.0950800000000002E-2</v>
      </c>
      <c r="G3867" s="14">
        <v>0.1263782</v>
      </c>
      <c r="H3867" s="14">
        <v>0.2478563</v>
      </c>
      <c r="R3867" s="11">
        <f t="shared" si="122"/>
        <v>4.7741632439021166E-2</v>
      </c>
      <c r="Z3867" s="11">
        <f t="shared" si="121"/>
        <v>6.0712126970232989E-2</v>
      </c>
    </row>
    <row r="3868" spans="1:26" x14ac:dyDescent="0.2">
      <c r="A3868" s="45">
        <v>659</v>
      </c>
      <c r="B3868" s="45">
        <v>1996</v>
      </c>
      <c r="C3868" s="17">
        <v>0</v>
      </c>
      <c r="D3868" s="14">
        <v>0.33053199999999999</v>
      </c>
      <c r="E3868" s="14">
        <v>-0.63661259999999997</v>
      </c>
      <c r="F3868" s="14">
        <v>-7.1128800000000006E-2</v>
      </c>
      <c r="G3868" s="14">
        <v>9.6516599999999994E-2</v>
      </c>
      <c r="H3868" s="14">
        <v>0.25634669999999998</v>
      </c>
      <c r="R3868" s="11">
        <f t="shared" si="122"/>
        <v>0.23099998964753299</v>
      </c>
      <c r="Z3868" s="11">
        <f t="shared" si="121"/>
        <v>0.25735111798014054</v>
      </c>
    </row>
    <row r="3869" spans="1:26" x14ac:dyDescent="0.2">
      <c r="A3869" s="45">
        <v>660</v>
      </c>
      <c r="B3869" s="45">
        <v>1995</v>
      </c>
      <c r="C3869" s="17">
        <v>0</v>
      </c>
      <c r="D3869" s="14">
        <v>7.3360300000000003E-2</v>
      </c>
      <c r="E3869" s="14">
        <v>0.57290059999999998</v>
      </c>
      <c r="F3869" s="14">
        <v>0.1196808</v>
      </c>
      <c r="G3869" s="14">
        <v>1.845796</v>
      </c>
      <c r="H3869" s="14">
        <v>0.7106249</v>
      </c>
      <c r="R3869" s="11">
        <f t="shared" si="122"/>
        <v>6.9197442308946812E-4</v>
      </c>
      <c r="Z3869" s="11">
        <f t="shared" si="121"/>
        <v>9.3592815004166327E-4</v>
      </c>
    </row>
    <row r="3870" spans="1:26" x14ac:dyDescent="0.2">
      <c r="A3870" s="45">
        <v>660</v>
      </c>
      <c r="B3870" s="45">
        <v>1996</v>
      </c>
      <c r="C3870" s="17">
        <v>0</v>
      </c>
      <c r="D3870" s="14">
        <v>0.1138454</v>
      </c>
      <c r="E3870" s="14">
        <v>0.54409090000000004</v>
      </c>
      <c r="F3870" s="14">
        <v>0.11838220000000001</v>
      </c>
      <c r="G3870" s="14">
        <v>1.9051629999999999</v>
      </c>
      <c r="H3870" s="14">
        <v>0.6093674</v>
      </c>
      <c r="R3870" s="11">
        <f t="shared" si="122"/>
        <v>6.6331384157322963E-4</v>
      </c>
      <c r="Z3870" s="11">
        <f t="shared" si="121"/>
        <v>8.9416631388584825E-4</v>
      </c>
    </row>
    <row r="3871" spans="1:26" x14ac:dyDescent="0.2">
      <c r="A3871" s="45">
        <v>660</v>
      </c>
      <c r="B3871" s="45">
        <v>1997</v>
      </c>
      <c r="C3871" s="17">
        <v>0</v>
      </c>
      <c r="D3871" s="14">
        <v>9.61037E-2</v>
      </c>
      <c r="E3871" s="14">
        <v>0.58391360000000003</v>
      </c>
      <c r="F3871" s="14">
        <v>9.3679100000000001E-2</v>
      </c>
      <c r="G3871" s="14">
        <v>2.1636410000000001</v>
      </c>
      <c r="H3871" s="14">
        <v>0.65809720000000005</v>
      </c>
      <c r="R3871" s="11">
        <f t="shared" si="122"/>
        <v>5.0532198619786446E-4</v>
      </c>
      <c r="Z3871" s="11">
        <f t="shared" si="121"/>
        <v>6.646993160711142E-4</v>
      </c>
    </row>
    <row r="3872" spans="1:26" x14ac:dyDescent="0.2">
      <c r="A3872" s="45">
        <v>660</v>
      </c>
      <c r="B3872" s="45">
        <v>1998</v>
      </c>
      <c r="C3872" s="17">
        <v>0</v>
      </c>
      <c r="D3872" s="14">
        <v>3.9014199999999999E-2</v>
      </c>
      <c r="E3872" s="14">
        <v>0.57786079999999995</v>
      </c>
      <c r="F3872" s="14">
        <v>9.9363999999999994E-2</v>
      </c>
      <c r="G3872" s="14">
        <v>0.91641300000000003</v>
      </c>
      <c r="H3872" s="14">
        <v>0.66336479999999998</v>
      </c>
      <c r="R3872" s="11">
        <f t="shared" si="122"/>
        <v>3.5441484187366821E-3</v>
      </c>
      <c r="Z3872" s="11">
        <f t="shared" si="121"/>
        <v>4.8078279008135711E-3</v>
      </c>
    </row>
    <row r="3873" spans="1:26" x14ac:dyDescent="0.2">
      <c r="A3873" s="45">
        <v>660</v>
      </c>
      <c r="B3873" s="45">
        <v>1999</v>
      </c>
      <c r="C3873" s="17">
        <v>0</v>
      </c>
      <c r="D3873" s="14">
        <v>4.4594300000000003E-2</v>
      </c>
      <c r="E3873" s="14">
        <v>0.57112909999999995</v>
      </c>
      <c r="F3873" s="14">
        <v>9.5399200000000003E-2</v>
      </c>
      <c r="G3873" s="14">
        <v>0.56237320000000002</v>
      </c>
      <c r="H3873" s="14">
        <v>0.62886140000000001</v>
      </c>
      <c r="R3873" s="11">
        <f t="shared" si="122"/>
        <v>6.475657301497826E-3</v>
      </c>
      <c r="Z3873" s="11">
        <f t="shared" si="121"/>
        <v>8.812991940773016E-3</v>
      </c>
    </row>
    <row r="3874" spans="1:26" x14ac:dyDescent="0.2">
      <c r="A3874" s="45">
        <v>660</v>
      </c>
      <c r="B3874" s="45">
        <v>2000</v>
      </c>
      <c r="C3874" s="17">
        <v>0</v>
      </c>
      <c r="D3874" s="14">
        <v>9.1989100000000004E-2</v>
      </c>
      <c r="E3874" s="14">
        <v>0.64267949999999996</v>
      </c>
      <c r="F3874" s="14">
        <v>8.7404999999999997E-2</v>
      </c>
      <c r="G3874" s="14">
        <v>1.1769259999999999</v>
      </c>
      <c r="H3874" s="14">
        <v>0.61461160000000004</v>
      </c>
      <c r="R3874" s="11">
        <f t="shared" si="122"/>
        <v>2.3461143687606213E-3</v>
      </c>
      <c r="Z3874" s="11">
        <f t="shared" si="121"/>
        <v>3.1420046451023889E-3</v>
      </c>
    </row>
    <row r="3875" spans="1:26" x14ac:dyDescent="0.2">
      <c r="A3875" s="45">
        <v>660</v>
      </c>
      <c r="B3875" s="45">
        <v>2001</v>
      </c>
      <c r="C3875" s="17">
        <v>0</v>
      </c>
      <c r="D3875" s="14">
        <v>9.7299399999999994E-2</v>
      </c>
      <c r="E3875" s="14">
        <v>0.6390884</v>
      </c>
      <c r="F3875" s="14">
        <v>9.1645799999999999E-2</v>
      </c>
      <c r="G3875" s="14">
        <v>0.85557499999999997</v>
      </c>
      <c r="H3875" s="14">
        <v>0.62091909999999995</v>
      </c>
      <c r="R3875" s="11">
        <f t="shared" si="122"/>
        <v>3.7988769144652831E-3</v>
      </c>
      <c r="Z3875" s="11">
        <f t="shared" si="121"/>
        <v>5.1381262639742095E-3</v>
      </c>
    </row>
    <row r="3876" spans="1:26" x14ac:dyDescent="0.2">
      <c r="A3876" s="45">
        <v>660</v>
      </c>
      <c r="B3876" s="45">
        <v>2002</v>
      </c>
      <c r="C3876" s="17">
        <v>0</v>
      </c>
      <c r="D3876" s="14">
        <v>0.1448701</v>
      </c>
      <c r="E3876" s="14">
        <v>0.57807330000000001</v>
      </c>
      <c r="F3876" s="14">
        <v>8.2820900000000003E-2</v>
      </c>
      <c r="G3876" s="14">
        <v>0.4000128</v>
      </c>
      <c r="H3876" s="14">
        <v>0.54586869999999998</v>
      </c>
      <c r="R3876" s="11">
        <f t="shared" si="122"/>
        <v>9.1577548019081793E-3</v>
      </c>
      <c r="Z3876" s="11">
        <f t="shared" si="121"/>
        <v>1.2371403354031935E-2</v>
      </c>
    </row>
    <row r="3877" spans="1:26" x14ac:dyDescent="0.2">
      <c r="A3877" s="45">
        <v>660</v>
      </c>
      <c r="B3877" s="45">
        <v>2003</v>
      </c>
      <c r="C3877" s="17">
        <v>0</v>
      </c>
      <c r="D3877" s="14">
        <v>0.22080060000000001</v>
      </c>
      <c r="E3877" s="14">
        <v>0.58589999999999998</v>
      </c>
      <c r="F3877" s="14">
        <v>6.0719299999999997E-2</v>
      </c>
      <c r="G3877" s="14">
        <v>0.5343059</v>
      </c>
      <c r="H3877" s="14">
        <v>0.52325429999999995</v>
      </c>
      <c r="R3877" s="11">
        <f t="shared" si="122"/>
        <v>8.7271482443166907E-3</v>
      </c>
      <c r="Z3877" s="11">
        <f t="shared" si="121"/>
        <v>1.1551495316931575E-2</v>
      </c>
    </row>
    <row r="3878" spans="1:26" x14ac:dyDescent="0.2">
      <c r="A3878" s="45">
        <v>660</v>
      </c>
      <c r="B3878" s="45">
        <v>2004</v>
      </c>
      <c r="C3878" s="17">
        <v>0</v>
      </c>
      <c r="D3878" s="14">
        <v>0.20395189999999999</v>
      </c>
      <c r="E3878" s="14">
        <v>0.5950685</v>
      </c>
      <c r="F3878" s="14">
        <v>6.4264799999999997E-2</v>
      </c>
      <c r="G3878" s="14">
        <v>0.87303220000000004</v>
      </c>
      <c r="H3878" s="14">
        <v>0.51327679999999998</v>
      </c>
      <c r="R3878" s="11">
        <f t="shared" si="122"/>
        <v>4.8979170974372604E-3</v>
      </c>
      <c r="Z3878" s="11">
        <f t="shared" si="121"/>
        <v>6.4638555183116316E-3</v>
      </c>
    </row>
    <row r="3879" spans="1:26" x14ac:dyDescent="0.2">
      <c r="A3879" s="45">
        <v>661</v>
      </c>
      <c r="B3879" s="45">
        <v>1995</v>
      </c>
      <c r="C3879" s="17">
        <v>0</v>
      </c>
      <c r="D3879" s="14">
        <v>0.30033480000000001</v>
      </c>
      <c r="E3879" s="14">
        <v>0.1629697</v>
      </c>
      <c r="F3879" s="14">
        <v>8.1096000000000001E-2</v>
      </c>
      <c r="G3879" s="14">
        <v>0.65075810000000001</v>
      </c>
      <c r="H3879" s="14">
        <v>0.51878939999999996</v>
      </c>
      <c r="R3879" s="11">
        <f t="shared" si="122"/>
        <v>1.136065230716712E-2</v>
      </c>
      <c r="Z3879" s="11">
        <f t="shared" si="121"/>
        <v>1.501905739810239E-2</v>
      </c>
    </row>
    <row r="3880" spans="1:26" x14ac:dyDescent="0.2">
      <c r="A3880" s="45">
        <v>661</v>
      </c>
      <c r="B3880" s="45">
        <v>1996</v>
      </c>
      <c r="C3880" s="17">
        <v>0</v>
      </c>
      <c r="D3880" s="14">
        <v>0.21082400000000001</v>
      </c>
      <c r="E3880" s="14">
        <v>0.1723518</v>
      </c>
      <c r="F3880" s="14">
        <v>5.3144299999999998E-2</v>
      </c>
      <c r="G3880" s="14">
        <v>1.0372729999999999</v>
      </c>
      <c r="H3880" s="14">
        <v>0.47592960000000001</v>
      </c>
      <c r="R3880" s="11">
        <f t="shared" si="122"/>
        <v>7.5985058286069029E-3</v>
      </c>
      <c r="Z3880" s="11">
        <f t="shared" si="121"/>
        <v>9.7527368739638715E-3</v>
      </c>
    </row>
    <row r="3881" spans="1:26" x14ac:dyDescent="0.2">
      <c r="A3881" s="45">
        <v>661</v>
      </c>
      <c r="B3881" s="45">
        <v>1997</v>
      </c>
      <c r="C3881" s="17">
        <v>0</v>
      </c>
      <c r="D3881" s="14">
        <v>0.2712502</v>
      </c>
      <c r="E3881" s="14">
        <v>0.21163499999999999</v>
      </c>
      <c r="F3881" s="14">
        <v>6.4347699999999994E-2</v>
      </c>
      <c r="G3881" s="14">
        <v>1.7109859999999999</v>
      </c>
      <c r="H3881" s="14">
        <v>0.50173699999999999</v>
      </c>
      <c r="R3881" s="11">
        <f t="shared" si="122"/>
        <v>2.2545753598748604E-3</v>
      </c>
      <c r="Z3881" s="11">
        <f t="shared" si="121"/>
        <v>2.8857709115402501E-3</v>
      </c>
    </row>
    <row r="3882" spans="1:26" x14ac:dyDescent="0.2">
      <c r="A3882" s="45">
        <v>662</v>
      </c>
      <c r="B3882" s="45">
        <v>1995</v>
      </c>
      <c r="C3882" s="17">
        <v>1</v>
      </c>
      <c r="D3882" s="14">
        <v>1.9329E-3</v>
      </c>
      <c r="E3882" s="14">
        <v>1.2974599999999999E-2</v>
      </c>
      <c r="F3882" s="14">
        <v>2.6978100000000001E-2</v>
      </c>
      <c r="G3882" s="14">
        <v>0.19003719999999999</v>
      </c>
      <c r="H3882" s="14">
        <v>0.31408019999999998</v>
      </c>
      <c r="R3882" s="11">
        <f t="shared" si="122"/>
        <v>4.3898524851114444E-2</v>
      </c>
      <c r="Z3882" s="11">
        <f t="shared" si="121"/>
        <v>5.5332742498223196E-2</v>
      </c>
    </row>
    <row r="3883" spans="1:26" x14ac:dyDescent="0.2">
      <c r="A3883" s="45">
        <v>663</v>
      </c>
      <c r="B3883" s="45">
        <v>1995</v>
      </c>
      <c r="C3883" s="17">
        <v>0</v>
      </c>
      <c r="D3883" s="14">
        <v>-1.1590000000000001E-3</v>
      </c>
      <c r="E3883" s="14">
        <v>0.15213699999999999</v>
      </c>
      <c r="F3883" s="14">
        <v>3.6579199999999999E-2</v>
      </c>
      <c r="G3883" s="14">
        <v>0.57695669999999999</v>
      </c>
      <c r="H3883" s="14">
        <v>0.18781880000000001</v>
      </c>
      <c r="R3883" s="11">
        <f t="shared" si="122"/>
        <v>1.8402031025761705E-2</v>
      </c>
      <c r="Z3883" s="11">
        <f t="shared" si="121"/>
        <v>2.3451593334698175E-2</v>
      </c>
    </row>
    <row r="3884" spans="1:26" x14ac:dyDescent="0.2">
      <c r="A3884" s="45">
        <v>663</v>
      </c>
      <c r="B3884" s="45">
        <v>1996</v>
      </c>
      <c r="C3884" s="17">
        <v>0</v>
      </c>
      <c r="D3884" s="14">
        <v>1.0987E-3</v>
      </c>
      <c r="E3884" s="14">
        <v>0.14224249999999999</v>
      </c>
      <c r="F3884" s="14">
        <v>4.5139899999999997E-2</v>
      </c>
      <c r="G3884" s="14">
        <v>0.63401770000000002</v>
      </c>
      <c r="H3884" s="14">
        <v>0.28133249999999999</v>
      </c>
      <c r="R3884" s="11">
        <f t="shared" si="122"/>
        <v>1.5957445741919273E-2</v>
      </c>
      <c r="Z3884" s="11">
        <f t="shared" si="121"/>
        <v>2.0458478911797064E-2</v>
      </c>
    </row>
    <row r="3885" spans="1:26" x14ac:dyDescent="0.2">
      <c r="A3885" s="45">
        <v>663</v>
      </c>
      <c r="B3885" s="45">
        <v>1997</v>
      </c>
      <c r="C3885" s="17">
        <v>0</v>
      </c>
      <c r="D3885" s="14">
        <v>-1.5108399999999999E-2</v>
      </c>
      <c r="E3885" s="14">
        <v>0.13553509999999999</v>
      </c>
      <c r="F3885" s="14">
        <v>5.6465599999999998E-2</v>
      </c>
      <c r="G3885" s="14">
        <v>0.72408039999999996</v>
      </c>
      <c r="H3885" s="14">
        <v>0.35372189999999998</v>
      </c>
      <c r="R3885" s="11">
        <f t="shared" si="122"/>
        <v>1.2791387916063464E-2</v>
      </c>
      <c r="Z3885" s="11">
        <f t="shared" si="121"/>
        <v>1.6528826608001489E-2</v>
      </c>
    </row>
    <row r="3886" spans="1:26" x14ac:dyDescent="0.2">
      <c r="A3886" s="45">
        <v>663</v>
      </c>
      <c r="B3886" s="45">
        <v>1998</v>
      </c>
      <c r="C3886" s="17">
        <v>0</v>
      </c>
      <c r="D3886" s="14">
        <v>6.0762000000000004E-3</v>
      </c>
      <c r="E3886" s="14">
        <v>6.3076699999999999E-2</v>
      </c>
      <c r="F3886" s="14">
        <v>4.1519E-2</v>
      </c>
      <c r="G3886" s="14">
        <v>0.60424239999999996</v>
      </c>
      <c r="H3886" s="14">
        <v>0.15934190000000001</v>
      </c>
      <c r="R3886" s="11">
        <f t="shared" si="122"/>
        <v>1.9261050754313908E-2</v>
      </c>
      <c r="Z3886" s="11">
        <f t="shared" si="121"/>
        <v>2.4549909455463748E-2</v>
      </c>
    </row>
    <row r="3887" spans="1:26" x14ac:dyDescent="0.2">
      <c r="A3887" s="45">
        <v>663</v>
      </c>
      <c r="B3887" s="45">
        <v>1999</v>
      </c>
      <c r="C3887" s="17">
        <v>0</v>
      </c>
      <c r="D3887" s="14">
        <v>1.9911999999999998E-3</v>
      </c>
      <c r="E3887" s="14">
        <v>3.8006499999999999E-2</v>
      </c>
      <c r="F3887" s="14">
        <v>4.3255799999999997E-2</v>
      </c>
      <c r="G3887" s="14">
        <v>0.34682489999999999</v>
      </c>
      <c r="H3887" s="14">
        <v>0.16381090000000001</v>
      </c>
      <c r="R3887" s="11">
        <f t="shared" si="122"/>
        <v>2.938508711327515E-2</v>
      </c>
      <c r="Z3887" s="11">
        <f t="shared" si="121"/>
        <v>3.7572766872840314E-2</v>
      </c>
    </row>
    <row r="3888" spans="1:26" x14ac:dyDescent="0.2">
      <c r="A3888" s="45">
        <v>663</v>
      </c>
      <c r="B3888" s="45">
        <v>2000</v>
      </c>
      <c r="C3888" s="17">
        <v>0</v>
      </c>
      <c r="D3888" s="14">
        <v>-3.8306999999999998E-3</v>
      </c>
      <c r="E3888" s="14">
        <v>4.5005299999999998E-2</v>
      </c>
      <c r="F3888" s="14">
        <v>5.9922499999999997E-2</v>
      </c>
      <c r="G3888" s="14">
        <v>0.455982</v>
      </c>
      <c r="H3888" s="14">
        <v>7.9822199999999996E-2</v>
      </c>
      <c r="R3888" s="11">
        <f t="shared" si="122"/>
        <v>2.1564868812453526E-2</v>
      </c>
      <c r="Z3888" s="11">
        <f t="shared" si="121"/>
        <v>2.7946262342062187E-2</v>
      </c>
    </row>
    <row r="3889" spans="1:26" x14ac:dyDescent="0.2">
      <c r="A3889" s="45">
        <v>663</v>
      </c>
      <c r="B3889" s="45">
        <v>2001</v>
      </c>
      <c r="C3889" s="17">
        <v>0</v>
      </c>
      <c r="D3889" s="14">
        <v>-1.79589E-2</v>
      </c>
      <c r="E3889" s="14">
        <v>5.1655800000000002E-2</v>
      </c>
      <c r="F3889" s="14">
        <v>6.8220600000000006E-2</v>
      </c>
      <c r="G3889" s="14">
        <v>0.73878010000000005</v>
      </c>
      <c r="H3889" s="14">
        <v>8.6204199999999995E-2</v>
      </c>
      <c r="R3889" s="11">
        <f t="shared" si="122"/>
        <v>1.2848438256179484E-2</v>
      </c>
      <c r="Z3889" s="11">
        <f t="shared" si="121"/>
        <v>1.6707684396619883E-2</v>
      </c>
    </row>
    <row r="3890" spans="1:26" x14ac:dyDescent="0.2">
      <c r="A3890" s="45">
        <v>663</v>
      </c>
      <c r="B3890" s="45">
        <v>2002</v>
      </c>
      <c r="C3890" s="17">
        <v>0</v>
      </c>
      <c r="D3890" s="14">
        <v>-1.8987899999999999E-2</v>
      </c>
      <c r="E3890" s="14">
        <v>7.7060299999999998E-2</v>
      </c>
      <c r="F3890" s="14">
        <v>6.5902199999999994E-2</v>
      </c>
      <c r="G3890" s="14">
        <v>0.85475900000000005</v>
      </c>
      <c r="H3890" s="14">
        <v>9.9262799999999998E-2</v>
      </c>
      <c r="R3890" s="11">
        <f t="shared" si="122"/>
        <v>1.0510459714235197E-2</v>
      </c>
      <c r="Z3890" s="11">
        <f t="shared" si="121"/>
        <v>1.3628924841385401E-2</v>
      </c>
    </row>
    <row r="3891" spans="1:26" x14ac:dyDescent="0.2">
      <c r="A3891" s="45">
        <v>663</v>
      </c>
      <c r="B3891" s="45">
        <v>2003</v>
      </c>
      <c r="C3891" s="17">
        <v>0</v>
      </c>
      <c r="D3891" s="14">
        <v>-2.12001E-2</v>
      </c>
      <c r="E3891" s="14">
        <v>8.9116399999999998E-2</v>
      </c>
      <c r="F3891" s="14">
        <v>6.6211199999999998E-2</v>
      </c>
      <c r="G3891" s="14">
        <v>1.0373190000000001</v>
      </c>
      <c r="H3891" s="14">
        <v>0.109086</v>
      </c>
      <c r="R3891" s="11">
        <f t="shared" si="122"/>
        <v>7.7234066000218008E-3</v>
      </c>
      <c r="Z3891" s="11">
        <f t="shared" si="121"/>
        <v>9.9901029717673184E-3</v>
      </c>
    </row>
    <row r="3892" spans="1:26" x14ac:dyDescent="0.2">
      <c r="A3892" s="45">
        <v>663</v>
      </c>
      <c r="B3892" s="45">
        <v>2004</v>
      </c>
      <c r="C3892" s="17">
        <v>0</v>
      </c>
      <c r="D3892" s="14">
        <v>-3.0038200000000001E-2</v>
      </c>
      <c r="E3892" s="14">
        <v>9.4251399999999999E-2</v>
      </c>
      <c r="F3892" s="14">
        <v>5.4623699999999997E-2</v>
      </c>
      <c r="G3892" s="14">
        <v>1.029606</v>
      </c>
      <c r="H3892" s="14">
        <v>0.1030083</v>
      </c>
      <c r="R3892" s="11">
        <f t="shared" si="122"/>
        <v>8.5077614747720177E-3</v>
      </c>
      <c r="Z3892" s="11">
        <f t="shared" si="121"/>
        <v>1.0902957769165559E-2</v>
      </c>
    </row>
    <row r="3893" spans="1:26" x14ac:dyDescent="0.2">
      <c r="A3893" s="45">
        <v>664</v>
      </c>
      <c r="B3893" s="45">
        <v>1995</v>
      </c>
      <c r="C3893" s="17">
        <v>0</v>
      </c>
      <c r="D3893" s="14">
        <v>0.31875369999999997</v>
      </c>
      <c r="E3893" s="14">
        <v>0.10628609999999999</v>
      </c>
      <c r="F3893" s="14">
        <v>5.09731E-2</v>
      </c>
      <c r="G3893" s="14">
        <v>0.967858</v>
      </c>
      <c r="H3893" s="14">
        <v>0.33075480000000002</v>
      </c>
      <c r="R3893" s="11">
        <f t="shared" si="122"/>
        <v>9.4886184068949993E-3</v>
      </c>
      <c r="Z3893" s="11">
        <f t="shared" si="121"/>
        <v>1.2141926949097192E-2</v>
      </c>
    </row>
    <row r="3894" spans="1:26" x14ac:dyDescent="0.2">
      <c r="A3894" s="45">
        <v>664</v>
      </c>
      <c r="B3894" s="45">
        <v>1996</v>
      </c>
      <c r="C3894" s="17">
        <v>0</v>
      </c>
      <c r="D3894" s="14">
        <v>0.28769909999999999</v>
      </c>
      <c r="E3894" s="14">
        <v>0.18085290000000001</v>
      </c>
      <c r="F3894" s="14">
        <v>7.3274900000000004E-2</v>
      </c>
      <c r="G3894" s="14">
        <v>1.2331110000000001</v>
      </c>
      <c r="H3894" s="14">
        <v>0.3551723</v>
      </c>
      <c r="R3894" s="11">
        <f t="shared" si="122"/>
        <v>4.6898720443094271E-3</v>
      </c>
      <c r="Z3894" s="11">
        <f t="shared" si="121"/>
        <v>6.0996845070926649E-3</v>
      </c>
    </row>
    <row r="3895" spans="1:26" x14ac:dyDescent="0.2">
      <c r="A3895" s="45">
        <v>664</v>
      </c>
      <c r="B3895" s="45">
        <v>1997</v>
      </c>
      <c r="C3895" s="17">
        <v>0</v>
      </c>
      <c r="D3895" s="14">
        <v>0.26533309999999999</v>
      </c>
      <c r="E3895" s="14">
        <v>0.1996685</v>
      </c>
      <c r="F3895" s="14">
        <v>7.3049199999999995E-2</v>
      </c>
      <c r="G3895" s="14">
        <v>1.4279379999999999</v>
      </c>
      <c r="H3895" s="14">
        <v>0.3470858</v>
      </c>
      <c r="R3895" s="11">
        <f t="shared" si="122"/>
        <v>3.3558886508559022E-3</v>
      </c>
      <c r="Z3895" s="11">
        <f t="shared" si="121"/>
        <v>4.3498336589469638E-3</v>
      </c>
    </row>
    <row r="3896" spans="1:26" x14ac:dyDescent="0.2">
      <c r="A3896" s="45">
        <v>665</v>
      </c>
      <c r="B3896" s="45">
        <v>1995</v>
      </c>
      <c r="C3896" s="17">
        <v>0</v>
      </c>
      <c r="D3896" s="14">
        <v>2.8889700000000001E-2</v>
      </c>
      <c r="E3896" s="14">
        <v>0.65788139999999995</v>
      </c>
      <c r="F3896" s="14">
        <v>5.7877400000000002E-2</v>
      </c>
      <c r="G3896" s="14">
        <v>2.0242800000000001</v>
      </c>
      <c r="H3896" s="14">
        <v>0.22442770000000001</v>
      </c>
      <c r="R3896" s="11">
        <f t="shared" si="122"/>
        <v>7.5435323239971713E-4</v>
      </c>
      <c r="Z3896" s="11">
        <f t="shared" si="121"/>
        <v>9.6893937377482992E-4</v>
      </c>
    </row>
    <row r="3897" spans="1:26" x14ac:dyDescent="0.2">
      <c r="A3897" s="45">
        <v>665</v>
      </c>
      <c r="B3897" s="45">
        <v>1996</v>
      </c>
      <c r="C3897" s="17">
        <v>0</v>
      </c>
      <c r="D3897" s="14">
        <v>8.9709499999999998E-2</v>
      </c>
      <c r="E3897" s="14">
        <v>0.65047880000000002</v>
      </c>
      <c r="F3897" s="14">
        <v>7.3361399999999993E-2</v>
      </c>
      <c r="G3897" s="14">
        <v>2.2805070000000001</v>
      </c>
      <c r="H3897" s="14">
        <v>0.1818681</v>
      </c>
      <c r="R3897" s="11">
        <f t="shared" si="122"/>
        <v>4.4798131557206844E-4</v>
      </c>
      <c r="Z3897" s="11">
        <f t="shared" si="121"/>
        <v>5.7938787278108677E-4</v>
      </c>
    </row>
    <row r="3898" spans="1:26" x14ac:dyDescent="0.2">
      <c r="A3898" s="45">
        <v>665</v>
      </c>
      <c r="B3898" s="45">
        <v>1997</v>
      </c>
      <c r="C3898" s="17">
        <v>0</v>
      </c>
      <c r="D3898" s="14">
        <v>5.6647400000000001E-2</v>
      </c>
      <c r="E3898" s="14">
        <v>0.59209509999999999</v>
      </c>
      <c r="F3898" s="14">
        <v>6.7046999999999995E-2</v>
      </c>
      <c r="G3898" s="14">
        <v>2.6466949999999998</v>
      </c>
      <c r="H3898" s="14">
        <v>0.17916979999999999</v>
      </c>
      <c r="R3898" s="11">
        <f t="shared" si="122"/>
        <v>2.8621939637721896E-4</v>
      </c>
      <c r="Z3898" s="11">
        <f t="shared" si="121"/>
        <v>3.6459651893217709E-4</v>
      </c>
    </row>
    <row r="3899" spans="1:26" x14ac:dyDescent="0.2">
      <c r="A3899" s="45">
        <v>665</v>
      </c>
      <c r="B3899" s="45">
        <v>1998</v>
      </c>
      <c r="C3899" s="17">
        <v>0</v>
      </c>
      <c r="D3899" s="14">
        <v>5.0860599999999999E-2</v>
      </c>
      <c r="E3899" s="14">
        <v>0.61990400000000001</v>
      </c>
      <c r="F3899" s="14">
        <v>6.1019799999999999E-2</v>
      </c>
      <c r="G3899" s="14">
        <v>2.2167699999999999</v>
      </c>
      <c r="H3899" s="14">
        <v>0.15328639999999999</v>
      </c>
      <c r="R3899" s="11">
        <f t="shared" si="122"/>
        <v>5.7213547341129572E-4</v>
      </c>
      <c r="Z3899" s="11">
        <f t="shared" si="121"/>
        <v>7.3275131713262877E-4</v>
      </c>
    </row>
    <row r="3900" spans="1:26" x14ac:dyDescent="0.2">
      <c r="A3900" s="45">
        <v>665</v>
      </c>
      <c r="B3900" s="45">
        <v>1999</v>
      </c>
      <c r="C3900" s="17">
        <v>0</v>
      </c>
      <c r="D3900" s="14">
        <v>0.16587499999999999</v>
      </c>
      <c r="E3900" s="14">
        <v>0.55451289999999998</v>
      </c>
      <c r="F3900" s="14">
        <v>6.1989500000000003E-2</v>
      </c>
      <c r="G3900" s="14">
        <v>2.4808530000000002</v>
      </c>
      <c r="H3900" s="14">
        <v>0.13239300000000001</v>
      </c>
      <c r="R3900" s="11">
        <f t="shared" si="122"/>
        <v>4.0994387433129228E-4</v>
      </c>
      <c r="Z3900" s="11">
        <f t="shared" si="121"/>
        <v>5.212544090440499E-4</v>
      </c>
    </row>
    <row r="3901" spans="1:26" x14ac:dyDescent="0.2">
      <c r="A3901" s="45">
        <v>665</v>
      </c>
      <c r="B3901" s="45">
        <v>2000</v>
      </c>
      <c r="C3901" s="17">
        <v>0</v>
      </c>
      <c r="D3901" s="14">
        <v>3.2528700000000001E-2</v>
      </c>
      <c r="E3901" s="14">
        <v>0.32217879999999999</v>
      </c>
      <c r="F3901" s="14">
        <v>4.5192700000000002E-2</v>
      </c>
      <c r="G3901" s="14">
        <v>1.5180530000000001</v>
      </c>
      <c r="H3901" s="14">
        <v>0.11981700000000001</v>
      </c>
      <c r="R3901" s="11">
        <f t="shared" si="122"/>
        <v>3.0407958232584733E-3</v>
      </c>
      <c r="Z3901" s="11">
        <f t="shared" si="121"/>
        <v>3.8616523524315749E-3</v>
      </c>
    </row>
    <row r="3902" spans="1:26" x14ac:dyDescent="0.2">
      <c r="A3902" s="45">
        <v>665</v>
      </c>
      <c r="B3902" s="45">
        <v>2001</v>
      </c>
      <c r="C3902" s="17">
        <v>0</v>
      </c>
      <c r="D3902" s="14">
        <v>2.1841699999999999E-2</v>
      </c>
      <c r="E3902" s="14">
        <v>0.3256619</v>
      </c>
      <c r="F3902" s="14">
        <v>3.6734000000000003E-2</v>
      </c>
      <c r="G3902" s="14">
        <v>1.295812</v>
      </c>
      <c r="H3902" s="14">
        <v>0.1146036</v>
      </c>
      <c r="R3902" s="11">
        <f t="shared" si="122"/>
        <v>4.6057586983472088E-3</v>
      </c>
      <c r="Z3902" s="11">
        <f t="shared" si="121"/>
        <v>5.8354460664056937E-3</v>
      </c>
    </row>
    <row r="3903" spans="1:26" x14ac:dyDescent="0.2">
      <c r="A3903" s="45">
        <v>665</v>
      </c>
      <c r="B3903" s="45">
        <v>2002</v>
      </c>
      <c r="C3903" s="17">
        <v>0</v>
      </c>
      <c r="D3903" s="14">
        <v>7.3459499999999997E-2</v>
      </c>
      <c r="E3903" s="14">
        <v>0.35601260000000001</v>
      </c>
      <c r="F3903" s="14">
        <v>6.4715700000000001E-2</v>
      </c>
      <c r="G3903" s="14">
        <v>1.7647969999999999</v>
      </c>
      <c r="H3903" s="14">
        <v>0.13786480000000001</v>
      </c>
      <c r="R3903" s="11">
        <f t="shared" si="122"/>
        <v>1.6735034386996504E-3</v>
      </c>
      <c r="Z3903" s="11">
        <f t="shared" si="121"/>
        <v>2.1510787240180589E-3</v>
      </c>
    </row>
    <row r="3904" spans="1:26" x14ac:dyDescent="0.2">
      <c r="A3904" s="45">
        <v>665</v>
      </c>
      <c r="B3904" s="45">
        <v>2003</v>
      </c>
      <c r="C3904" s="17">
        <v>0</v>
      </c>
      <c r="D3904" s="14">
        <v>4.9121999999999999E-2</v>
      </c>
      <c r="E3904" s="14">
        <v>0.2302968</v>
      </c>
      <c r="F3904" s="14">
        <v>5.03271E-2</v>
      </c>
      <c r="G3904" s="14">
        <v>2.25563</v>
      </c>
      <c r="H3904" s="14">
        <v>0.13663819999999999</v>
      </c>
      <c r="R3904" s="11">
        <f t="shared" si="122"/>
        <v>1.0317557096017986E-3</v>
      </c>
      <c r="Z3904" s="11">
        <f t="shared" si="121"/>
        <v>1.2912601278550775E-3</v>
      </c>
    </row>
    <row r="3905" spans="1:26" x14ac:dyDescent="0.2">
      <c r="A3905" s="45">
        <v>665</v>
      </c>
      <c r="B3905" s="45">
        <v>2004</v>
      </c>
      <c r="C3905" s="17">
        <v>0</v>
      </c>
      <c r="D3905" s="14">
        <v>2.9633400000000001E-2</v>
      </c>
      <c r="E3905" s="14">
        <v>0.23276189999999999</v>
      </c>
      <c r="F3905" s="14">
        <v>6.2002500000000002E-2</v>
      </c>
      <c r="G3905" s="14">
        <v>1.8589910000000001</v>
      </c>
      <c r="H3905" s="14">
        <v>0.13388059999999999</v>
      </c>
      <c r="R3905" s="11">
        <f t="shared" si="122"/>
        <v>1.7605692233845923E-3</v>
      </c>
      <c r="Z3905" s="11">
        <f t="shared" si="121"/>
        <v>2.2437729252410975E-3</v>
      </c>
    </row>
    <row r="3906" spans="1:26" x14ac:dyDescent="0.2">
      <c r="A3906" s="45">
        <v>666</v>
      </c>
      <c r="B3906" s="45">
        <v>1995</v>
      </c>
      <c r="C3906" s="17">
        <v>0</v>
      </c>
      <c r="D3906" s="14">
        <v>0.60681870000000004</v>
      </c>
      <c r="E3906" s="14">
        <v>0.32845809999999998</v>
      </c>
      <c r="F3906" s="14">
        <v>6.88222E-2</v>
      </c>
      <c r="G3906" s="14">
        <v>0.45791019999999999</v>
      </c>
      <c r="H3906" s="14">
        <v>0.39256740000000001</v>
      </c>
      <c r="R3906" s="11">
        <f t="shared" si="122"/>
        <v>1.3369796042141882E-2</v>
      </c>
      <c r="Z3906" s="11">
        <f t="shared" ref="Z3906:Z3969" si="123">1/(1+EXP(-(U$2+$V$2*E3906+$W$2*F3906+$X$2*G3906)))</f>
        <v>1.766117548125281E-2</v>
      </c>
    </row>
    <row r="3907" spans="1:26" x14ac:dyDescent="0.2">
      <c r="A3907" s="45">
        <v>666</v>
      </c>
      <c r="B3907" s="45">
        <v>1996</v>
      </c>
      <c r="C3907" s="17">
        <v>0</v>
      </c>
      <c r="D3907" s="14">
        <v>0.57685059999999999</v>
      </c>
      <c r="E3907" s="14">
        <v>0.34935579999999999</v>
      </c>
      <c r="F3907" s="14">
        <v>7.4544299999999994E-2</v>
      </c>
      <c r="G3907" s="14">
        <v>0.72110529999999995</v>
      </c>
      <c r="H3907" s="14">
        <v>0.41292259999999997</v>
      </c>
      <c r="R3907" s="11">
        <f t="shared" si="122"/>
        <v>8.1878655676155317E-3</v>
      </c>
      <c r="Z3907" s="11">
        <f t="shared" si="123"/>
        <v>1.0830065506812215E-2</v>
      </c>
    </row>
    <row r="3908" spans="1:26" x14ac:dyDescent="0.2">
      <c r="A3908" s="45">
        <v>666</v>
      </c>
      <c r="B3908" s="45">
        <v>1997</v>
      </c>
      <c r="C3908" s="17">
        <v>0</v>
      </c>
      <c r="D3908" s="14">
        <v>0.57250520000000005</v>
      </c>
      <c r="E3908" s="14">
        <v>0.31161270000000002</v>
      </c>
      <c r="F3908" s="14">
        <v>2.7837000000000001E-2</v>
      </c>
      <c r="G3908" s="14">
        <v>0.38440780000000002</v>
      </c>
      <c r="H3908" s="14">
        <v>0.35170259999999998</v>
      </c>
      <c r="R3908" s="11">
        <f t="shared" si="122"/>
        <v>2.1210348591873481E-2</v>
      </c>
      <c r="Z3908" s="11">
        <f t="shared" si="123"/>
        <v>2.707615897657736E-2</v>
      </c>
    </row>
    <row r="3909" spans="1:26" x14ac:dyDescent="0.2">
      <c r="A3909" s="45">
        <v>666</v>
      </c>
      <c r="B3909" s="45">
        <v>1998</v>
      </c>
      <c r="C3909" s="17">
        <v>1</v>
      </c>
      <c r="D3909" s="14">
        <v>0.56660189999999999</v>
      </c>
      <c r="E3909" s="14">
        <v>0.26413320000000001</v>
      </c>
      <c r="F3909" s="14">
        <v>-7.7575999999999999E-3</v>
      </c>
      <c r="G3909" s="14">
        <v>0.11414729999999999</v>
      </c>
      <c r="H3909" s="14">
        <v>0.25460759999999999</v>
      </c>
      <c r="R3909" s="11">
        <f t="shared" si="122"/>
        <v>4.533061343145537E-2</v>
      </c>
      <c r="Z3909" s="11">
        <f t="shared" si="123"/>
        <v>5.6143675418989548E-2</v>
      </c>
    </row>
    <row r="3910" spans="1:26" x14ac:dyDescent="0.2">
      <c r="A3910" s="45">
        <v>667</v>
      </c>
      <c r="B3910" s="45">
        <v>1995</v>
      </c>
      <c r="C3910" s="17">
        <v>0</v>
      </c>
      <c r="D3910" s="14">
        <v>0.1555957</v>
      </c>
      <c r="E3910" s="14">
        <v>-0.17900669999999999</v>
      </c>
      <c r="F3910" s="14">
        <v>5.1309300000000002E-2</v>
      </c>
      <c r="G3910" s="14">
        <v>1.3828860000000001</v>
      </c>
      <c r="H3910" s="14">
        <v>0.2400215</v>
      </c>
      <c r="R3910" s="11">
        <f t="shared" si="122"/>
        <v>7.4107725573556368E-3</v>
      </c>
      <c r="Z3910" s="11">
        <f t="shared" si="123"/>
        <v>9.3149958271377727E-3</v>
      </c>
    </row>
    <row r="3911" spans="1:26" x14ac:dyDescent="0.2">
      <c r="A3911" s="45">
        <v>668</v>
      </c>
      <c r="B3911" s="45">
        <v>2000</v>
      </c>
      <c r="C3911" s="17">
        <v>0</v>
      </c>
      <c r="D3911" s="14">
        <v>6.4049200000000001E-2</v>
      </c>
      <c r="E3911" s="14">
        <v>0.22494020000000001</v>
      </c>
      <c r="F3911" s="14">
        <v>7.0870000000000002E-2</v>
      </c>
      <c r="G3911" s="14">
        <v>3.7742460000000002</v>
      </c>
      <c r="H3911" s="14">
        <v>0.21488099999999999</v>
      </c>
      <c r="R3911" s="11">
        <f t="shared" si="122"/>
        <v>7.8521936381969958E-5</v>
      </c>
      <c r="Z3911" s="11">
        <f t="shared" si="123"/>
        <v>9.6659048044002232E-5</v>
      </c>
    </row>
    <row r="3912" spans="1:26" x14ac:dyDescent="0.2">
      <c r="A3912" s="45">
        <v>668</v>
      </c>
      <c r="B3912" s="45">
        <v>2002</v>
      </c>
      <c r="C3912" s="17">
        <v>0</v>
      </c>
      <c r="D3912" s="14">
        <v>3.5927599999999997E-2</v>
      </c>
      <c r="E3912" s="14">
        <v>3.3428600000000003E-2</v>
      </c>
      <c r="F3912" s="14">
        <v>5.88037E-2</v>
      </c>
      <c r="G3912" s="14">
        <v>0.72281640000000003</v>
      </c>
      <c r="H3912" s="14">
        <v>0.16459699999999999</v>
      </c>
      <c r="R3912" s="11">
        <f t="shared" si="122"/>
        <v>1.4566854331079874E-2</v>
      </c>
      <c r="Z3912" s="11">
        <f t="shared" si="123"/>
        <v>1.8784478750376209E-2</v>
      </c>
    </row>
    <row r="3913" spans="1:26" x14ac:dyDescent="0.2">
      <c r="A3913" s="45">
        <v>668</v>
      </c>
      <c r="B3913" s="45">
        <v>2003</v>
      </c>
      <c r="C3913" s="17">
        <v>0</v>
      </c>
      <c r="D3913" s="14">
        <v>0.1270867</v>
      </c>
      <c r="E3913" s="14">
        <v>6.2338400000000002E-2</v>
      </c>
      <c r="F3913" s="14">
        <v>4.2108699999999999E-2</v>
      </c>
      <c r="G3913" s="14">
        <v>1.133175</v>
      </c>
      <c r="H3913" s="14">
        <v>0.18643599999999999</v>
      </c>
      <c r="R3913" s="11">
        <f t="shared" si="122"/>
        <v>8.3528145808631389E-3</v>
      </c>
      <c r="Z3913" s="11">
        <f t="shared" si="123"/>
        <v>1.0561440169502476E-2</v>
      </c>
    </row>
    <row r="3914" spans="1:26" x14ac:dyDescent="0.2">
      <c r="A3914" s="45">
        <v>668</v>
      </c>
      <c r="B3914" s="45">
        <v>2004</v>
      </c>
      <c r="C3914" s="17">
        <v>0</v>
      </c>
      <c r="D3914" s="14">
        <v>0.145013</v>
      </c>
      <c r="E3914" s="14">
        <v>0.119309</v>
      </c>
      <c r="F3914" s="14">
        <v>6.0656599999999998E-2</v>
      </c>
      <c r="G3914" s="14">
        <v>1.8857999999999999</v>
      </c>
      <c r="H3914" s="14">
        <v>0.18860260000000001</v>
      </c>
      <c r="R3914" s="11">
        <f t="shared" si="122"/>
        <v>2.0105189717484697E-3</v>
      </c>
      <c r="Z3914" s="11">
        <f t="shared" si="123"/>
        <v>2.5479209003295973E-3</v>
      </c>
    </row>
    <row r="3915" spans="1:26" x14ac:dyDescent="0.2">
      <c r="A3915" s="45">
        <v>669</v>
      </c>
      <c r="B3915" s="45">
        <v>1995</v>
      </c>
      <c r="C3915" s="17">
        <v>0</v>
      </c>
      <c r="D3915" s="14">
        <v>0.1966349</v>
      </c>
      <c r="E3915" s="14">
        <v>0.3003229</v>
      </c>
      <c r="F3915" s="14">
        <v>5.2935099999999999E-2</v>
      </c>
      <c r="G3915" s="14">
        <v>1.3284320000000001</v>
      </c>
      <c r="H3915" s="14">
        <v>0.36255789999999999</v>
      </c>
      <c r="R3915" s="11">
        <f t="shared" si="122"/>
        <v>3.9876219040801452E-3</v>
      </c>
      <c r="Z3915" s="11">
        <f t="shared" si="123"/>
        <v>5.1122410830223095E-3</v>
      </c>
    </row>
    <row r="3916" spans="1:26" x14ac:dyDescent="0.2">
      <c r="A3916" s="45">
        <v>669</v>
      </c>
      <c r="B3916" s="45">
        <v>1996</v>
      </c>
      <c r="C3916" s="17">
        <v>0</v>
      </c>
      <c r="D3916" s="14">
        <v>0.26364739999999998</v>
      </c>
      <c r="E3916" s="14">
        <v>0.31152259999999998</v>
      </c>
      <c r="F3916" s="14">
        <v>4.1327700000000002E-2</v>
      </c>
      <c r="G3916" s="14">
        <v>1.317979</v>
      </c>
      <c r="H3916" s="14">
        <v>0.40526420000000002</v>
      </c>
      <c r="R3916" s="11">
        <f t="shared" si="122"/>
        <v>4.3755272779909338E-3</v>
      </c>
      <c r="Z3916" s="11">
        <f t="shared" si="123"/>
        <v>5.5595059317091666E-3</v>
      </c>
    </row>
    <row r="3917" spans="1:26" x14ac:dyDescent="0.2">
      <c r="A3917" s="45">
        <v>669</v>
      </c>
      <c r="B3917" s="45">
        <v>1997</v>
      </c>
      <c r="C3917" s="17">
        <v>0</v>
      </c>
      <c r="D3917" s="14">
        <v>0.2388651</v>
      </c>
      <c r="E3917" s="14">
        <v>0.34148020000000001</v>
      </c>
      <c r="F3917" s="14">
        <v>4.2698600000000003E-2</v>
      </c>
      <c r="G3917" s="14">
        <v>1.818217</v>
      </c>
      <c r="H3917" s="14">
        <v>0.39567619999999998</v>
      </c>
      <c r="R3917" s="11">
        <f t="shared" si="122"/>
        <v>1.8716819510889752E-3</v>
      </c>
      <c r="Z3917" s="11">
        <f t="shared" si="123"/>
        <v>2.3588072006750583E-3</v>
      </c>
    </row>
    <row r="3918" spans="1:26" x14ac:dyDescent="0.2">
      <c r="A3918" s="45">
        <v>669</v>
      </c>
      <c r="B3918" s="45">
        <v>1998</v>
      </c>
      <c r="C3918" s="17">
        <v>0</v>
      </c>
      <c r="D3918" s="14">
        <v>0.2187306</v>
      </c>
      <c r="E3918" s="14">
        <v>0.30940260000000003</v>
      </c>
      <c r="F3918" s="14">
        <v>6.7370600000000003E-2</v>
      </c>
      <c r="G3918" s="14">
        <v>0.80551850000000003</v>
      </c>
      <c r="H3918" s="14">
        <v>0.41237020000000002</v>
      </c>
      <c r="R3918" s="11">
        <f t="shared" si="122"/>
        <v>8.0346462007658166E-3</v>
      </c>
      <c r="Z3918" s="11">
        <f t="shared" si="123"/>
        <v>1.0532581373405854E-2</v>
      </c>
    </row>
    <row r="3919" spans="1:26" x14ac:dyDescent="0.2">
      <c r="A3919" s="45">
        <v>669</v>
      </c>
      <c r="B3919" s="45">
        <v>1999</v>
      </c>
      <c r="C3919" s="17">
        <v>0</v>
      </c>
      <c r="D3919" s="14">
        <v>0.18209069999999999</v>
      </c>
      <c r="E3919" s="14">
        <v>0.34173300000000001</v>
      </c>
      <c r="F3919" s="14">
        <v>5.3069199999999997E-2</v>
      </c>
      <c r="G3919" s="14">
        <v>0.73938899999999996</v>
      </c>
      <c r="H3919" s="14">
        <v>0.39722800000000003</v>
      </c>
      <c r="R3919" s="11">
        <f t="shared" si="122"/>
        <v>9.5354943540871644E-3</v>
      </c>
      <c r="Z3919" s="11">
        <f t="shared" si="123"/>
        <v>1.2381665382457975E-2</v>
      </c>
    </row>
    <row r="3920" spans="1:26" x14ac:dyDescent="0.2">
      <c r="A3920" s="45">
        <v>669</v>
      </c>
      <c r="B3920" s="45">
        <v>2000</v>
      </c>
      <c r="C3920" s="17">
        <v>0</v>
      </c>
      <c r="D3920" s="14">
        <v>0.17734259999999999</v>
      </c>
      <c r="E3920" s="14">
        <v>0.37924229999999998</v>
      </c>
      <c r="F3920" s="14">
        <v>4.8243899999999999E-2</v>
      </c>
      <c r="G3920" s="14">
        <v>0.48350549999999998</v>
      </c>
      <c r="H3920" s="14">
        <v>0.38698939999999998</v>
      </c>
      <c r="R3920" s="11">
        <f t="shared" si="122"/>
        <v>1.4045337004104465E-2</v>
      </c>
      <c r="Z3920" s="11">
        <f t="shared" si="123"/>
        <v>1.8265959715463031E-2</v>
      </c>
    </row>
    <row r="3921" spans="1:26" x14ac:dyDescent="0.2">
      <c r="A3921" s="45">
        <v>669</v>
      </c>
      <c r="B3921" s="45">
        <v>2001</v>
      </c>
      <c r="C3921" s="17">
        <v>0</v>
      </c>
      <c r="D3921" s="14">
        <v>0.1083047</v>
      </c>
      <c r="E3921" s="14">
        <v>0.19401409999999999</v>
      </c>
      <c r="F3921" s="14">
        <v>4.9445000000000003E-2</v>
      </c>
      <c r="G3921" s="14">
        <v>0.18837319999999999</v>
      </c>
      <c r="H3921" s="14">
        <v>0.49842389999999998</v>
      </c>
      <c r="R3921" s="11">
        <f t="shared" si="122"/>
        <v>2.8712753969623899E-2</v>
      </c>
      <c r="Z3921" s="11">
        <f t="shared" si="123"/>
        <v>3.721538970172545E-2</v>
      </c>
    </row>
    <row r="3922" spans="1:26" x14ac:dyDescent="0.2">
      <c r="A3922" s="45">
        <v>669</v>
      </c>
      <c r="B3922" s="45">
        <v>2002</v>
      </c>
      <c r="C3922" s="17">
        <v>0</v>
      </c>
      <c r="D3922" s="14">
        <v>0.129381</v>
      </c>
      <c r="E3922" s="14">
        <v>0.23182069999999999</v>
      </c>
      <c r="F3922" s="14">
        <v>4.7999300000000002E-2</v>
      </c>
      <c r="G3922" s="14">
        <v>0.46818120000000002</v>
      </c>
      <c r="H3922" s="14">
        <v>0.58349629999999997</v>
      </c>
      <c r="R3922" s="11">
        <f t="shared" si="122"/>
        <v>1.7800138375232685E-2</v>
      </c>
      <c r="Z3922" s="11">
        <f t="shared" si="123"/>
        <v>2.3011832545779903E-2</v>
      </c>
    </row>
    <row r="3923" spans="1:26" x14ac:dyDescent="0.2">
      <c r="A3923" s="45">
        <v>669</v>
      </c>
      <c r="B3923" s="45">
        <v>2003</v>
      </c>
      <c r="C3923" s="17">
        <v>0</v>
      </c>
      <c r="D3923" s="14">
        <v>0.12718599999999999</v>
      </c>
      <c r="E3923" s="14">
        <v>0.25119039999999998</v>
      </c>
      <c r="F3923" s="14">
        <v>6.6786999999999999E-2</v>
      </c>
      <c r="G3923" s="14">
        <v>0.5559596</v>
      </c>
      <c r="H3923" s="14">
        <v>0.66101129999999997</v>
      </c>
      <c r="R3923" s="11">
        <f t="shared" si="122"/>
        <v>1.3010282626973279E-2</v>
      </c>
      <c r="Z3923" s="11">
        <f t="shared" si="123"/>
        <v>1.7079222721421518E-2</v>
      </c>
    </row>
    <row r="3924" spans="1:26" x14ac:dyDescent="0.2">
      <c r="A3924" s="45">
        <v>669</v>
      </c>
      <c r="B3924" s="45">
        <v>2004</v>
      </c>
      <c r="C3924" s="17">
        <v>0</v>
      </c>
      <c r="D3924" s="14">
        <v>0.1438815</v>
      </c>
      <c r="E3924" s="14">
        <v>0.28507880000000002</v>
      </c>
      <c r="F3924" s="14">
        <v>4.9930200000000001E-2</v>
      </c>
      <c r="G3924" s="14">
        <v>0.69383220000000001</v>
      </c>
      <c r="H3924" s="14">
        <v>0.69481000000000004</v>
      </c>
      <c r="R3924" s="11">
        <f t="shared" si="122"/>
        <v>1.139558271830219E-2</v>
      </c>
      <c r="Z3924" s="11">
        <f t="shared" si="123"/>
        <v>1.4737588051054049E-2</v>
      </c>
    </row>
    <row r="3925" spans="1:26" x14ac:dyDescent="0.2">
      <c r="A3925" s="45">
        <v>670</v>
      </c>
      <c r="B3925" s="45">
        <v>1995</v>
      </c>
      <c r="C3925" s="17">
        <v>0</v>
      </c>
      <c r="D3925" s="14">
        <v>-8.9232199999999998E-2</v>
      </c>
      <c r="E3925" s="14">
        <v>-6.8004099999999998E-2</v>
      </c>
      <c r="F3925" s="14">
        <v>3.4661200000000003E-2</v>
      </c>
      <c r="G3925" s="14">
        <v>0.21738250000000001</v>
      </c>
      <c r="H3925" s="14">
        <v>0.35862050000000001</v>
      </c>
      <c r="R3925" s="11">
        <f t="shared" si="122"/>
        <v>4.4435077355114233E-2</v>
      </c>
      <c r="Z3925" s="11">
        <f t="shared" si="123"/>
        <v>5.6155430009837325E-2</v>
      </c>
    </row>
    <row r="3926" spans="1:26" x14ac:dyDescent="0.2">
      <c r="A3926" s="45">
        <v>679</v>
      </c>
      <c r="B3926" s="45">
        <v>1996</v>
      </c>
      <c r="C3926" s="17">
        <v>0</v>
      </c>
      <c r="D3926" s="14">
        <v>0.14355119999999999</v>
      </c>
      <c r="E3926" s="14">
        <v>0.21360390000000001</v>
      </c>
      <c r="F3926" s="14">
        <v>6.0999499999999998E-2</v>
      </c>
      <c r="G3926" s="14">
        <v>1.9537800000000001</v>
      </c>
      <c r="H3926" s="14">
        <v>0.29715429999999998</v>
      </c>
      <c r="R3926" s="11">
        <f t="shared" si="122"/>
        <v>1.5693361787937972E-3</v>
      </c>
      <c r="Z3926" s="11">
        <f t="shared" si="123"/>
        <v>1.9930533785234832E-3</v>
      </c>
    </row>
    <row r="3927" spans="1:26" x14ac:dyDescent="0.2">
      <c r="A3927" s="45">
        <v>681</v>
      </c>
      <c r="B3927" s="45">
        <v>1997</v>
      </c>
      <c r="C3927" s="17">
        <v>0</v>
      </c>
      <c r="D3927" s="14">
        <v>0.1359679</v>
      </c>
      <c r="E3927" s="14">
        <v>0.22067899999999999</v>
      </c>
      <c r="F3927" s="14">
        <v>5.5926999999999998E-2</v>
      </c>
      <c r="G3927" s="14">
        <v>1.9508589999999999</v>
      </c>
      <c r="H3927" s="14">
        <v>0.30445339999999999</v>
      </c>
      <c r="R3927" s="11">
        <f t="shared" ref="R3927:R3990" si="124">1/(1+EXP(-(K$2+$M$2*E3927+$N$2*F3927+$O$2*G3927)))</f>
        <v>1.6250517892476674E-3</v>
      </c>
      <c r="Z3927" s="11">
        <f t="shared" si="123"/>
        <v>2.0558647708697601E-3</v>
      </c>
    </row>
    <row r="3928" spans="1:26" x14ac:dyDescent="0.2">
      <c r="A3928" s="45">
        <v>685</v>
      </c>
      <c r="B3928" s="45">
        <v>1998</v>
      </c>
      <c r="C3928" s="17">
        <v>0</v>
      </c>
      <c r="D3928" s="14">
        <v>0.14608699999999999</v>
      </c>
      <c r="E3928" s="14">
        <v>0.19928100000000001</v>
      </c>
      <c r="F3928" s="14">
        <v>4.8778000000000002E-2</v>
      </c>
      <c r="G3928" s="14">
        <v>1.928847</v>
      </c>
      <c r="H3928" s="14">
        <v>0.30067329999999998</v>
      </c>
      <c r="R3928" s="11">
        <f t="shared" si="124"/>
        <v>1.8380457742835506E-3</v>
      </c>
      <c r="Z3928" s="11">
        <f t="shared" si="123"/>
        <v>2.3110655217194812E-3</v>
      </c>
    </row>
    <row r="3929" spans="1:26" x14ac:dyDescent="0.2">
      <c r="A3929" s="45">
        <v>688</v>
      </c>
      <c r="B3929" s="45">
        <v>1999</v>
      </c>
      <c r="C3929" s="17">
        <v>0</v>
      </c>
      <c r="D3929" s="14">
        <v>0.13202259999999999</v>
      </c>
      <c r="E3929" s="14">
        <v>0.2173947</v>
      </c>
      <c r="F3929" s="14">
        <v>5.1502199999999998E-2</v>
      </c>
      <c r="G3929" s="14">
        <v>1.9469749999999999</v>
      </c>
      <c r="H3929" s="14">
        <v>0.30388660000000001</v>
      </c>
      <c r="R3929" s="11">
        <f t="shared" si="124"/>
        <v>1.7020302058125879E-3</v>
      </c>
      <c r="Z3929" s="11">
        <f t="shared" si="123"/>
        <v>2.1453700004191801E-3</v>
      </c>
    </row>
    <row r="3930" spans="1:26" x14ac:dyDescent="0.2">
      <c r="A3930" s="45">
        <v>693</v>
      </c>
      <c r="B3930" s="45">
        <v>2000</v>
      </c>
      <c r="C3930" s="17">
        <v>0</v>
      </c>
      <c r="D3930" s="14">
        <v>0.14463280000000001</v>
      </c>
      <c r="E3930" s="14">
        <v>0.21273339999999999</v>
      </c>
      <c r="F3930" s="14">
        <v>5.31019E-2</v>
      </c>
      <c r="G3930" s="14">
        <v>1.939859</v>
      </c>
      <c r="H3930" s="14">
        <v>0.30380420000000002</v>
      </c>
      <c r="R3930" s="11">
        <f t="shared" si="124"/>
        <v>1.7110962433476509E-3</v>
      </c>
      <c r="Z3930" s="11">
        <f t="shared" si="123"/>
        <v>2.1596097032438311E-3</v>
      </c>
    </row>
    <row r="3931" spans="1:26" x14ac:dyDescent="0.2">
      <c r="A3931" s="45">
        <v>696</v>
      </c>
      <c r="B3931" s="45">
        <v>2001</v>
      </c>
      <c r="C3931" s="17">
        <v>0</v>
      </c>
      <c r="D3931" s="14">
        <v>0.13990349999999999</v>
      </c>
      <c r="E3931" s="14">
        <v>0.20298769999999999</v>
      </c>
      <c r="F3931" s="14">
        <v>4.71467E-2</v>
      </c>
      <c r="G3931" s="14">
        <v>1.9485980000000001</v>
      </c>
      <c r="H3931" s="14">
        <v>0.31259540000000002</v>
      </c>
      <c r="R3931" s="11">
        <f t="shared" si="124"/>
        <v>1.7948659770661624E-3</v>
      </c>
      <c r="Z3931" s="11">
        <f t="shared" si="123"/>
        <v>2.2530973878190762E-3</v>
      </c>
    </row>
    <row r="3932" spans="1:26" x14ac:dyDescent="0.2">
      <c r="A3932" s="45">
        <v>698</v>
      </c>
      <c r="B3932" s="45">
        <v>1995</v>
      </c>
      <c r="C3932" s="17">
        <v>0</v>
      </c>
      <c r="D3932" s="14">
        <v>0.14515130000000001</v>
      </c>
      <c r="E3932" s="14">
        <v>0.22559209999999999</v>
      </c>
      <c r="F3932" s="14">
        <v>6.59912E-2</v>
      </c>
      <c r="G3932" s="14">
        <v>1.956664</v>
      </c>
      <c r="H3932" s="14">
        <v>0.2902518</v>
      </c>
      <c r="R3932" s="11">
        <f t="shared" si="124"/>
        <v>1.4751963151965028E-3</v>
      </c>
      <c r="Z3932" s="11">
        <f t="shared" si="123"/>
        <v>1.8818632936012062E-3</v>
      </c>
    </row>
    <row r="3933" spans="1:26" x14ac:dyDescent="0.2">
      <c r="A3933" s="45">
        <v>702</v>
      </c>
      <c r="B3933" s="45">
        <v>1996</v>
      </c>
      <c r="C3933" s="17">
        <v>0</v>
      </c>
      <c r="D3933" s="14">
        <v>0.14776980000000001</v>
      </c>
      <c r="E3933" s="14">
        <v>0.22349359999999999</v>
      </c>
      <c r="F3933" s="14">
        <v>5.6393699999999998E-2</v>
      </c>
      <c r="G3933" s="14">
        <v>1.947249</v>
      </c>
      <c r="H3933" s="14">
        <v>0.3097491</v>
      </c>
      <c r="R3933" s="11">
        <f t="shared" si="124"/>
        <v>1.6216923719099584E-3</v>
      </c>
      <c r="Z3933" s="11">
        <f t="shared" si="123"/>
        <v>2.0527604228126814E-3</v>
      </c>
    </row>
    <row r="3934" spans="1:26" x14ac:dyDescent="0.2">
      <c r="A3934" s="45">
        <v>707</v>
      </c>
      <c r="B3934" s="45">
        <v>1995</v>
      </c>
      <c r="C3934" s="17">
        <v>1</v>
      </c>
      <c r="D3934" s="14">
        <v>0.14155239999999999</v>
      </c>
      <c r="E3934" s="14">
        <v>0.1941908</v>
      </c>
      <c r="F3934" s="14">
        <v>5.1926300000000002E-2</v>
      </c>
      <c r="G3934" s="14">
        <v>1.93926</v>
      </c>
      <c r="H3934" s="14">
        <v>0.30579329999999999</v>
      </c>
      <c r="R3934" s="11">
        <f t="shared" si="124"/>
        <v>1.7760446088679444E-3</v>
      </c>
      <c r="Z3934" s="11">
        <f t="shared" si="123"/>
        <v>2.2379997806600649E-3</v>
      </c>
    </row>
    <row r="3935" spans="1:26" x14ac:dyDescent="0.2">
      <c r="A3935" s="45">
        <v>708</v>
      </c>
      <c r="B3935" s="45">
        <v>1997</v>
      </c>
      <c r="C3935" s="17">
        <v>1</v>
      </c>
      <c r="D3935" s="14">
        <v>0.1314583</v>
      </c>
      <c r="E3935" s="14">
        <v>0.20124300000000001</v>
      </c>
      <c r="F3935" s="14">
        <v>5.6275899999999997E-2</v>
      </c>
      <c r="G3935" s="14">
        <v>1.958129</v>
      </c>
      <c r="H3935" s="14">
        <v>0.29107889999999997</v>
      </c>
      <c r="R3935" s="11">
        <f t="shared" si="124"/>
        <v>1.6477339985211893E-3</v>
      </c>
      <c r="Z3935" s="11">
        <f t="shared" si="123"/>
        <v>2.0834240201761905E-3</v>
      </c>
    </row>
    <row r="3936" spans="1:26" x14ac:dyDescent="0.2">
      <c r="A3936" s="45">
        <v>711</v>
      </c>
      <c r="B3936" s="45">
        <v>1998</v>
      </c>
      <c r="C3936" s="17">
        <v>0</v>
      </c>
      <c r="D3936" s="14">
        <v>0.13414999999999999</v>
      </c>
      <c r="E3936" s="14">
        <v>0.20429900000000001</v>
      </c>
      <c r="F3936" s="14">
        <v>5.5028300000000002E-2</v>
      </c>
      <c r="G3936" s="14">
        <v>1.9469479999999999</v>
      </c>
      <c r="H3936" s="14">
        <v>0.3051296</v>
      </c>
      <c r="R3936" s="11">
        <f t="shared" si="124"/>
        <v>1.6866025712521028E-3</v>
      </c>
      <c r="Z3936" s="11">
        <f t="shared" si="123"/>
        <v>2.1311193045760548E-3</v>
      </c>
    </row>
    <row r="3937" spans="1:26" x14ac:dyDescent="0.2">
      <c r="A3937" s="45">
        <v>713</v>
      </c>
      <c r="B3937" s="45">
        <v>1999</v>
      </c>
      <c r="C3937" s="17">
        <v>0</v>
      </c>
      <c r="D3937" s="14">
        <v>0.1353444</v>
      </c>
      <c r="E3937" s="14">
        <v>0.19993749999999999</v>
      </c>
      <c r="F3937" s="14">
        <v>5.9255299999999997E-2</v>
      </c>
      <c r="G3937" s="14">
        <v>1.9364140000000001</v>
      </c>
      <c r="H3937" s="14">
        <v>0.29605100000000001</v>
      </c>
      <c r="R3937" s="11">
        <f t="shared" si="124"/>
        <v>1.6687097509258935E-3</v>
      </c>
      <c r="Z3937" s="11">
        <f t="shared" si="123"/>
        <v>2.1159977301510621E-3</v>
      </c>
    </row>
    <row r="3938" spans="1:26" x14ac:dyDescent="0.2">
      <c r="A3938" s="45">
        <v>717</v>
      </c>
      <c r="B3938" s="45">
        <v>2000</v>
      </c>
      <c r="C3938" s="17">
        <v>0</v>
      </c>
      <c r="D3938" s="14">
        <v>0.1458729</v>
      </c>
      <c r="E3938" s="14">
        <v>0.2145765</v>
      </c>
      <c r="F3938" s="14">
        <v>5.1818099999999999E-2</v>
      </c>
      <c r="G3938" s="14">
        <v>1.9546680000000001</v>
      </c>
      <c r="H3938" s="14">
        <v>0.30999060000000001</v>
      </c>
      <c r="R3938" s="11">
        <f t="shared" si="124"/>
        <v>1.6839650658645221E-3</v>
      </c>
      <c r="Z3938" s="11">
        <f t="shared" si="123"/>
        <v>2.1225943478198517E-3</v>
      </c>
    </row>
    <row r="3939" spans="1:26" x14ac:dyDescent="0.2">
      <c r="A3939" s="45">
        <v>720</v>
      </c>
      <c r="B3939" s="45">
        <v>2001</v>
      </c>
      <c r="C3939" s="17">
        <v>0</v>
      </c>
      <c r="D3939" s="14">
        <v>0.1431682</v>
      </c>
      <c r="E3939" s="14">
        <v>0.2048228</v>
      </c>
      <c r="F3939" s="14">
        <v>4.7232299999999998E-2</v>
      </c>
      <c r="G3939" s="14">
        <v>1.9407620000000001</v>
      </c>
      <c r="H3939" s="14">
        <v>0.30494250000000001</v>
      </c>
      <c r="R3939" s="11">
        <f t="shared" si="124"/>
        <v>1.8113062969378369E-3</v>
      </c>
      <c r="Z3939" s="11">
        <f t="shared" si="123"/>
        <v>2.2744188145459015E-3</v>
      </c>
    </row>
    <row r="3940" spans="1:26" x14ac:dyDescent="0.2">
      <c r="A3940" s="45">
        <v>724</v>
      </c>
      <c r="B3940" s="45">
        <v>2002</v>
      </c>
      <c r="C3940" s="17">
        <v>0</v>
      </c>
      <c r="D3940" s="14">
        <v>0.13668859999999999</v>
      </c>
      <c r="E3940" s="14">
        <v>0.21900810000000001</v>
      </c>
      <c r="F3940" s="14">
        <v>5.4834300000000002E-2</v>
      </c>
      <c r="G3940" s="14">
        <v>1.9432430000000001</v>
      </c>
      <c r="H3940" s="14">
        <v>0.30032370000000003</v>
      </c>
      <c r="R3940" s="11">
        <f t="shared" si="124"/>
        <v>1.663307808622705E-3</v>
      </c>
      <c r="Z3940" s="11">
        <f t="shared" si="123"/>
        <v>2.1025931432715802E-3</v>
      </c>
    </row>
    <row r="3941" spans="1:26" x14ac:dyDescent="0.2">
      <c r="A3941" s="45">
        <v>726</v>
      </c>
      <c r="B3941" s="45">
        <v>2003</v>
      </c>
      <c r="C3941" s="17">
        <v>0</v>
      </c>
      <c r="D3941" s="14">
        <v>0.15657389999999999</v>
      </c>
      <c r="E3941" s="14">
        <v>0.20817840000000001</v>
      </c>
      <c r="F3941" s="14">
        <v>4.8032499999999999E-2</v>
      </c>
      <c r="G3941" s="14">
        <v>1.9511000000000001</v>
      </c>
      <c r="H3941" s="14">
        <v>0.30927559999999998</v>
      </c>
      <c r="R3941" s="11">
        <f t="shared" si="124"/>
        <v>1.761812910920561E-3</v>
      </c>
      <c r="Z3941" s="11">
        <f t="shared" si="123"/>
        <v>2.2134986399385517E-3</v>
      </c>
    </row>
    <row r="3942" spans="1:26" x14ac:dyDescent="0.2">
      <c r="A3942" s="45">
        <v>731</v>
      </c>
      <c r="B3942" s="45">
        <v>2004</v>
      </c>
      <c r="C3942" s="17">
        <v>0</v>
      </c>
      <c r="D3942" s="14">
        <v>0.13558519999999999</v>
      </c>
      <c r="E3942" s="14">
        <v>0.2031847</v>
      </c>
      <c r="F3942" s="14">
        <v>5.5071799999999997E-2</v>
      </c>
      <c r="G3942" s="14">
        <v>1.949773</v>
      </c>
      <c r="H3942" s="14">
        <v>0.30626759999999997</v>
      </c>
      <c r="R3942" s="11">
        <f t="shared" si="124"/>
        <v>1.6811733689407712E-3</v>
      </c>
      <c r="Z3942" s="11">
        <f t="shared" si="123"/>
        <v>2.1241249962765424E-3</v>
      </c>
    </row>
    <row r="3943" spans="1:26" x14ac:dyDescent="0.2">
      <c r="A3943" s="45">
        <v>736</v>
      </c>
      <c r="B3943" s="45">
        <v>1995</v>
      </c>
      <c r="C3943" s="17">
        <v>0</v>
      </c>
      <c r="D3943" s="14">
        <v>0.14642839999999999</v>
      </c>
      <c r="E3943" s="14">
        <v>0.21399009999999999</v>
      </c>
      <c r="F3943" s="14">
        <v>4.3559300000000002E-2</v>
      </c>
      <c r="G3943" s="14">
        <v>1.952196</v>
      </c>
      <c r="H3943" s="14">
        <v>0.29956470000000002</v>
      </c>
      <c r="R3943" s="11">
        <f t="shared" si="124"/>
        <v>1.8073870223310005E-3</v>
      </c>
      <c r="Z3943" s="11">
        <f t="shared" si="123"/>
        <v>2.262833495792494E-3</v>
      </c>
    </row>
    <row r="3944" spans="1:26" x14ac:dyDescent="0.2">
      <c r="A3944" s="45">
        <v>739</v>
      </c>
      <c r="B3944" s="45">
        <v>1996</v>
      </c>
      <c r="C3944" s="17">
        <v>0</v>
      </c>
      <c r="D3944" s="14">
        <v>0.1430225</v>
      </c>
      <c r="E3944" s="14">
        <v>0.21240829999999999</v>
      </c>
      <c r="F3944" s="14">
        <v>5.0385800000000001E-2</v>
      </c>
      <c r="G3944" s="14">
        <v>1.953301</v>
      </c>
      <c r="H3944" s="14">
        <v>0.29507670000000003</v>
      </c>
      <c r="R3944" s="11">
        <f t="shared" si="124"/>
        <v>1.7124254644824335E-3</v>
      </c>
      <c r="Z3944" s="11">
        <f t="shared" si="123"/>
        <v>2.1558296064914024E-3</v>
      </c>
    </row>
    <row r="3945" spans="1:26" x14ac:dyDescent="0.2">
      <c r="A3945" s="45">
        <v>741</v>
      </c>
      <c r="B3945" s="45">
        <v>1997</v>
      </c>
      <c r="C3945" s="17">
        <v>0</v>
      </c>
      <c r="D3945" s="14">
        <v>0.14752299999999999</v>
      </c>
      <c r="E3945" s="14">
        <v>0.19846140000000001</v>
      </c>
      <c r="F3945" s="14">
        <v>6.0432100000000002E-2</v>
      </c>
      <c r="G3945" s="14">
        <v>1.950167</v>
      </c>
      <c r="H3945" s="14">
        <v>0.3205617</v>
      </c>
      <c r="R3945" s="11">
        <f t="shared" si="124"/>
        <v>1.6207921409851396E-3</v>
      </c>
      <c r="Z3945" s="11">
        <f t="shared" si="123"/>
        <v>2.0565164330304639E-3</v>
      </c>
    </row>
    <row r="3946" spans="1:26" x14ac:dyDescent="0.2">
      <c r="A3946" s="45">
        <v>746</v>
      </c>
      <c r="B3946" s="45">
        <v>1998</v>
      </c>
      <c r="C3946" s="17">
        <v>0</v>
      </c>
      <c r="D3946" s="14">
        <v>0.14339389999999999</v>
      </c>
      <c r="E3946" s="14">
        <v>0.21496970000000001</v>
      </c>
      <c r="F3946" s="14">
        <v>6.3999299999999995E-2</v>
      </c>
      <c r="G3946" s="14">
        <v>1.9545250000000001</v>
      </c>
      <c r="H3946" s="14">
        <v>0.31569380000000002</v>
      </c>
      <c r="R3946" s="11">
        <f t="shared" si="124"/>
        <v>1.5273375709700494E-3</v>
      </c>
      <c r="Z3946" s="11">
        <f t="shared" si="123"/>
        <v>1.9445625529493774E-3</v>
      </c>
    </row>
    <row r="3947" spans="1:26" x14ac:dyDescent="0.2">
      <c r="A3947" s="45">
        <v>749</v>
      </c>
      <c r="B3947" s="45">
        <v>1999</v>
      </c>
      <c r="C3947" s="17">
        <v>0</v>
      </c>
      <c r="D3947" s="14">
        <v>0.1452764</v>
      </c>
      <c r="E3947" s="14">
        <v>0.21004120000000001</v>
      </c>
      <c r="F3947" s="14">
        <v>4.5979800000000001E-2</v>
      </c>
      <c r="G3947" s="14">
        <v>1.9336089999999999</v>
      </c>
      <c r="H3947" s="14">
        <v>0.2934872</v>
      </c>
      <c r="R3947" s="11">
        <f t="shared" si="124"/>
        <v>1.8364846201149121E-3</v>
      </c>
      <c r="Z3947" s="11">
        <f t="shared" si="123"/>
        <v>2.3044322290160305E-3</v>
      </c>
    </row>
    <row r="3948" spans="1:26" x14ac:dyDescent="0.2">
      <c r="A3948" s="45">
        <v>753</v>
      </c>
      <c r="B3948" s="45">
        <v>2000</v>
      </c>
      <c r="C3948" s="17">
        <v>1</v>
      </c>
      <c r="D3948" s="14">
        <v>0.13188820000000001</v>
      </c>
      <c r="E3948" s="14">
        <v>0.19840169999999999</v>
      </c>
      <c r="F3948" s="14">
        <v>5.8866500000000002E-2</v>
      </c>
      <c r="G3948" s="14">
        <v>1.9349289999999999</v>
      </c>
      <c r="H3948" s="14">
        <v>0.29821110000000001</v>
      </c>
      <c r="R3948" s="11">
        <f t="shared" si="124"/>
        <v>1.681602849222797E-3</v>
      </c>
      <c r="Z3948" s="11">
        <f t="shared" si="123"/>
        <v>2.1316189358372649E-3</v>
      </c>
    </row>
    <row r="3949" spans="1:26" x14ac:dyDescent="0.2">
      <c r="A3949" s="45">
        <v>755</v>
      </c>
      <c r="B3949" s="45">
        <v>2001</v>
      </c>
      <c r="C3949" s="17">
        <v>1</v>
      </c>
      <c r="D3949" s="14">
        <v>0.1432234</v>
      </c>
      <c r="E3949" s="14">
        <v>0.2077426</v>
      </c>
      <c r="F3949" s="14">
        <v>5.0890600000000001E-2</v>
      </c>
      <c r="G3949" s="14">
        <v>1.9377470000000001</v>
      </c>
      <c r="H3949" s="14">
        <v>0.2972052</v>
      </c>
      <c r="R3949" s="11">
        <f t="shared" si="124"/>
        <v>1.7601443578201983E-3</v>
      </c>
      <c r="Z3949" s="11">
        <f t="shared" si="123"/>
        <v>2.2171960579171288E-3</v>
      </c>
    </row>
    <row r="3950" spans="1:26" x14ac:dyDescent="0.2">
      <c r="A3950" s="45">
        <v>758</v>
      </c>
      <c r="B3950" s="45">
        <v>1995</v>
      </c>
      <c r="C3950" s="17">
        <v>0</v>
      </c>
      <c r="D3950" s="14">
        <v>0.14257139999999999</v>
      </c>
      <c r="E3950" s="14">
        <v>0.2003595</v>
      </c>
      <c r="F3950" s="14">
        <v>5.2894999999999998E-2</v>
      </c>
      <c r="G3950" s="14">
        <v>1.9478530000000001</v>
      </c>
      <c r="H3950" s="14">
        <v>0.30542239999999998</v>
      </c>
      <c r="R3950" s="11">
        <f t="shared" si="124"/>
        <v>1.722936498885305E-3</v>
      </c>
      <c r="Z3950" s="11">
        <f t="shared" si="123"/>
        <v>2.1728771616174375E-3</v>
      </c>
    </row>
    <row r="3951" spans="1:26" x14ac:dyDescent="0.2">
      <c r="A3951" s="45">
        <v>761</v>
      </c>
      <c r="B3951" s="45">
        <v>1996</v>
      </c>
      <c r="C3951" s="17">
        <v>0</v>
      </c>
      <c r="D3951" s="14">
        <v>0.12596640000000001</v>
      </c>
      <c r="E3951" s="14">
        <v>0.2041586</v>
      </c>
      <c r="F3951" s="14">
        <v>5.5144899999999997E-2</v>
      </c>
      <c r="G3951" s="14">
        <v>1.933079</v>
      </c>
      <c r="H3951" s="14">
        <v>0.30207990000000001</v>
      </c>
      <c r="R3951" s="11">
        <f t="shared" si="124"/>
        <v>1.7229755547362342E-3</v>
      </c>
      <c r="Z3951" s="11">
        <f t="shared" si="123"/>
        <v>2.1779185494733358E-3</v>
      </c>
    </row>
    <row r="3952" spans="1:26" x14ac:dyDescent="0.2">
      <c r="A3952" s="45">
        <v>763</v>
      </c>
      <c r="B3952" s="45">
        <v>1997</v>
      </c>
      <c r="C3952" s="17">
        <v>0</v>
      </c>
      <c r="D3952" s="14">
        <v>0.1554779</v>
      </c>
      <c r="E3952" s="14">
        <v>0.21272540000000001</v>
      </c>
      <c r="F3952" s="14">
        <v>3.5658000000000002E-2</v>
      </c>
      <c r="G3952" s="14">
        <v>1.9589209999999999</v>
      </c>
      <c r="H3952" s="14">
        <v>0.30232700000000001</v>
      </c>
      <c r="R3952" s="11">
        <f t="shared" si="124"/>
        <v>1.9080966343748514E-3</v>
      </c>
      <c r="Z3952" s="11">
        <f t="shared" si="123"/>
        <v>2.3730217974515634E-3</v>
      </c>
    </row>
    <row r="3953" spans="1:26" x14ac:dyDescent="0.2">
      <c r="A3953" s="45">
        <v>766</v>
      </c>
      <c r="B3953" s="45">
        <v>1998</v>
      </c>
      <c r="C3953" s="17">
        <v>0</v>
      </c>
      <c r="D3953" s="14">
        <v>0.1454075</v>
      </c>
      <c r="E3953" s="14">
        <v>0.2096489</v>
      </c>
      <c r="F3953" s="14">
        <v>4.6843900000000001E-2</v>
      </c>
      <c r="G3953" s="14">
        <v>1.94295</v>
      </c>
      <c r="H3953" s="14">
        <v>0.30142799999999997</v>
      </c>
      <c r="R3953" s="11">
        <f t="shared" si="124"/>
        <v>1.7979811403329886E-3</v>
      </c>
      <c r="Z3953" s="11">
        <f t="shared" si="123"/>
        <v>2.2572413785546756E-3</v>
      </c>
    </row>
    <row r="3954" spans="1:26" x14ac:dyDescent="0.2">
      <c r="A3954" s="45">
        <v>768</v>
      </c>
      <c r="B3954" s="45">
        <v>1999</v>
      </c>
      <c r="C3954" s="17">
        <v>0</v>
      </c>
      <c r="D3954" s="14">
        <v>0.15052299999999999</v>
      </c>
      <c r="E3954" s="14">
        <v>0.20291480000000001</v>
      </c>
      <c r="F3954" s="14">
        <v>4.8780299999999999E-2</v>
      </c>
      <c r="G3954" s="14">
        <v>1.9561329999999999</v>
      </c>
      <c r="H3954" s="14">
        <v>0.3051159</v>
      </c>
      <c r="R3954" s="11">
        <f t="shared" si="124"/>
        <v>1.7506823370620653E-3</v>
      </c>
      <c r="Z3954" s="11">
        <f t="shared" si="123"/>
        <v>2.200226934954579E-3</v>
      </c>
    </row>
    <row r="3955" spans="1:26" x14ac:dyDescent="0.2">
      <c r="A3955" s="45">
        <v>769</v>
      </c>
      <c r="B3955" s="45">
        <v>2000</v>
      </c>
      <c r="C3955" s="17">
        <v>0</v>
      </c>
      <c r="D3955" s="14">
        <v>0.13490630000000001</v>
      </c>
      <c r="E3955" s="14">
        <v>0.21192530000000001</v>
      </c>
      <c r="F3955" s="14">
        <v>5.0885199999999998E-2</v>
      </c>
      <c r="G3955" s="14">
        <v>1.9528399999999999</v>
      </c>
      <c r="H3955" s="14">
        <v>0.30244460000000001</v>
      </c>
      <c r="R3955" s="11">
        <f t="shared" si="124"/>
        <v>1.7080585059588845E-3</v>
      </c>
      <c r="Z3955" s="11">
        <f t="shared" si="123"/>
        <v>2.1511991280447839E-3</v>
      </c>
    </row>
    <row r="3956" spans="1:26" x14ac:dyDescent="0.2">
      <c r="A3956" s="45">
        <v>772</v>
      </c>
      <c r="B3956" s="45">
        <v>2001</v>
      </c>
      <c r="C3956" s="17">
        <v>0</v>
      </c>
      <c r="D3956" s="14">
        <v>0.13777410000000001</v>
      </c>
      <c r="E3956" s="14">
        <v>0.19869729999999999</v>
      </c>
      <c r="F3956" s="14">
        <v>4.8187899999999999E-2</v>
      </c>
      <c r="G3956" s="14">
        <v>1.937425</v>
      </c>
      <c r="H3956" s="14">
        <v>0.31094250000000001</v>
      </c>
      <c r="R3956" s="11">
        <f t="shared" si="124"/>
        <v>1.8232431457701626E-3</v>
      </c>
      <c r="Z3956" s="11">
        <f t="shared" si="123"/>
        <v>2.2908786000261196E-3</v>
      </c>
    </row>
    <row r="3957" spans="1:26" x14ac:dyDescent="0.2">
      <c r="A3957" s="45">
        <v>774</v>
      </c>
      <c r="B3957" s="45">
        <v>2002</v>
      </c>
      <c r="C3957" s="17">
        <v>0</v>
      </c>
      <c r="D3957" s="14">
        <v>0.1448535</v>
      </c>
      <c r="E3957" s="14">
        <v>0.2102736</v>
      </c>
      <c r="F3957" s="14">
        <v>4.2152200000000001E-2</v>
      </c>
      <c r="G3957" s="14">
        <v>1.9476869999999999</v>
      </c>
      <c r="H3957" s="14">
        <v>0.30723210000000001</v>
      </c>
      <c r="R3957" s="11">
        <f t="shared" si="124"/>
        <v>1.8509211145454883E-3</v>
      </c>
      <c r="Z3957" s="11">
        <f t="shared" si="123"/>
        <v>2.3145824140376851E-3</v>
      </c>
    </row>
    <row r="3958" spans="1:26" x14ac:dyDescent="0.2">
      <c r="A3958" s="45">
        <v>777</v>
      </c>
      <c r="B3958" s="45">
        <v>2003</v>
      </c>
      <c r="C3958" s="17">
        <v>0</v>
      </c>
      <c r="D3958" s="14">
        <v>0.1401106</v>
      </c>
      <c r="E3958" s="14">
        <v>0.22347539999999999</v>
      </c>
      <c r="F3958" s="14">
        <v>5.8520200000000001E-2</v>
      </c>
      <c r="G3958" s="14">
        <v>1.9434340000000001</v>
      </c>
      <c r="H3958" s="14">
        <v>0.30637999999999999</v>
      </c>
      <c r="R3958" s="11">
        <f t="shared" si="124"/>
        <v>1.6041337480619138E-3</v>
      </c>
      <c r="Z3958" s="11">
        <f t="shared" si="123"/>
        <v>2.034248547567054E-3</v>
      </c>
    </row>
    <row r="3959" spans="1:26" x14ac:dyDescent="0.2">
      <c r="A3959" s="45">
        <v>781</v>
      </c>
      <c r="B3959" s="45">
        <v>2004</v>
      </c>
      <c r="C3959" s="17">
        <v>0</v>
      </c>
      <c r="D3959" s="14">
        <v>0.1461161</v>
      </c>
      <c r="E3959" s="14">
        <v>0.22368689999999999</v>
      </c>
      <c r="F3959" s="14">
        <v>4.4920000000000002E-2</v>
      </c>
      <c r="G3959" s="14">
        <v>1.9385060000000001</v>
      </c>
      <c r="H3959" s="14">
        <v>0.3134923</v>
      </c>
      <c r="R3959" s="11">
        <f t="shared" si="124"/>
        <v>1.8016817257620293E-3</v>
      </c>
      <c r="Z3959" s="11">
        <f t="shared" si="123"/>
        <v>2.2596339632498887E-3</v>
      </c>
    </row>
    <row r="3960" spans="1:26" x14ac:dyDescent="0.2">
      <c r="A3960" s="45">
        <v>782</v>
      </c>
      <c r="B3960" s="45">
        <v>1995</v>
      </c>
      <c r="C3960" s="17">
        <v>0</v>
      </c>
      <c r="D3960" s="14">
        <v>0.14116590000000001</v>
      </c>
      <c r="E3960" s="14">
        <v>0.21814720000000001</v>
      </c>
      <c r="F3960" s="14">
        <v>5.56088E-2</v>
      </c>
      <c r="G3960" s="14">
        <v>1.950674</v>
      </c>
      <c r="H3960" s="14">
        <v>0.30534719999999999</v>
      </c>
      <c r="R3960" s="11">
        <f t="shared" si="124"/>
        <v>1.635666650448297E-3</v>
      </c>
      <c r="Z3960" s="11">
        <f t="shared" si="123"/>
        <v>2.0685785957648799E-3</v>
      </c>
    </row>
    <row r="3961" spans="1:26" x14ac:dyDescent="0.2">
      <c r="A3961" s="45">
        <v>782</v>
      </c>
      <c r="B3961" s="45">
        <v>1996</v>
      </c>
      <c r="C3961" s="17">
        <v>0</v>
      </c>
      <c r="D3961" s="14">
        <v>0.13940459999999999</v>
      </c>
      <c r="E3961" s="14">
        <v>0.21400259999999999</v>
      </c>
      <c r="F3961" s="14">
        <v>6.0391399999999998E-2</v>
      </c>
      <c r="G3961" s="14">
        <v>1.9438070000000001</v>
      </c>
      <c r="H3961" s="14">
        <v>0.29832379999999997</v>
      </c>
      <c r="R3961" s="11">
        <f t="shared" si="124"/>
        <v>1.6012717426914676E-3</v>
      </c>
      <c r="Z3961" s="11">
        <f t="shared" si="123"/>
        <v>2.0330558208189273E-3</v>
      </c>
    </row>
    <row r="3962" spans="1:26" x14ac:dyDescent="0.2">
      <c r="A3962" s="45">
        <v>786</v>
      </c>
      <c r="B3962" s="45">
        <v>1997</v>
      </c>
      <c r="C3962" s="17">
        <v>0</v>
      </c>
      <c r="D3962" s="14">
        <v>0.1551786</v>
      </c>
      <c r="E3962" s="14">
        <v>0.2172222</v>
      </c>
      <c r="F3962" s="14">
        <v>4.5847300000000001E-2</v>
      </c>
      <c r="G3962" s="14">
        <v>1.9520649999999999</v>
      </c>
      <c r="H3962" s="14">
        <v>0.31807809999999997</v>
      </c>
      <c r="R3962" s="11">
        <f t="shared" si="124"/>
        <v>1.7667298064620209E-3</v>
      </c>
      <c r="Z3962" s="11">
        <f t="shared" si="123"/>
        <v>2.2163482056531195E-3</v>
      </c>
    </row>
    <row r="3963" spans="1:26" x14ac:dyDescent="0.2">
      <c r="A3963" s="45">
        <v>787</v>
      </c>
      <c r="B3963" s="45">
        <v>1998</v>
      </c>
      <c r="C3963" s="17">
        <v>0</v>
      </c>
      <c r="D3963" s="14">
        <v>0.14006350000000001</v>
      </c>
      <c r="E3963" s="14">
        <v>0.21141470000000001</v>
      </c>
      <c r="F3963" s="14">
        <v>4.7954400000000001E-2</v>
      </c>
      <c r="G3963" s="14">
        <v>1.9386030000000001</v>
      </c>
      <c r="H3963" s="14">
        <v>0.29797050000000003</v>
      </c>
      <c r="R3963" s="11">
        <f t="shared" si="124"/>
        <v>1.7898815593231242E-3</v>
      </c>
      <c r="Z3963" s="11">
        <f t="shared" si="123"/>
        <v>2.2494700238609847E-3</v>
      </c>
    </row>
    <row r="3964" spans="1:26" x14ac:dyDescent="0.2">
      <c r="A3964" s="45">
        <v>791</v>
      </c>
      <c r="B3964" s="45">
        <v>1995</v>
      </c>
      <c r="C3964" s="17">
        <v>0</v>
      </c>
      <c r="D3964" s="14">
        <v>0.14648739999999999</v>
      </c>
      <c r="E3964" s="14">
        <v>0.19967589999999999</v>
      </c>
      <c r="F3964" s="14">
        <v>6.1320300000000001E-2</v>
      </c>
      <c r="G3964" s="14">
        <v>1.9317329999999999</v>
      </c>
      <c r="H3964" s="14">
        <v>0.31004660000000001</v>
      </c>
      <c r="R3964" s="11">
        <f t="shared" si="124"/>
        <v>1.6543150741141321E-3</v>
      </c>
      <c r="Z3964" s="11">
        <f t="shared" si="123"/>
        <v>2.1014964673623324E-3</v>
      </c>
    </row>
    <row r="3965" spans="1:26" x14ac:dyDescent="0.2">
      <c r="A3965" s="45">
        <v>791</v>
      </c>
      <c r="B3965" s="45">
        <v>1997</v>
      </c>
      <c r="C3965" s="17">
        <v>1</v>
      </c>
      <c r="D3965" s="14">
        <v>0.38147160000000002</v>
      </c>
      <c r="E3965" s="14">
        <v>9.2574400000000001E-2</v>
      </c>
      <c r="F3965" s="14">
        <v>5.6434900000000003E-2</v>
      </c>
      <c r="G3965" s="14">
        <v>6.197883</v>
      </c>
      <c r="H3965" s="14">
        <v>0.28487440000000003</v>
      </c>
      <c r="R3965" s="11">
        <f t="shared" si="124"/>
        <v>2.2458638846059735E-6</v>
      </c>
      <c r="Z3965" s="11">
        <f t="shared" si="123"/>
        <v>2.57842494950118E-6</v>
      </c>
    </row>
    <row r="3966" spans="1:26" x14ac:dyDescent="0.2">
      <c r="A3966" s="45">
        <v>793</v>
      </c>
      <c r="B3966" s="45">
        <v>1998</v>
      </c>
      <c r="C3966" s="17">
        <v>1</v>
      </c>
      <c r="D3966" s="14">
        <v>0.1737504</v>
      </c>
      <c r="E3966" s="14">
        <v>-0.2126392</v>
      </c>
      <c r="F3966" s="14">
        <v>-1.4288199999999999E-2</v>
      </c>
      <c r="G3966" s="14">
        <v>0.25286120000000001</v>
      </c>
      <c r="H3966" s="14">
        <v>0.18170049999999999</v>
      </c>
      <c r="R3966" s="11">
        <f t="shared" si="124"/>
        <v>7.4264151168027565E-2</v>
      </c>
      <c r="Z3966" s="11">
        <f t="shared" si="123"/>
        <v>8.9285709106118619E-2</v>
      </c>
    </row>
    <row r="3967" spans="1:26" x14ac:dyDescent="0.2">
      <c r="A3967" s="45">
        <v>794</v>
      </c>
      <c r="B3967" s="45">
        <v>1999</v>
      </c>
      <c r="C3967" s="17">
        <v>1</v>
      </c>
      <c r="D3967" s="14">
        <v>0.146596</v>
      </c>
      <c r="E3967" s="14">
        <v>-0.35101759999999999</v>
      </c>
      <c r="F3967" s="14">
        <v>1.9618099999999999E-2</v>
      </c>
      <c r="G3967" s="14">
        <v>0.1599351</v>
      </c>
      <c r="H3967" s="14">
        <v>0.22808210000000001</v>
      </c>
      <c r="R3967" s="11">
        <f t="shared" si="124"/>
        <v>7.9813217483602039E-2</v>
      </c>
      <c r="Z3967" s="11">
        <f t="shared" si="123"/>
        <v>9.8037884134298578E-2</v>
      </c>
    </row>
    <row r="3968" spans="1:26" x14ac:dyDescent="0.2">
      <c r="A3968" s="45">
        <v>795</v>
      </c>
      <c r="B3968" s="45">
        <v>2001</v>
      </c>
      <c r="C3968" s="17">
        <v>1</v>
      </c>
      <c r="D3968" s="14">
        <v>0.2492964</v>
      </c>
      <c r="E3968" s="14">
        <v>-0.82125309999999996</v>
      </c>
      <c r="F3968" s="14">
        <v>-1.05019E-2</v>
      </c>
      <c r="G3968" s="14">
        <v>4.57112E-2</v>
      </c>
      <c r="H3968" s="14">
        <v>0.2077814</v>
      </c>
      <c r="R3968" s="11">
        <f t="shared" si="124"/>
        <v>0.20780668374590611</v>
      </c>
      <c r="Z3968" s="11">
        <f t="shared" si="123"/>
        <v>0.24033932336762942</v>
      </c>
    </row>
    <row r="3969" spans="1:26" x14ac:dyDescent="0.2">
      <c r="A3969" s="45">
        <v>796</v>
      </c>
      <c r="B3969" s="45">
        <v>1998</v>
      </c>
      <c r="C3969" s="17">
        <v>1</v>
      </c>
      <c r="D3969" s="14">
        <v>-2.0411229999999998</v>
      </c>
      <c r="E3969" s="14">
        <v>-2.4018609999999998</v>
      </c>
      <c r="F3969" s="14">
        <v>-0.59182129999999999</v>
      </c>
      <c r="G3969" s="14">
        <v>8.2829600000000003E-2</v>
      </c>
      <c r="H3969" s="14">
        <v>0.1204012</v>
      </c>
      <c r="R3969" s="11">
        <f t="shared" si="124"/>
        <v>0.99613105170325189</v>
      </c>
      <c r="Z3969" s="11">
        <f t="shared" si="123"/>
        <v>0.99455052572054758</v>
      </c>
    </row>
    <row r="3970" spans="1:26" x14ac:dyDescent="0.2">
      <c r="A3970" s="45">
        <v>797</v>
      </c>
      <c r="B3970" s="45">
        <v>1999</v>
      </c>
      <c r="C3970" s="17">
        <v>1</v>
      </c>
      <c r="D3970" s="14">
        <v>9.7675100000000001E-2</v>
      </c>
      <c r="E3970" s="14">
        <v>-2.2580209999999998</v>
      </c>
      <c r="F3970" s="14">
        <v>6.6624900000000001E-2</v>
      </c>
      <c r="G3970" s="14">
        <v>4.5649700000000001E-2</v>
      </c>
      <c r="H3970" s="14">
        <v>0.152202</v>
      </c>
      <c r="R3970" s="11">
        <f t="shared" si="124"/>
        <v>0.53346219150410101</v>
      </c>
      <c r="Z3970" s="11">
        <f t="shared" ref="Z3970:Z4001" si="125">1/(1+EXP(-(U$2+$V$2*E3970+$W$2*F3970+$X$2*G3970)))</f>
        <v>0.58307300988211563</v>
      </c>
    </row>
    <row r="3971" spans="1:26" x14ac:dyDescent="0.2">
      <c r="A3971" s="45">
        <v>798</v>
      </c>
      <c r="B3971" s="45">
        <v>2000</v>
      </c>
      <c r="C3971" s="17">
        <v>1</v>
      </c>
      <c r="D3971" s="14">
        <v>0.20525060000000001</v>
      </c>
      <c r="E3971" s="14">
        <v>-2.0273180000000002</v>
      </c>
      <c r="F3971" s="14">
        <v>9.6336699999999997E-2</v>
      </c>
      <c r="G3971" s="14">
        <v>9.9910799999999994E-2</v>
      </c>
      <c r="H3971" s="14">
        <v>0.14711089999999999</v>
      </c>
      <c r="R3971" s="11">
        <f t="shared" si="124"/>
        <v>0.37155901423967275</v>
      </c>
      <c r="Z3971" s="11">
        <f t="shared" si="125"/>
        <v>0.42724148216064467</v>
      </c>
    </row>
    <row r="3972" spans="1:26" x14ac:dyDescent="0.2">
      <c r="A3972" s="45">
        <v>799</v>
      </c>
      <c r="B3972" s="45">
        <v>2001</v>
      </c>
      <c r="C3972" s="17">
        <v>1</v>
      </c>
      <c r="D3972" s="14">
        <v>4.3944499999999997E-2</v>
      </c>
      <c r="E3972" s="14">
        <v>-1.508527</v>
      </c>
      <c r="F3972" s="14">
        <v>3.7106699999999999E-2</v>
      </c>
      <c r="G3972" s="14">
        <v>3.7465100000000001E-2</v>
      </c>
      <c r="H3972" s="14">
        <v>4.7139300000000002E-2</v>
      </c>
      <c r="R3972" s="11">
        <f t="shared" si="124"/>
        <v>0.33035722069544066</v>
      </c>
      <c r="Z3972" s="11">
        <f t="shared" si="125"/>
        <v>0.37670826605080748</v>
      </c>
    </row>
    <row r="3973" spans="1:26" x14ac:dyDescent="0.2">
      <c r="A3973" s="45">
        <v>800</v>
      </c>
      <c r="B3973" s="45">
        <v>2002</v>
      </c>
      <c r="C3973" s="17">
        <v>1</v>
      </c>
      <c r="D3973" s="14">
        <v>-0.2525732</v>
      </c>
      <c r="E3973" s="14">
        <v>-1.382541</v>
      </c>
      <c r="F3973" s="14">
        <v>3.3042500000000002E-2</v>
      </c>
      <c r="G3973" s="14">
        <v>4.6837700000000003E-2</v>
      </c>
      <c r="H3973" s="14">
        <v>4.1728599999999998E-2</v>
      </c>
      <c r="R3973" s="11">
        <f t="shared" si="124"/>
        <v>0.29480038502057515</v>
      </c>
      <c r="Z3973" s="11">
        <f t="shared" si="125"/>
        <v>0.33886064449843778</v>
      </c>
    </row>
    <row r="3974" spans="1:26" x14ac:dyDescent="0.2">
      <c r="A3974" s="45">
        <v>801</v>
      </c>
      <c r="B3974" s="45">
        <v>1998</v>
      </c>
      <c r="C3974" s="17">
        <v>1</v>
      </c>
      <c r="D3974" s="14">
        <v>0.32361960000000001</v>
      </c>
      <c r="E3974" s="14">
        <v>0.1141382</v>
      </c>
      <c r="F3974" s="14">
        <v>3.1479399999999998E-2</v>
      </c>
      <c r="G3974" s="14">
        <v>5.5736000000000001E-2</v>
      </c>
      <c r="H3974" s="14">
        <v>0.76675749999999998</v>
      </c>
      <c r="R3974" s="11">
        <f t="shared" si="124"/>
        <v>4.5214803263681588E-2</v>
      </c>
      <c r="Z3974" s="11">
        <f t="shared" si="125"/>
        <v>5.7517302805084471E-2</v>
      </c>
    </row>
    <row r="3975" spans="1:26" x14ac:dyDescent="0.2">
      <c r="A3975" s="45">
        <v>802</v>
      </c>
      <c r="B3975" s="45">
        <v>1999</v>
      </c>
      <c r="C3975" s="17">
        <v>1</v>
      </c>
      <c r="D3975" s="14">
        <v>-2.0382E-3</v>
      </c>
      <c r="E3975" s="14">
        <v>-0.23680109999999999</v>
      </c>
      <c r="F3975" s="14">
        <v>-2.27902E-2</v>
      </c>
      <c r="G3975" s="14">
        <v>0.4122499</v>
      </c>
      <c r="H3975" s="14">
        <v>0.3472654</v>
      </c>
      <c r="R3975" s="11">
        <f t="shared" si="124"/>
        <v>6.4535871128794497E-2</v>
      </c>
      <c r="Z3975" s="11">
        <f t="shared" si="125"/>
        <v>7.6947979185164397E-2</v>
      </c>
    </row>
    <row r="3976" spans="1:26" x14ac:dyDescent="0.2">
      <c r="A3976" s="45">
        <v>803</v>
      </c>
      <c r="B3976" s="45">
        <v>1997</v>
      </c>
      <c r="C3976" s="17">
        <v>1</v>
      </c>
      <c r="D3976" s="14">
        <v>3.06512E-2</v>
      </c>
      <c r="E3976" s="14">
        <v>-0.3071643</v>
      </c>
      <c r="F3976" s="14">
        <v>4.9164899999999997E-2</v>
      </c>
      <c r="G3976" s="14">
        <v>0.3450511</v>
      </c>
      <c r="H3976" s="14">
        <v>0.165355</v>
      </c>
      <c r="R3976" s="11">
        <f t="shared" si="124"/>
        <v>4.5651277489432443E-2</v>
      </c>
      <c r="Z3976" s="11">
        <f t="shared" si="125"/>
        <v>5.7720886299027975E-2</v>
      </c>
    </row>
    <row r="3977" spans="1:26" x14ac:dyDescent="0.2">
      <c r="A3977" s="45">
        <v>804</v>
      </c>
      <c r="B3977" s="45">
        <v>1998</v>
      </c>
      <c r="C3977" s="17">
        <v>1</v>
      </c>
      <c r="D3977" s="14">
        <v>3.0484399999999998E-2</v>
      </c>
      <c r="E3977" s="14">
        <v>-0.3930804</v>
      </c>
      <c r="F3977" s="14">
        <v>4.1598599999999999E-2</v>
      </c>
      <c r="G3977" s="14">
        <v>0.1243332</v>
      </c>
      <c r="H3977" s="14">
        <v>0.16745409999999999</v>
      </c>
      <c r="R3977" s="11">
        <f t="shared" si="124"/>
        <v>7.5661023444634615E-2</v>
      </c>
      <c r="Z3977" s="11">
        <f t="shared" si="125"/>
        <v>9.4508588592787934E-2</v>
      </c>
    </row>
    <row r="3978" spans="1:26" x14ac:dyDescent="0.2">
      <c r="A3978" s="45">
        <v>805</v>
      </c>
      <c r="B3978" s="45">
        <v>1999</v>
      </c>
      <c r="C3978" s="17">
        <v>1</v>
      </c>
      <c r="D3978" s="14">
        <v>4.9805500000000003E-2</v>
      </c>
      <c r="E3978" s="14">
        <v>-0.91765739999999996</v>
      </c>
      <c r="F3978" s="14">
        <v>4.3266899999999997E-2</v>
      </c>
      <c r="G3978" s="14">
        <v>4.7632500000000001E-2</v>
      </c>
      <c r="H3978" s="14">
        <v>0.232243</v>
      </c>
      <c r="R3978" s="11">
        <f t="shared" si="124"/>
        <v>0.16366809754942285</v>
      </c>
      <c r="Z3978" s="11">
        <f t="shared" si="125"/>
        <v>0.19732776603416685</v>
      </c>
    </row>
    <row r="3979" spans="1:26" x14ac:dyDescent="0.2">
      <c r="A3979" s="45">
        <v>806</v>
      </c>
      <c r="B3979" s="45">
        <v>2000</v>
      </c>
      <c r="C3979" s="17">
        <v>1</v>
      </c>
      <c r="D3979" s="14">
        <v>2.0341100000000001E-2</v>
      </c>
      <c r="E3979" s="14">
        <v>-0.98977139999999997</v>
      </c>
      <c r="F3979" s="14">
        <v>4.7659100000000003E-2</v>
      </c>
      <c r="G3979" s="14">
        <v>3.1556599999999997E-2</v>
      </c>
      <c r="H3979" s="14">
        <v>0.20943929999999999</v>
      </c>
      <c r="R3979" s="11">
        <f t="shared" si="124"/>
        <v>0.17714014119439334</v>
      </c>
      <c r="Z3979" s="11">
        <f t="shared" si="125"/>
        <v>0.21311375854038062</v>
      </c>
    </row>
    <row r="3980" spans="1:26" x14ac:dyDescent="0.2">
      <c r="A3980" s="45">
        <v>809</v>
      </c>
      <c r="B3980" s="45">
        <v>2001</v>
      </c>
      <c r="C3980" s="17">
        <v>1</v>
      </c>
      <c r="D3980" s="14">
        <v>0.13586200000000001</v>
      </c>
      <c r="E3980" s="14">
        <v>-0.30496040000000002</v>
      </c>
      <c r="F3980" s="14">
        <v>5.32725E-2</v>
      </c>
      <c r="G3980" s="14">
        <v>4.9464500000000002E-2</v>
      </c>
      <c r="H3980" s="14">
        <v>0.20796619999999999</v>
      </c>
      <c r="R3980" s="11">
        <f t="shared" si="124"/>
        <v>6.8816429921828293E-2</v>
      </c>
      <c r="Z3980" s="11">
        <f t="shared" si="125"/>
        <v>8.724501495685752E-2</v>
      </c>
    </row>
    <row r="3981" spans="1:26" x14ac:dyDescent="0.2">
      <c r="A3981" s="45">
        <v>810</v>
      </c>
      <c r="B3981" s="45">
        <v>1999</v>
      </c>
      <c r="C3981" s="17">
        <v>1</v>
      </c>
      <c r="D3981" s="14">
        <v>0.17956050000000001</v>
      </c>
      <c r="E3981" s="14">
        <v>-2.22626E-2</v>
      </c>
      <c r="F3981" s="14">
        <v>2.50937E-2</v>
      </c>
      <c r="G3981" s="14">
        <v>0.27645599999999998</v>
      </c>
      <c r="H3981" s="14">
        <v>0.64183299999999999</v>
      </c>
      <c r="R3981" s="11">
        <f t="shared" si="124"/>
        <v>4.0997177663105254E-2</v>
      </c>
      <c r="Z3981" s="11">
        <f t="shared" si="125"/>
        <v>5.1488722001231106E-2</v>
      </c>
    </row>
    <row r="3982" spans="1:26" x14ac:dyDescent="0.2">
      <c r="A3982" s="45">
        <v>811</v>
      </c>
      <c r="B3982" s="45">
        <v>2001</v>
      </c>
      <c r="C3982" s="17">
        <v>1</v>
      </c>
      <c r="D3982" s="14">
        <v>3.3396000000000002E-2</v>
      </c>
      <c r="E3982" s="14">
        <v>-0.30283339999999997</v>
      </c>
      <c r="F3982" s="14">
        <v>1.0686000000000001E-3</v>
      </c>
      <c r="G3982" s="14">
        <v>0.24321580000000001</v>
      </c>
      <c r="H3982" s="14">
        <v>0.8027976</v>
      </c>
      <c r="R3982" s="11">
        <f t="shared" si="124"/>
        <v>7.5908287137490676E-2</v>
      </c>
      <c r="Z3982" s="11">
        <f t="shared" si="125"/>
        <v>9.2037763117372509E-2</v>
      </c>
    </row>
    <row r="3983" spans="1:26" x14ac:dyDescent="0.2">
      <c r="A3983" s="45">
        <v>812</v>
      </c>
      <c r="B3983" s="45">
        <v>1997</v>
      </c>
      <c r="C3983" s="17">
        <v>1</v>
      </c>
      <c r="D3983" s="14">
        <v>-0.13360340000000001</v>
      </c>
      <c r="E3983" s="14">
        <v>-0.30906080000000002</v>
      </c>
      <c r="F3983" s="14">
        <v>3.85736E-2</v>
      </c>
      <c r="G3983" s="14">
        <v>0.1660616</v>
      </c>
      <c r="H3983" s="14">
        <v>0.52703420000000001</v>
      </c>
      <c r="R3983" s="11">
        <f t="shared" si="124"/>
        <v>6.4931742218422864E-2</v>
      </c>
      <c r="Z3983" s="11">
        <f t="shared" si="125"/>
        <v>8.1303039561032839E-2</v>
      </c>
    </row>
    <row r="3984" spans="1:26" x14ac:dyDescent="0.2">
      <c r="A3984" s="45">
        <v>813</v>
      </c>
      <c r="B3984" s="45">
        <v>1999</v>
      </c>
      <c r="C3984" s="17">
        <v>1</v>
      </c>
      <c r="D3984" s="14">
        <v>0.39794200000000002</v>
      </c>
      <c r="E3984" s="14">
        <v>-4.4470500000000003E-2</v>
      </c>
      <c r="F3984" s="14">
        <v>6.5156599999999995E-2</v>
      </c>
      <c r="G3984" s="14">
        <v>5.6160799999999997E-2</v>
      </c>
      <c r="H3984" s="14">
        <v>0.76280650000000005</v>
      </c>
      <c r="R3984" s="11">
        <f t="shared" si="124"/>
        <v>4.3542269751105041E-2</v>
      </c>
      <c r="Z3984" s="11">
        <f t="shared" si="125"/>
        <v>5.6587526293886851E-2</v>
      </c>
    </row>
    <row r="3985" spans="1:26" x14ac:dyDescent="0.2">
      <c r="A3985" s="45">
        <v>814</v>
      </c>
      <c r="B3985" s="45">
        <v>1997</v>
      </c>
      <c r="C3985" s="17">
        <v>1</v>
      </c>
      <c r="D3985" s="14">
        <v>-7.8245099999999998E-2</v>
      </c>
      <c r="E3985" s="14">
        <v>-0.1172523</v>
      </c>
      <c r="F3985" s="14">
        <v>3.62472E-2</v>
      </c>
      <c r="G3985" s="14">
        <v>0.22578960000000001</v>
      </c>
      <c r="H3985" s="14">
        <v>0.31974970000000003</v>
      </c>
      <c r="R3985" s="11">
        <f t="shared" si="124"/>
        <v>4.6408637922751295E-2</v>
      </c>
      <c r="Z3985" s="11">
        <f t="shared" si="125"/>
        <v>5.8585992667070652E-2</v>
      </c>
    </row>
    <row r="3986" spans="1:26" x14ac:dyDescent="0.2">
      <c r="A3986" s="45">
        <v>815</v>
      </c>
      <c r="B3986" s="45">
        <v>1998</v>
      </c>
      <c r="C3986" s="17">
        <v>1</v>
      </c>
      <c r="D3986" s="14">
        <v>-0.1218887</v>
      </c>
      <c r="E3986" s="14">
        <v>-0.1943018</v>
      </c>
      <c r="F3986" s="14">
        <v>2.1767100000000001E-2</v>
      </c>
      <c r="G3986" s="14">
        <v>0.14646219999999999</v>
      </c>
      <c r="H3986" s="14">
        <v>0.3162027</v>
      </c>
      <c r="R3986" s="11">
        <f t="shared" si="124"/>
        <v>6.485939022248001E-2</v>
      </c>
      <c r="Z3986" s="11">
        <f t="shared" si="125"/>
        <v>8.0514547743451056E-2</v>
      </c>
    </row>
    <row r="3987" spans="1:26" x14ac:dyDescent="0.2">
      <c r="A3987" s="45">
        <v>816</v>
      </c>
      <c r="B3987" s="45">
        <v>1999</v>
      </c>
      <c r="C3987" s="17">
        <v>1</v>
      </c>
      <c r="D3987" s="14">
        <v>-0.18463109999999999</v>
      </c>
      <c r="E3987" s="14">
        <v>-0.38685039999999998</v>
      </c>
      <c r="F3987" s="14">
        <v>-8.7665E-3</v>
      </c>
      <c r="G3987" s="14">
        <v>9.9530400000000005E-2</v>
      </c>
      <c r="H3987" s="14">
        <v>0.4123231</v>
      </c>
      <c r="R3987" s="11">
        <f t="shared" si="124"/>
        <v>0.11209925933320965</v>
      </c>
      <c r="Z3987" s="11">
        <f t="shared" si="125"/>
        <v>0.13389258424438255</v>
      </c>
    </row>
    <row r="3988" spans="1:26" x14ac:dyDescent="0.2">
      <c r="A3988" s="45">
        <v>817</v>
      </c>
      <c r="B3988" s="45">
        <v>2001</v>
      </c>
      <c r="C3988" s="17">
        <v>1</v>
      </c>
      <c r="D3988" s="14">
        <v>0.22941810000000001</v>
      </c>
      <c r="E3988" s="14">
        <v>-1.871837</v>
      </c>
      <c r="F3988" s="14">
        <v>3.5006999999999998E-3</v>
      </c>
      <c r="G3988" s="14">
        <v>0.21097830000000001</v>
      </c>
      <c r="H3988" s="14">
        <v>0.10642699999999999</v>
      </c>
      <c r="R3988" s="11">
        <f t="shared" si="124"/>
        <v>0.4536328923820197</v>
      </c>
      <c r="Z3988" s="11">
        <f t="shared" si="125"/>
        <v>0.49330107182181898</v>
      </c>
    </row>
    <row r="3989" spans="1:26" x14ac:dyDescent="0.2">
      <c r="A3989" s="45">
        <v>818</v>
      </c>
      <c r="B3989" s="45">
        <v>1998</v>
      </c>
      <c r="C3989" s="17">
        <v>1</v>
      </c>
      <c r="D3989" s="14">
        <v>-0.21106430000000001</v>
      </c>
      <c r="E3989" s="14">
        <v>-0.85387860000000004</v>
      </c>
      <c r="F3989" s="14">
        <v>4.7360100000000002E-2</v>
      </c>
      <c r="G3989" s="14">
        <v>6.8954799999999997E-2</v>
      </c>
      <c r="H3989" s="14">
        <v>0.54774279999999997</v>
      </c>
      <c r="R3989" s="11">
        <f t="shared" si="124"/>
        <v>0.14299409154408477</v>
      </c>
      <c r="Z3989" s="11">
        <f t="shared" si="125"/>
        <v>0.17401068796494501</v>
      </c>
    </row>
    <row r="3990" spans="1:26" x14ac:dyDescent="0.2">
      <c r="A3990" s="45">
        <v>819</v>
      </c>
      <c r="B3990" s="45">
        <v>1996</v>
      </c>
      <c r="C3990" s="17">
        <v>1</v>
      </c>
      <c r="D3990" s="14">
        <v>-0.12149160000000001</v>
      </c>
      <c r="E3990" s="14">
        <v>-9.0418700000000005E-2</v>
      </c>
      <c r="F3990" s="14">
        <v>-1.38338E-2</v>
      </c>
      <c r="G3990" s="14">
        <v>0.13589999999999999</v>
      </c>
      <c r="H3990" s="14">
        <v>0.33792460000000002</v>
      </c>
      <c r="R3990" s="11">
        <f t="shared" si="124"/>
        <v>7.4611582864314574E-2</v>
      </c>
      <c r="Z3990" s="11">
        <f t="shared" si="125"/>
        <v>9.028109119071763E-2</v>
      </c>
    </row>
    <row r="3991" spans="1:26" x14ac:dyDescent="0.2">
      <c r="A3991" s="45">
        <v>820</v>
      </c>
      <c r="B3991" s="45">
        <v>1996</v>
      </c>
      <c r="C3991" s="17">
        <v>1</v>
      </c>
      <c r="D3991" s="14">
        <v>0.24432619999999999</v>
      </c>
      <c r="E3991" s="14">
        <v>-0.28897800000000001</v>
      </c>
      <c r="F3991" s="14">
        <v>5.9090200000000002E-2</v>
      </c>
      <c r="G3991" s="14">
        <v>2.1270380000000002</v>
      </c>
      <c r="H3991" s="14">
        <v>0.21375340000000001</v>
      </c>
      <c r="R3991" s="11">
        <f t="shared" ref="R3991:R4001" si="126">1/(1+EXP(-(K$2+$M$2*E3991+$N$2*F3991+$O$2*G3991)))</f>
        <v>2.508401880561634E-3</v>
      </c>
      <c r="Z3991" s="11">
        <f t="shared" si="125"/>
        <v>3.1138851312104789E-3</v>
      </c>
    </row>
    <row r="3992" spans="1:26" x14ac:dyDescent="0.2">
      <c r="A3992" s="45">
        <v>821</v>
      </c>
      <c r="B3992" s="45">
        <v>2000</v>
      </c>
      <c r="C3992" s="17">
        <v>1</v>
      </c>
      <c r="D3992" s="14">
        <v>0.1710874</v>
      </c>
      <c r="E3992" s="14">
        <v>-0.26302160000000002</v>
      </c>
      <c r="F3992" s="14">
        <v>2.55669E-2</v>
      </c>
      <c r="G3992" s="14">
        <v>3.0750400000000001E-2</v>
      </c>
      <c r="H3992" s="14">
        <v>0.18894</v>
      </c>
      <c r="R3992" s="11">
        <f t="shared" si="126"/>
        <v>8.2069715720458597E-2</v>
      </c>
      <c r="Z3992" s="11">
        <f t="shared" si="125"/>
        <v>0.10173021052289583</v>
      </c>
    </row>
    <row r="3993" spans="1:26" x14ac:dyDescent="0.2">
      <c r="A3993" s="45">
        <v>822</v>
      </c>
      <c r="B3993" s="45">
        <v>1998</v>
      </c>
      <c r="C3993" s="17">
        <v>1</v>
      </c>
      <c r="D3993" s="14">
        <v>-0.89924099999999996</v>
      </c>
      <c r="E3993" s="14">
        <v>-0.52081789999999994</v>
      </c>
      <c r="F3993" s="14">
        <v>3.6022100000000001E-2</v>
      </c>
      <c r="G3993" s="14">
        <v>2.72822E-2</v>
      </c>
      <c r="H3993" s="14">
        <v>0.58721610000000002</v>
      </c>
      <c r="R3993" s="11">
        <f t="shared" si="126"/>
        <v>0.10737721339182522</v>
      </c>
      <c r="Z3993" s="11">
        <f t="shared" si="125"/>
        <v>0.13220523986778371</v>
      </c>
    </row>
    <row r="3994" spans="1:26" x14ac:dyDescent="0.2">
      <c r="A3994" s="45">
        <v>823</v>
      </c>
      <c r="B3994" s="45">
        <v>1997</v>
      </c>
      <c r="C3994" s="17">
        <v>1</v>
      </c>
      <c r="D3994" s="14">
        <v>0.2993577</v>
      </c>
      <c r="E3994" s="14">
        <v>3.3068599999999997E-2</v>
      </c>
      <c r="F3994" s="14">
        <v>2.79341E-2</v>
      </c>
      <c r="G3994" s="14">
        <v>3.9038799999999999E-2</v>
      </c>
      <c r="H3994" s="14">
        <v>0.57052159999999996</v>
      </c>
      <c r="R3994" s="11">
        <f t="shared" si="126"/>
        <v>5.3291350459823632E-2</v>
      </c>
      <c r="Z3994" s="11">
        <f t="shared" si="125"/>
        <v>6.730119146238718E-2</v>
      </c>
    </row>
    <row r="3995" spans="1:26" x14ac:dyDescent="0.2">
      <c r="A3995" s="45">
        <v>824</v>
      </c>
      <c r="B3995" s="45">
        <v>1996</v>
      </c>
      <c r="C3995" s="17">
        <v>1</v>
      </c>
      <c r="D3995" s="14">
        <v>0.41329719999999998</v>
      </c>
      <c r="E3995" s="14">
        <v>-0.2284214</v>
      </c>
      <c r="F3995" s="14">
        <v>5.8405600000000002E-2</v>
      </c>
      <c r="G3995" s="14">
        <v>0.30966680000000002</v>
      </c>
      <c r="H3995" s="14">
        <v>0.52742920000000004</v>
      </c>
      <c r="R3995" s="11">
        <f t="shared" si="126"/>
        <v>4.0232341453565044E-2</v>
      </c>
      <c r="Z3995" s="11">
        <f t="shared" si="125"/>
        <v>5.14828013032212E-2</v>
      </c>
    </row>
    <row r="3996" spans="1:26" x14ac:dyDescent="0.2">
      <c r="A3996" s="45">
        <v>825</v>
      </c>
      <c r="B3996" s="45">
        <v>1998</v>
      </c>
      <c r="C3996" s="17">
        <v>1</v>
      </c>
      <c r="D3996" s="14">
        <v>0.18551980000000001</v>
      </c>
      <c r="E3996" s="14">
        <v>0.12534680000000001</v>
      </c>
      <c r="F3996" s="14">
        <v>7.14944E-2</v>
      </c>
      <c r="G3996" s="14">
        <v>5.2221400000000001E-2</v>
      </c>
      <c r="H3996" s="14">
        <v>0.81546289999999999</v>
      </c>
      <c r="R3996" s="11">
        <f t="shared" si="126"/>
        <v>3.2899628967560858E-2</v>
      </c>
      <c r="Z3996" s="11">
        <f t="shared" si="125"/>
        <v>4.3357545264454435E-2</v>
      </c>
    </row>
    <row r="3997" spans="1:26" x14ac:dyDescent="0.2">
      <c r="A3997" s="45">
        <v>826</v>
      </c>
      <c r="B3997" s="45">
        <v>1997</v>
      </c>
      <c r="C3997" s="17">
        <v>1</v>
      </c>
      <c r="D3997" s="14">
        <v>2.8727599999999999E-2</v>
      </c>
      <c r="E3997" s="14">
        <v>-1.846117</v>
      </c>
      <c r="F3997" s="14">
        <v>3.3956E-2</v>
      </c>
      <c r="G3997" s="14">
        <v>3.4679799999999997E-2</v>
      </c>
      <c r="H3997" s="14">
        <v>0.67804419999999999</v>
      </c>
      <c r="R3997" s="11">
        <f t="shared" si="126"/>
        <v>0.45361730295109104</v>
      </c>
      <c r="Z3997" s="11">
        <f t="shared" si="125"/>
        <v>0.50071696552218636</v>
      </c>
    </row>
    <row r="3998" spans="1:26" x14ac:dyDescent="0.2">
      <c r="A3998" s="45">
        <v>827</v>
      </c>
      <c r="B3998" s="45">
        <v>2000</v>
      </c>
      <c r="C3998" s="17">
        <v>1</v>
      </c>
      <c r="D3998" s="14">
        <v>0.1721674</v>
      </c>
      <c r="E3998" s="14">
        <v>-6.8613499999999994E-2</v>
      </c>
      <c r="F3998" s="14">
        <v>-4.6987000000000001E-3</v>
      </c>
      <c r="G3998" s="14">
        <v>4.35187E-2</v>
      </c>
      <c r="H3998" s="14">
        <v>0.23529910000000001</v>
      </c>
      <c r="R3998" s="11">
        <f t="shared" si="126"/>
        <v>7.7595320968752934E-2</v>
      </c>
      <c r="Z3998" s="11">
        <f t="shared" si="125"/>
        <v>9.4704752390052882E-2</v>
      </c>
    </row>
    <row r="3999" spans="1:26" x14ac:dyDescent="0.2">
      <c r="A3999" s="45">
        <v>828</v>
      </c>
      <c r="B3999" s="45">
        <v>1996</v>
      </c>
      <c r="C3999" s="17">
        <v>1</v>
      </c>
      <c r="D3999" s="14">
        <v>5.5884999999999997E-3</v>
      </c>
      <c r="E3999" s="14">
        <v>-0.26006790000000002</v>
      </c>
      <c r="F3999" s="14">
        <v>3.6877600000000003E-2</v>
      </c>
      <c r="G3999" s="14">
        <v>0.2982553</v>
      </c>
      <c r="H3999" s="14">
        <v>0.14810000000000001</v>
      </c>
      <c r="R3999" s="11">
        <f t="shared" si="126"/>
        <v>5.0420743566574153E-2</v>
      </c>
      <c r="Z3999" s="11">
        <f t="shared" si="125"/>
        <v>6.3225889885222375E-2</v>
      </c>
    </row>
    <row r="4000" spans="1:26" x14ac:dyDescent="0.2">
      <c r="A4000" s="45">
        <v>829</v>
      </c>
      <c r="B4000" s="45">
        <v>2001</v>
      </c>
      <c r="C4000" s="17">
        <v>1</v>
      </c>
      <c r="D4000" s="14">
        <v>-0.99423019999999995</v>
      </c>
      <c r="E4000" s="14">
        <v>-0.43353180000000002</v>
      </c>
      <c r="F4000" s="14">
        <v>-2.4369999999999999E-4</v>
      </c>
      <c r="G4000" s="14">
        <v>3.5502199999999998E-2</v>
      </c>
      <c r="H4000" s="14">
        <v>0.33046740000000002</v>
      </c>
      <c r="R4000" s="11">
        <f t="shared" si="126"/>
        <v>0.12263195530460998</v>
      </c>
      <c r="Z4000" s="11">
        <f t="shared" si="125"/>
        <v>0.146985987333699</v>
      </c>
    </row>
    <row r="4001" spans="1:26" x14ac:dyDescent="0.2">
      <c r="A4001" s="45">
        <v>830</v>
      </c>
      <c r="B4001" s="45">
        <v>2002</v>
      </c>
      <c r="C4001" s="45">
        <v>1</v>
      </c>
      <c r="D4001" s="14">
        <v>6.5566100000000002E-2</v>
      </c>
      <c r="E4001" s="14">
        <v>-0.1137388</v>
      </c>
      <c r="F4001" s="14">
        <v>3.6023600000000003E-2</v>
      </c>
      <c r="G4001" s="14">
        <v>3.76323E-2</v>
      </c>
      <c r="H4001" s="14">
        <v>0.11636009999999999</v>
      </c>
      <c r="R4001" s="11">
        <f t="shared" si="126"/>
        <v>6.1443594641572459E-2</v>
      </c>
      <c r="Z4001" s="11">
        <f t="shared" si="125"/>
        <v>7.7537825422450579E-2</v>
      </c>
    </row>
    <row r="4004" spans="1:26" x14ac:dyDescent="0.2">
      <c r="D4004" s="48"/>
      <c r="E4004" s="48"/>
      <c r="F4004" s="48"/>
      <c r="G4004" s="48"/>
      <c r="H4004" s="48"/>
    </row>
  </sheetData>
  <phoneticPr fontId="2" type="noConversion"/>
  <conditionalFormatting sqref="L5:P5 U5:X5">
    <cfRule type="cellIs" dxfId="0" priority="2" operator="greaterThan">
      <formula>0.05</formula>
    </cfRule>
  </conditionalFormatting>
  <pageMargins left="0.75" right="0.75" top="1" bottom="1" header="0.5" footer="0.5"/>
  <pageSetup paperSize="9" orientation="portrait" horizontalDpi="200" verticalDpi="20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>dof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dof</dc:creator>
  <cp:lastModifiedBy>Gary van Vuuren</cp:lastModifiedBy>
  <dcterms:created xsi:type="dcterms:W3CDTF">2006-12-13T15:21:12Z</dcterms:created>
  <dcterms:modified xsi:type="dcterms:W3CDTF">2023-05-07T06:45:36Z</dcterms:modified>
</cp:coreProperties>
</file>